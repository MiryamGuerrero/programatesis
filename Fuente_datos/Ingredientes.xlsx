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rya\Desktop\Reuma Nutri\Fuente_datos\"/>
    </mc:Choice>
  </mc:AlternateContent>
  <xr:revisionPtr revIDLastSave="0" documentId="13_ncr:1_{4906B939-5FF9-4A52-8316-691A5506F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sición" sheetId="1" r:id="rId1"/>
    <sheet name="Hoja1" sheetId="3" state="hidden" r:id="rId2"/>
    <sheet name="Omega3_Referencia" sheetId="4" state="hidden" r:id="rId3"/>
    <sheet name="Mapa_Similitud" sheetId="5" state="hidden" r:id="rId4"/>
    <sheet name="Diccionario_variables" sheetId="6" r:id="rId5"/>
    <sheet name="Campos_Existentes" sheetId="9" r:id="rId6"/>
    <sheet name="Umbrales_y_formulas" sheetId="8" r:id="rId7"/>
  </sheets>
  <definedNames>
    <definedName name="_xlnm._FilterDatabase" localSheetId="0" hidden="1">Composición!$A$1:$CC$571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260" i="1" l="1"/>
  <c r="CB261" i="1"/>
  <c r="CB433" i="1"/>
  <c r="CB495" i="1"/>
  <c r="CB500" i="1"/>
  <c r="CB501" i="1"/>
  <c r="CB502" i="1"/>
  <c r="CB503" i="1"/>
  <c r="CB504" i="1"/>
  <c r="CB505" i="1"/>
  <c r="CB506" i="1"/>
  <c r="CB507" i="1"/>
  <c r="CB508" i="1"/>
  <c r="CB509" i="1"/>
  <c r="CB513" i="1"/>
  <c r="BY569" i="1"/>
  <c r="BM571" i="1" l="1"/>
  <c r="BV571" i="1" s="1"/>
  <c r="BL571" i="1"/>
  <c r="BT571" i="1" s="1"/>
  <c r="BK571" i="1"/>
  <c r="BJ571" i="1"/>
  <c r="BI571" i="1"/>
  <c r="CB571" i="1" s="1"/>
  <c r="BH571" i="1"/>
  <c r="BG571" i="1"/>
  <c r="BF571" i="1"/>
  <c r="BS571" i="1" s="1"/>
  <c r="BE571" i="1"/>
  <c r="BR571" i="1" s="1"/>
  <c r="BD571" i="1"/>
  <c r="BQ571" i="1" s="1"/>
  <c r="BC571" i="1"/>
  <c r="BP571" i="1" s="1"/>
  <c r="BB571" i="1"/>
  <c r="BO571" i="1" s="1"/>
  <c r="BA571" i="1"/>
  <c r="BN571" i="1" s="1"/>
  <c r="AZ571" i="1"/>
  <c r="BZ571" i="1" s="1"/>
  <c r="AY571" i="1"/>
  <c r="BY571" i="1" s="1"/>
  <c r="AX571" i="1"/>
  <c r="AW571" i="1"/>
  <c r="AV571" i="1"/>
  <c r="BM570" i="1"/>
  <c r="BV570" i="1" s="1"/>
  <c r="BL570" i="1"/>
  <c r="BT570" i="1" s="1"/>
  <c r="BK570" i="1"/>
  <c r="BJ570" i="1"/>
  <c r="BI570" i="1"/>
  <c r="CB570" i="1" s="1"/>
  <c r="BH570" i="1"/>
  <c r="BG570" i="1"/>
  <c r="BF570" i="1"/>
  <c r="BS570" i="1" s="1"/>
  <c r="BE570" i="1"/>
  <c r="BR570" i="1" s="1"/>
  <c r="BD570" i="1"/>
  <c r="BQ570" i="1" s="1"/>
  <c r="BC570" i="1"/>
  <c r="BP570" i="1" s="1"/>
  <c r="BB570" i="1"/>
  <c r="BO570" i="1" s="1"/>
  <c r="BA570" i="1"/>
  <c r="BN570" i="1" s="1"/>
  <c r="AZ570" i="1"/>
  <c r="BZ570" i="1" s="1"/>
  <c r="AY570" i="1"/>
  <c r="BY570" i="1" s="1"/>
  <c r="AX570" i="1"/>
  <c r="AW570" i="1"/>
  <c r="AV570" i="1"/>
  <c r="BW570" i="1" s="1"/>
  <c r="BM569" i="1"/>
  <c r="BV569" i="1" s="1"/>
  <c r="BL569" i="1"/>
  <c r="BT569" i="1" s="1"/>
  <c r="BK569" i="1"/>
  <c r="BJ569" i="1"/>
  <c r="BI569" i="1"/>
  <c r="CB569" i="1" s="1"/>
  <c r="BH569" i="1"/>
  <c r="BG569" i="1"/>
  <c r="BF569" i="1"/>
  <c r="BS569" i="1" s="1"/>
  <c r="BE569" i="1"/>
  <c r="BR569" i="1" s="1"/>
  <c r="BD569" i="1"/>
  <c r="BQ569" i="1" s="1"/>
  <c r="BC569" i="1"/>
  <c r="BP569" i="1" s="1"/>
  <c r="BB569" i="1"/>
  <c r="BO569" i="1" s="1"/>
  <c r="BA569" i="1"/>
  <c r="BN569" i="1" s="1"/>
  <c r="AZ569" i="1"/>
  <c r="BZ569" i="1" s="1"/>
  <c r="AX569" i="1"/>
  <c r="AW569" i="1"/>
  <c r="AV569" i="1"/>
  <c r="BW569" i="1" s="1"/>
  <c r="BM568" i="1"/>
  <c r="BV568" i="1" s="1"/>
  <c r="BL568" i="1"/>
  <c r="BT568" i="1" s="1"/>
  <c r="BK568" i="1"/>
  <c r="BJ568" i="1"/>
  <c r="BI568" i="1"/>
  <c r="CB568" i="1" s="1"/>
  <c r="BH568" i="1"/>
  <c r="BG568" i="1"/>
  <c r="BF568" i="1"/>
  <c r="BS568" i="1" s="1"/>
  <c r="BE568" i="1"/>
  <c r="BR568" i="1" s="1"/>
  <c r="BD568" i="1"/>
  <c r="BQ568" i="1" s="1"/>
  <c r="BC568" i="1"/>
  <c r="BP568" i="1" s="1"/>
  <c r="BB568" i="1"/>
  <c r="BO568" i="1" s="1"/>
  <c r="BA568" i="1"/>
  <c r="BN568" i="1" s="1"/>
  <c r="AZ568" i="1"/>
  <c r="BZ568" i="1" s="1"/>
  <c r="AY568" i="1"/>
  <c r="BY568" i="1" s="1"/>
  <c r="AX568" i="1"/>
  <c r="AW568" i="1"/>
  <c r="AV568" i="1"/>
  <c r="BM567" i="1"/>
  <c r="BV567" i="1" s="1"/>
  <c r="BL567" i="1"/>
  <c r="BT567" i="1" s="1"/>
  <c r="BK567" i="1"/>
  <c r="BJ567" i="1"/>
  <c r="BI567" i="1"/>
  <c r="CB567" i="1" s="1"/>
  <c r="BH567" i="1"/>
  <c r="BG567" i="1"/>
  <c r="BF567" i="1"/>
  <c r="BS567" i="1" s="1"/>
  <c r="BE567" i="1"/>
  <c r="BR567" i="1" s="1"/>
  <c r="BD567" i="1"/>
  <c r="BQ567" i="1" s="1"/>
  <c r="BC567" i="1"/>
  <c r="BP567" i="1" s="1"/>
  <c r="BB567" i="1"/>
  <c r="BO567" i="1" s="1"/>
  <c r="BA567" i="1"/>
  <c r="BN567" i="1" s="1"/>
  <c r="AZ567" i="1"/>
  <c r="BZ567" i="1" s="1"/>
  <c r="AY567" i="1"/>
  <c r="BY567" i="1" s="1"/>
  <c r="AX567" i="1"/>
  <c r="AW567" i="1"/>
  <c r="AV567" i="1"/>
  <c r="BW567" i="1" s="1"/>
  <c r="BM566" i="1"/>
  <c r="BV566" i="1" s="1"/>
  <c r="BL566" i="1"/>
  <c r="BT566" i="1" s="1"/>
  <c r="BK566" i="1"/>
  <c r="BJ566" i="1"/>
  <c r="BI566" i="1"/>
  <c r="CB566" i="1" s="1"/>
  <c r="BH566" i="1"/>
  <c r="BG566" i="1"/>
  <c r="BF566" i="1"/>
  <c r="BS566" i="1" s="1"/>
  <c r="BE566" i="1"/>
  <c r="BR566" i="1" s="1"/>
  <c r="BD566" i="1"/>
  <c r="BQ566" i="1" s="1"/>
  <c r="BC566" i="1"/>
  <c r="BP566" i="1" s="1"/>
  <c r="BB566" i="1"/>
  <c r="BO566" i="1" s="1"/>
  <c r="BA566" i="1"/>
  <c r="BN566" i="1" s="1"/>
  <c r="AZ566" i="1"/>
  <c r="BZ566" i="1" s="1"/>
  <c r="AY566" i="1"/>
  <c r="BY566" i="1" s="1"/>
  <c r="AX566" i="1"/>
  <c r="AW566" i="1"/>
  <c r="AV566" i="1"/>
  <c r="BW566" i="1" s="1"/>
  <c r="BM565" i="1"/>
  <c r="BV565" i="1" s="1"/>
  <c r="BL565" i="1"/>
  <c r="BT565" i="1" s="1"/>
  <c r="BK565" i="1"/>
  <c r="BJ565" i="1"/>
  <c r="BI565" i="1"/>
  <c r="CB565" i="1" s="1"/>
  <c r="BH565" i="1"/>
  <c r="BG565" i="1"/>
  <c r="BF565" i="1"/>
  <c r="BS565" i="1" s="1"/>
  <c r="BE565" i="1"/>
  <c r="BR565" i="1" s="1"/>
  <c r="BD565" i="1"/>
  <c r="BQ565" i="1" s="1"/>
  <c r="BC565" i="1"/>
  <c r="BP565" i="1" s="1"/>
  <c r="BB565" i="1"/>
  <c r="BO565" i="1" s="1"/>
  <c r="BA565" i="1"/>
  <c r="BN565" i="1" s="1"/>
  <c r="AZ565" i="1"/>
  <c r="BZ565" i="1" s="1"/>
  <c r="AY565" i="1"/>
  <c r="BY565" i="1" s="1"/>
  <c r="AX565" i="1"/>
  <c r="AW565" i="1"/>
  <c r="AV565" i="1"/>
  <c r="BM564" i="1"/>
  <c r="BV564" i="1" s="1"/>
  <c r="BL564" i="1"/>
  <c r="BT564" i="1" s="1"/>
  <c r="BK564" i="1"/>
  <c r="BJ564" i="1"/>
  <c r="BI564" i="1"/>
  <c r="CB564" i="1" s="1"/>
  <c r="BH564" i="1"/>
  <c r="BG564" i="1"/>
  <c r="BF564" i="1"/>
  <c r="BS564" i="1" s="1"/>
  <c r="BE564" i="1"/>
  <c r="BR564" i="1" s="1"/>
  <c r="BD564" i="1"/>
  <c r="BQ564" i="1" s="1"/>
  <c r="BC564" i="1"/>
  <c r="BP564" i="1" s="1"/>
  <c r="BB564" i="1"/>
  <c r="BO564" i="1" s="1"/>
  <c r="BA564" i="1"/>
  <c r="BN564" i="1" s="1"/>
  <c r="AZ564" i="1"/>
  <c r="BZ564" i="1" s="1"/>
  <c r="AY564" i="1"/>
  <c r="BY564" i="1" s="1"/>
  <c r="AX564" i="1"/>
  <c r="AW564" i="1"/>
  <c r="AV564" i="1"/>
  <c r="BW564" i="1" s="1"/>
  <c r="BM563" i="1"/>
  <c r="BV563" i="1" s="1"/>
  <c r="BL563" i="1"/>
  <c r="BT563" i="1" s="1"/>
  <c r="BK563" i="1"/>
  <c r="BJ563" i="1"/>
  <c r="BI563" i="1"/>
  <c r="CB563" i="1" s="1"/>
  <c r="BH563" i="1"/>
  <c r="BG563" i="1"/>
  <c r="BF563" i="1"/>
  <c r="BS563" i="1" s="1"/>
  <c r="BE563" i="1"/>
  <c r="BR563" i="1" s="1"/>
  <c r="BD563" i="1"/>
  <c r="BQ563" i="1" s="1"/>
  <c r="BC563" i="1"/>
  <c r="BP563" i="1" s="1"/>
  <c r="BB563" i="1"/>
  <c r="BO563" i="1" s="1"/>
  <c r="BA563" i="1"/>
  <c r="BN563" i="1" s="1"/>
  <c r="AZ563" i="1"/>
  <c r="BZ563" i="1" s="1"/>
  <c r="AY563" i="1"/>
  <c r="BY563" i="1" s="1"/>
  <c r="AX563" i="1"/>
  <c r="AW563" i="1"/>
  <c r="AV563" i="1"/>
  <c r="BW563" i="1" s="1"/>
  <c r="BM562" i="1"/>
  <c r="BV562" i="1" s="1"/>
  <c r="BL562" i="1"/>
  <c r="BT562" i="1" s="1"/>
  <c r="BK562" i="1"/>
  <c r="BJ562" i="1"/>
  <c r="BI562" i="1"/>
  <c r="CB562" i="1" s="1"/>
  <c r="BH562" i="1"/>
  <c r="BG562" i="1"/>
  <c r="BF562" i="1"/>
  <c r="BS562" i="1" s="1"/>
  <c r="BE562" i="1"/>
  <c r="BR562" i="1" s="1"/>
  <c r="BD562" i="1"/>
  <c r="BQ562" i="1" s="1"/>
  <c r="BC562" i="1"/>
  <c r="BP562" i="1" s="1"/>
  <c r="BB562" i="1"/>
  <c r="BO562" i="1" s="1"/>
  <c r="BA562" i="1"/>
  <c r="BN562" i="1" s="1"/>
  <c r="AZ562" i="1"/>
  <c r="BZ562" i="1" s="1"/>
  <c r="AY562" i="1"/>
  <c r="BY562" i="1" s="1"/>
  <c r="AX562" i="1"/>
  <c r="AW562" i="1"/>
  <c r="AV562" i="1"/>
  <c r="BM561" i="1"/>
  <c r="BV561" i="1" s="1"/>
  <c r="BL561" i="1"/>
  <c r="BT561" i="1" s="1"/>
  <c r="BK561" i="1"/>
  <c r="BJ561" i="1"/>
  <c r="BI561" i="1"/>
  <c r="CB561" i="1" s="1"/>
  <c r="BH561" i="1"/>
  <c r="BG561" i="1"/>
  <c r="BF561" i="1"/>
  <c r="BS561" i="1" s="1"/>
  <c r="BE561" i="1"/>
  <c r="BR561" i="1" s="1"/>
  <c r="BD561" i="1"/>
  <c r="BQ561" i="1" s="1"/>
  <c r="BC561" i="1"/>
  <c r="BP561" i="1" s="1"/>
  <c r="BB561" i="1"/>
  <c r="BO561" i="1" s="1"/>
  <c r="BA561" i="1"/>
  <c r="BN561" i="1" s="1"/>
  <c r="AZ561" i="1"/>
  <c r="BZ561" i="1" s="1"/>
  <c r="AY561" i="1"/>
  <c r="BY561" i="1" s="1"/>
  <c r="AX561" i="1"/>
  <c r="AW561" i="1"/>
  <c r="AV561" i="1"/>
  <c r="BW561" i="1" s="1"/>
  <c r="BM560" i="1"/>
  <c r="BV560" i="1" s="1"/>
  <c r="BL560" i="1"/>
  <c r="BT560" i="1" s="1"/>
  <c r="BK560" i="1"/>
  <c r="BJ560" i="1"/>
  <c r="BI560" i="1"/>
  <c r="CB560" i="1" s="1"/>
  <c r="BH560" i="1"/>
  <c r="BG560" i="1"/>
  <c r="BF560" i="1"/>
  <c r="BS560" i="1" s="1"/>
  <c r="BE560" i="1"/>
  <c r="BR560" i="1" s="1"/>
  <c r="BD560" i="1"/>
  <c r="BQ560" i="1" s="1"/>
  <c r="BC560" i="1"/>
  <c r="BP560" i="1" s="1"/>
  <c r="BB560" i="1"/>
  <c r="BO560" i="1" s="1"/>
  <c r="BA560" i="1"/>
  <c r="BN560" i="1" s="1"/>
  <c r="AZ560" i="1"/>
  <c r="BZ560" i="1" s="1"/>
  <c r="AY560" i="1"/>
  <c r="BY560" i="1" s="1"/>
  <c r="AX560" i="1"/>
  <c r="AW560" i="1"/>
  <c r="AV560" i="1"/>
  <c r="BW560" i="1" s="1"/>
  <c r="BM559" i="1"/>
  <c r="BV559" i="1" s="1"/>
  <c r="BL559" i="1"/>
  <c r="BT559" i="1" s="1"/>
  <c r="BK559" i="1"/>
  <c r="BJ559" i="1"/>
  <c r="BI559" i="1"/>
  <c r="CB559" i="1" s="1"/>
  <c r="BH559" i="1"/>
  <c r="BG559" i="1"/>
  <c r="BF559" i="1"/>
  <c r="BS559" i="1" s="1"/>
  <c r="BE559" i="1"/>
  <c r="BR559" i="1" s="1"/>
  <c r="BD559" i="1"/>
  <c r="BQ559" i="1" s="1"/>
  <c r="BC559" i="1"/>
  <c r="BP559" i="1" s="1"/>
  <c r="BB559" i="1"/>
  <c r="BO559" i="1" s="1"/>
  <c r="BA559" i="1"/>
  <c r="BN559" i="1" s="1"/>
  <c r="AZ559" i="1"/>
  <c r="BZ559" i="1" s="1"/>
  <c r="AY559" i="1"/>
  <c r="BY559" i="1" s="1"/>
  <c r="AX559" i="1"/>
  <c r="AW559" i="1"/>
  <c r="AV559" i="1"/>
  <c r="BW559" i="1" s="1"/>
  <c r="BM558" i="1"/>
  <c r="BV558" i="1" s="1"/>
  <c r="BL558" i="1"/>
  <c r="BT558" i="1" s="1"/>
  <c r="BK558" i="1"/>
  <c r="BJ558" i="1"/>
  <c r="BI558" i="1"/>
  <c r="CB558" i="1" s="1"/>
  <c r="BH558" i="1"/>
  <c r="BG558" i="1"/>
  <c r="BF558" i="1"/>
  <c r="BS558" i="1" s="1"/>
  <c r="BE558" i="1"/>
  <c r="BR558" i="1" s="1"/>
  <c r="BD558" i="1"/>
  <c r="BQ558" i="1" s="1"/>
  <c r="BC558" i="1"/>
  <c r="BP558" i="1" s="1"/>
  <c r="BB558" i="1"/>
  <c r="BO558" i="1" s="1"/>
  <c r="BA558" i="1"/>
  <c r="BN558" i="1" s="1"/>
  <c r="AZ558" i="1"/>
  <c r="BZ558" i="1" s="1"/>
  <c r="AY558" i="1"/>
  <c r="BY558" i="1" s="1"/>
  <c r="AX558" i="1"/>
  <c r="AW558" i="1"/>
  <c r="AV558" i="1"/>
  <c r="BM557" i="1"/>
  <c r="BV557" i="1" s="1"/>
  <c r="BL557" i="1"/>
  <c r="BT557" i="1" s="1"/>
  <c r="BK557" i="1"/>
  <c r="BJ557" i="1"/>
  <c r="BI557" i="1"/>
  <c r="CB557" i="1" s="1"/>
  <c r="BH557" i="1"/>
  <c r="BG557" i="1"/>
  <c r="BF557" i="1"/>
  <c r="BS557" i="1" s="1"/>
  <c r="BE557" i="1"/>
  <c r="BR557" i="1" s="1"/>
  <c r="BD557" i="1"/>
  <c r="BQ557" i="1" s="1"/>
  <c r="BC557" i="1"/>
  <c r="BP557" i="1" s="1"/>
  <c r="BB557" i="1"/>
  <c r="BO557" i="1" s="1"/>
  <c r="BA557" i="1"/>
  <c r="BN557" i="1" s="1"/>
  <c r="AZ557" i="1"/>
  <c r="BZ557" i="1" s="1"/>
  <c r="AY557" i="1"/>
  <c r="BY557" i="1" s="1"/>
  <c r="AX557" i="1"/>
  <c r="AW557" i="1"/>
  <c r="AV557" i="1"/>
  <c r="BW557" i="1" s="1"/>
  <c r="BM556" i="1"/>
  <c r="BV556" i="1" s="1"/>
  <c r="BL556" i="1"/>
  <c r="BT556" i="1" s="1"/>
  <c r="BK556" i="1"/>
  <c r="BJ556" i="1"/>
  <c r="BI556" i="1"/>
  <c r="CB556" i="1" s="1"/>
  <c r="BH556" i="1"/>
  <c r="BG556" i="1"/>
  <c r="BF556" i="1"/>
  <c r="BS556" i="1" s="1"/>
  <c r="BE556" i="1"/>
  <c r="BR556" i="1" s="1"/>
  <c r="BD556" i="1"/>
  <c r="BQ556" i="1" s="1"/>
  <c r="BC556" i="1"/>
  <c r="BP556" i="1" s="1"/>
  <c r="BB556" i="1"/>
  <c r="BO556" i="1" s="1"/>
  <c r="BA556" i="1"/>
  <c r="BN556" i="1" s="1"/>
  <c r="AZ556" i="1"/>
  <c r="BZ556" i="1" s="1"/>
  <c r="AY556" i="1"/>
  <c r="BY556" i="1" s="1"/>
  <c r="AX556" i="1"/>
  <c r="AW556" i="1"/>
  <c r="AV556" i="1"/>
  <c r="BW556" i="1" s="1"/>
  <c r="BM555" i="1"/>
  <c r="BV555" i="1" s="1"/>
  <c r="BL555" i="1"/>
  <c r="BT555" i="1" s="1"/>
  <c r="BK555" i="1"/>
  <c r="BJ555" i="1"/>
  <c r="BI555" i="1"/>
  <c r="CB555" i="1" s="1"/>
  <c r="BH555" i="1"/>
  <c r="BG555" i="1"/>
  <c r="BF555" i="1"/>
  <c r="BS555" i="1" s="1"/>
  <c r="BE555" i="1"/>
  <c r="BR555" i="1" s="1"/>
  <c r="BD555" i="1"/>
  <c r="BQ555" i="1" s="1"/>
  <c r="BC555" i="1"/>
  <c r="BP555" i="1" s="1"/>
  <c r="BB555" i="1"/>
  <c r="BO555" i="1" s="1"/>
  <c r="BA555" i="1"/>
  <c r="BN555" i="1" s="1"/>
  <c r="AZ555" i="1"/>
  <c r="BZ555" i="1" s="1"/>
  <c r="AY555" i="1"/>
  <c r="BY555" i="1" s="1"/>
  <c r="AX555" i="1"/>
  <c r="AW555" i="1"/>
  <c r="AV555" i="1"/>
  <c r="BW555" i="1" s="1"/>
  <c r="BM554" i="1"/>
  <c r="BV554" i="1" s="1"/>
  <c r="BL554" i="1"/>
  <c r="BT554" i="1" s="1"/>
  <c r="BK554" i="1"/>
  <c r="BJ554" i="1"/>
  <c r="BI554" i="1"/>
  <c r="CB554" i="1" s="1"/>
  <c r="BH554" i="1"/>
  <c r="BG554" i="1"/>
  <c r="BF554" i="1"/>
  <c r="BS554" i="1" s="1"/>
  <c r="BE554" i="1"/>
  <c r="BR554" i="1" s="1"/>
  <c r="BD554" i="1"/>
  <c r="BQ554" i="1" s="1"/>
  <c r="BC554" i="1"/>
  <c r="BP554" i="1" s="1"/>
  <c r="BB554" i="1"/>
  <c r="BO554" i="1" s="1"/>
  <c r="BA554" i="1"/>
  <c r="BN554" i="1" s="1"/>
  <c r="AZ554" i="1"/>
  <c r="BZ554" i="1" s="1"/>
  <c r="AY554" i="1"/>
  <c r="BY554" i="1" s="1"/>
  <c r="AX554" i="1"/>
  <c r="AW554" i="1"/>
  <c r="AV554" i="1"/>
  <c r="BW554" i="1" s="1"/>
  <c r="BM553" i="1"/>
  <c r="BV553" i="1" s="1"/>
  <c r="BL553" i="1"/>
  <c r="BT553" i="1" s="1"/>
  <c r="BK553" i="1"/>
  <c r="BJ553" i="1"/>
  <c r="BI553" i="1"/>
  <c r="CB553" i="1" s="1"/>
  <c r="BH553" i="1"/>
  <c r="BG553" i="1"/>
  <c r="BF553" i="1"/>
  <c r="BS553" i="1" s="1"/>
  <c r="BE553" i="1"/>
  <c r="BR553" i="1" s="1"/>
  <c r="BD553" i="1"/>
  <c r="BQ553" i="1" s="1"/>
  <c r="BC553" i="1"/>
  <c r="BP553" i="1" s="1"/>
  <c r="BB553" i="1"/>
  <c r="BO553" i="1" s="1"/>
  <c r="BA553" i="1"/>
  <c r="BN553" i="1" s="1"/>
  <c r="AZ553" i="1"/>
  <c r="BZ553" i="1" s="1"/>
  <c r="AY553" i="1"/>
  <c r="BY553" i="1" s="1"/>
  <c r="AX553" i="1"/>
  <c r="AW553" i="1"/>
  <c r="AV553" i="1"/>
  <c r="BW553" i="1" s="1"/>
  <c r="BM552" i="1"/>
  <c r="BV552" i="1" s="1"/>
  <c r="BL552" i="1"/>
  <c r="BT552" i="1" s="1"/>
  <c r="BK552" i="1"/>
  <c r="BJ552" i="1"/>
  <c r="BI552" i="1"/>
  <c r="CB552" i="1" s="1"/>
  <c r="BH552" i="1"/>
  <c r="BG552" i="1"/>
  <c r="BF552" i="1"/>
  <c r="BS552" i="1" s="1"/>
  <c r="BE552" i="1"/>
  <c r="BR552" i="1" s="1"/>
  <c r="BD552" i="1"/>
  <c r="BQ552" i="1" s="1"/>
  <c r="BC552" i="1"/>
  <c r="BP552" i="1" s="1"/>
  <c r="BB552" i="1"/>
  <c r="BO552" i="1" s="1"/>
  <c r="BA552" i="1"/>
  <c r="BN552" i="1" s="1"/>
  <c r="AZ552" i="1"/>
  <c r="BZ552" i="1" s="1"/>
  <c r="AY552" i="1"/>
  <c r="BY552" i="1" s="1"/>
  <c r="AX552" i="1"/>
  <c r="AW552" i="1"/>
  <c r="AV552" i="1"/>
  <c r="BM551" i="1"/>
  <c r="BV551" i="1" s="1"/>
  <c r="BL551" i="1"/>
  <c r="BT551" i="1" s="1"/>
  <c r="BK551" i="1"/>
  <c r="BJ551" i="1"/>
  <c r="BI551" i="1"/>
  <c r="CB551" i="1" s="1"/>
  <c r="BH551" i="1"/>
  <c r="BG551" i="1"/>
  <c r="BF551" i="1"/>
  <c r="BS551" i="1" s="1"/>
  <c r="BE551" i="1"/>
  <c r="BR551" i="1" s="1"/>
  <c r="BD551" i="1"/>
  <c r="BQ551" i="1" s="1"/>
  <c r="BC551" i="1"/>
  <c r="BP551" i="1" s="1"/>
  <c r="BB551" i="1"/>
  <c r="BO551" i="1" s="1"/>
  <c r="BA551" i="1"/>
  <c r="BN551" i="1" s="1"/>
  <c r="AZ551" i="1"/>
  <c r="BZ551" i="1" s="1"/>
  <c r="AY551" i="1"/>
  <c r="BY551" i="1" s="1"/>
  <c r="AX551" i="1"/>
  <c r="AW551" i="1"/>
  <c r="AV551" i="1"/>
  <c r="BM550" i="1"/>
  <c r="BV550" i="1" s="1"/>
  <c r="BL550" i="1"/>
  <c r="BT550" i="1" s="1"/>
  <c r="BK550" i="1"/>
  <c r="BJ550" i="1"/>
  <c r="BI550" i="1"/>
  <c r="CB550" i="1" s="1"/>
  <c r="BH550" i="1"/>
  <c r="BG550" i="1"/>
  <c r="BF550" i="1"/>
  <c r="BS550" i="1" s="1"/>
  <c r="BE550" i="1"/>
  <c r="BR550" i="1" s="1"/>
  <c r="BD550" i="1"/>
  <c r="BQ550" i="1" s="1"/>
  <c r="BC550" i="1"/>
  <c r="BP550" i="1" s="1"/>
  <c r="BB550" i="1"/>
  <c r="BO550" i="1" s="1"/>
  <c r="BA550" i="1"/>
  <c r="BN550" i="1" s="1"/>
  <c r="AZ550" i="1"/>
  <c r="BZ550" i="1" s="1"/>
  <c r="AY550" i="1"/>
  <c r="BY550" i="1" s="1"/>
  <c r="AX550" i="1"/>
  <c r="AW550" i="1"/>
  <c r="AV550" i="1"/>
  <c r="BW550" i="1" s="1"/>
  <c r="BM549" i="1"/>
  <c r="BV549" i="1" s="1"/>
  <c r="BL549" i="1"/>
  <c r="BT549" i="1" s="1"/>
  <c r="BK549" i="1"/>
  <c r="BJ549" i="1"/>
  <c r="BI549" i="1"/>
  <c r="CB549" i="1" s="1"/>
  <c r="BH549" i="1"/>
  <c r="BG549" i="1"/>
  <c r="BF549" i="1"/>
  <c r="BS549" i="1" s="1"/>
  <c r="BE549" i="1"/>
  <c r="BR549" i="1" s="1"/>
  <c r="BD549" i="1"/>
  <c r="BQ549" i="1" s="1"/>
  <c r="BC549" i="1"/>
  <c r="BP549" i="1" s="1"/>
  <c r="BB549" i="1"/>
  <c r="BO549" i="1" s="1"/>
  <c r="BA549" i="1"/>
  <c r="BN549" i="1" s="1"/>
  <c r="AZ549" i="1"/>
  <c r="BZ549" i="1" s="1"/>
  <c r="AY549" i="1"/>
  <c r="BY549" i="1" s="1"/>
  <c r="AX549" i="1"/>
  <c r="AW549" i="1"/>
  <c r="AV549" i="1"/>
  <c r="BW549" i="1" s="1"/>
  <c r="BM548" i="1"/>
  <c r="BV548" i="1" s="1"/>
  <c r="BL548" i="1"/>
  <c r="BT548" i="1" s="1"/>
  <c r="BK548" i="1"/>
  <c r="BJ548" i="1"/>
  <c r="BI548" i="1"/>
  <c r="CB548" i="1" s="1"/>
  <c r="BH548" i="1"/>
  <c r="BG548" i="1"/>
  <c r="BF548" i="1"/>
  <c r="BS548" i="1" s="1"/>
  <c r="BE548" i="1"/>
  <c r="BR548" i="1" s="1"/>
  <c r="BD548" i="1"/>
  <c r="BQ548" i="1" s="1"/>
  <c r="BC548" i="1"/>
  <c r="BP548" i="1" s="1"/>
  <c r="BB548" i="1"/>
  <c r="BO548" i="1" s="1"/>
  <c r="BA548" i="1"/>
  <c r="BN548" i="1" s="1"/>
  <c r="AZ548" i="1"/>
  <c r="BZ548" i="1" s="1"/>
  <c r="AY548" i="1"/>
  <c r="BY548" i="1" s="1"/>
  <c r="AX548" i="1"/>
  <c r="AW548" i="1"/>
  <c r="AV548" i="1"/>
  <c r="BM547" i="1"/>
  <c r="BV547" i="1" s="1"/>
  <c r="BL547" i="1"/>
  <c r="BT547" i="1" s="1"/>
  <c r="BK547" i="1"/>
  <c r="BJ547" i="1"/>
  <c r="BI547" i="1"/>
  <c r="CB547" i="1" s="1"/>
  <c r="BH547" i="1"/>
  <c r="BG547" i="1"/>
  <c r="BF547" i="1"/>
  <c r="BS547" i="1" s="1"/>
  <c r="BE547" i="1"/>
  <c r="BR547" i="1" s="1"/>
  <c r="BD547" i="1"/>
  <c r="BQ547" i="1" s="1"/>
  <c r="BC547" i="1"/>
  <c r="BP547" i="1" s="1"/>
  <c r="BB547" i="1"/>
  <c r="BO547" i="1" s="1"/>
  <c r="BA547" i="1"/>
  <c r="BN547" i="1" s="1"/>
  <c r="AZ547" i="1"/>
  <c r="BZ547" i="1" s="1"/>
  <c r="AY547" i="1"/>
  <c r="BY547" i="1" s="1"/>
  <c r="AX547" i="1"/>
  <c r="AW547" i="1"/>
  <c r="AV547" i="1"/>
  <c r="BW547" i="1" s="1"/>
  <c r="BM546" i="1"/>
  <c r="BV546" i="1" s="1"/>
  <c r="BL546" i="1"/>
  <c r="BT546" i="1" s="1"/>
  <c r="BK546" i="1"/>
  <c r="BJ546" i="1"/>
  <c r="BI546" i="1"/>
  <c r="CB546" i="1" s="1"/>
  <c r="BH546" i="1"/>
  <c r="BG546" i="1"/>
  <c r="BF546" i="1"/>
  <c r="BS546" i="1" s="1"/>
  <c r="BE546" i="1"/>
  <c r="BR546" i="1" s="1"/>
  <c r="BD546" i="1"/>
  <c r="BQ546" i="1" s="1"/>
  <c r="BC546" i="1"/>
  <c r="BP546" i="1" s="1"/>
  <c r="BB546" i="1"/>
  <c r="BO546" i="1" s="1"/>
  <c r="BA546" i="1"/>
  <c r="BN546" i="1" s="1"/>
  <c r="AZ546" i="1"/>
  <c r="BZ546" i="1" s="1"/>
  <c r="AY546" i="1"/>
  <c r="BY546" i="1" s="1"/>
  <c r="AX546" i="1"/>
  <c r="AW546" i="1"/>
  <c r="AV546" i="1"/>
  <c r="BW546" i="1" s="1"/>
  <c r="BM545" i="1"/>
  <c r="BV545" i="1" s="1"/>
  <c r="BL545" i="1"/>
  <c r="BT545" i="1" s="1"/>
  <c r="BK545" i="1"/>
  <c r="BJ545" i="1"/>
  <c r="BI545" i="1"/>
  <c r="CB545" i="1" s="1"/>
  <c r="BH545" i="1"/>
  <c r="BG545" i="1"/>
  <c r="BF545" i="1"/>
  <c r="BS545" i="1" s="1"/>
  <c r="BE545" i="1"/>
  <c r="BR545" i="1" s="1"/>
  <c r="BD545" i="1"/>
  <c r="BQ545" i="1" s="1"/>
  <c r="BC545" i="1"/>
  <c r="BP545" i="1" s="1"/>
  <c r="BB545" i="1"/>
  <c r="BO545" i="1" s="1"/>
  <c r="BA545" i="1"/>
  <c r="BN545" i="1" s="1"/>
  <c r="AZ545" i="1"/>
  <c r="BZ545" i="1" s="1"/>
  <c r="AY545" i="1"/>
  <c r="BY545" i="1" s="1"/>
  <c r="AX545" i="1"/>
  <c r="AW545" i="1"/>
  <c r="AV545" i="1"/>
  <c r="BW545" i="1" s="1"/>
  <c r="BM544" i="1"/>
  <c r="BV544" i="1" s="1"/>
  <c r="BL544" i="1"/>
  <c r="BT544" i="1" s="1"/>
  <c r="BK544" i="1"/>
  <c r="BJ544" i="1"/>
  <c r="BI544" i="1"/>
  <c r="CB544" i="1" s="1"/>
  <c r="BH544" i="1"/>
  <c r="BG544" i="1"/>
  <c r="BF544" i="1"/>
  <c r="BS544" i="1" s="1"/>
  <c r="BE544" i="1"/>
  <c r="BR544" i="1" s="1"/>
  <c r="BD544" i="1"/>
  <c r="BQ544" i="1" s="1"/>
  <c r="BC544" i="1"/>
  <c r="BP544" i="1" s="1"/>
  <c r="BB544" i="1"/>
  <c r="BO544" i="1" s="1"/>
  <c r="BA544" i="1"/>
  <c r="BN544" i="1" s="1"/>
  <c r="AZ544" i="1"/>
  <c r="BZ544" i="1" s="1"/>
  <c r="AY544" i="1"/>
  <c r="BY544" i="1" s="1"/>
  <c r="AX544" i="1"/>
  <c r="AW544" i="1"/>
  <c r="AV544" i="1"/>
  <c r="BW544" i="1" s="1"/>
  <c r="BM543" i="1"/>
  <c r="BV543" i="1" s="1"/>
  <c r="BL543" i="1"/>
  <c r="BT543" i="1" s="1"/>
  <c r="BK543" i="1"/>
  <c r="BJ543" i="1"/>
  <c r="BI543" i="1"/>
  <c r="CB543" i="1" s="1"/>
  <c r="BH543" i="1"/>
  <c r="BG543" i="1"/>
  <c r="BF543" i="1"/>
  <c r="BS543" i="1" s="1"/>
  <c r="BE543" i="1"/>
  <c r="BR543" i="1" s="1"/>
  <c r="BD543" i="1"/>
  <c r="BQ543" i="1" s="1"/>
  <c r="BC543" i="1"/>
  <c r="BP543" i="1" s="1"/>
  <c r="BB543" i="1"/>
  <c r="BO543" i="1" s="1"/>
  <c r="BA543" i="1"/>
  <c r="BN543" i="1" s="1"/>
  <c r="AZ543" i="1"/>
  <c r="BZ543" i="1" s="1"/>
  <c r="AY543" i="1"/>
  <c r="BY543" i="1" s="1"/>
  <c r="AX543" i="1"/>
  <c r="AW543" i="1"/>
  <c r="AV543" i="1"/>
  <c r="BM542" i="1"/>
  <c r="BV542" i="1" s="1"/>
  <c r="BL542" i="1"/>
  <c r="BT542" i="1" s="1"/>
  <c r="BK542" i="1"/>
  <c r="BJ542" i="1"/>
  <c r="BI542" i="1"/>
  <c r="CB542" i="1" s="1"/>
  <c r="BH542" i="1"/>
  <c r="BG542" i="1"/>
  <c r="BF542" i="1"/>
  <c r="BS542" i="1" s="1"/>
  <c r="BE542" i="1"/>
  <c r="BR542" i="1" s="1"/>
  <c r="BD542" i="1"/>
  <c r="BQ542" i="1" s="1"/>
  <c r="BC542" i="1"/>
  <c r="BP542" i="1" s="1"/>
  <c r="BB542" i="1"/>
  <c r="BO542" i="1" s="1"/>
  <c r="BA542" i="1"/>
  <c r="BN542" i="1" s="1"/>
  <c r="AZ542" i="1"/>
  <c r="BZ542" i="1" s="1"/>
  <c r="AY542" i="1"/>
  <c r="BY542" i="1" s="1"/>
  <c r="AX542" i="1"/>
  <c r="AW542" i="1"/>
  <c r="AV542" i="1"/>
  <c r="BM541" i="1"/>
  <c r="BV541" i="1" s="1"/>
  <c r="BL541" i="1"/>
  <c r="BT541" i="1" s="1"/>
  <c r="BK541" i="1"/>
  <c r="BJ541" i="1"/>
  <c r="BI541" i="1"/>
  <c r="CB541" i="1" s="1"/>
  <c r="BH541" i="1"/>
  <c r="BG541" i="1"/>
  <c r="BF541" i="1"/>
  <c r="BS541" i="1" s="1"/>
  <c r="BE541" i="1"/>
  <c r="BR541" i="1" s="1"/>
  <c r="BD541" i="1"/>
  <c r="BQ541" i="1" s="1"/>
  <c r="BC541" i="1"/>
  <c r="BP541" i="1" s="1"/>
  <c r="BB541" i="1"/>
  <c r="BO541" i="1" s="1"/>
  <c r="BA541" i="1"/>
  <c r="BN541" i="1" s="1"/>
  <c r="AZ541" i="1"/>
  <c r="BZ541" i="1" s="1"/>
  <c r="AY541" i="1"/>
  <c r="BY541" i="1" s="1"/>
  <c r="AX541" i="1"/>
  <c r="AW541" i="1"/>
  <c r="AV541" i="1"/>
  <c r="BM540" i="1"/>
  <c r="BV540" i="1" s="1"/>
  <c r="BL540" i="1"/>
  <c r="BT540" i="1" s="1"/>
  <c r="BK540" i="1"/>
  <c r="BJ540" i="1"/>
  <c r="BI540" i="1"/>
  <c r="CB540" i="1" s="1"/>
  <c r="BH540" i="1"/>
  <c r="BG540" i="1"/>
  <c r="BF540" i="1"/>
  <c r="BS540" i="1" s="1"/>
  <c r="BE540" i="1"/>
  <c r="BR540" i="1" s="1"/>
  <c r="BD540" i="1"/>
  <c r="BQ540" i="1" s="1"/>
  <c r="BC540" i="1"/>
  <c r="BP540" i="1" s="1"/>
  <c r="BB540" i="1"/>
  <c r="BO540" i="1" s="1"/>
  <c r="BA540" i="1"/>
  <c r="BN540" i="1" s="1"/>
  <c r="AZ540" i="1"/>
  <c r="BZ540" i="1" s="1"/>
  <c r="AY540" i="1"/>
  <c r="BY540" i="1" s="1"/>
  <c r="AX540" i="1"/>
  <c r="AW540" i="1"/>
  <c r="AV540" i="1"/>
  <c r="BW540" i="1" s="1"/>
  <c r="BM539" i="1"/>
  <c r="BV539" i="1" s="1"/>
  <c r="BL539" i="1"/>
  <c r="BT539" i="1" s="1"/>
  <c r="BK539" i="1"/>
  <c r="BJ539" i="1"/>
  <c r="BI539" i="1"/>
  <c r="CB539" i="1" s="1"/>
  <c r="BH539" i="1"/>
  <c r="BG539" i="1"/>
  <c r="BF539" i="1"/>
  <c r="BS539" i="1" s="1"/>
  <c r="BE539" i="1"/>
  <c r="BR539" i="1" s="1"/>
  <c r="BD539" i="1"/>
  <c r="BQ539" i="1" s="1"/>
  <c r="BC539" i="1"/>
  <c r="BP539" i="1" s="1"/>
  <c r="BB539" i="1"/>
  <c r="BO539" i="1" s="1"/>
  <c r="BA539" i="1"/>
  <c r="BN539" i="1" s="1"/>
  <c r="AZ539" i="1"/>
  <c r="BZ539" i="1" s="1"/>
  <c r="AY539" i="1"/>
  <c r="BY539" i="1" s="1"/>
  <c r="AX539" i="1"/>
  <c r="AW539" i="1"/>
  <c r="AV539" i="1"/>
  <c r="BW539" i="1" s="1"/>
  <c r="BM538" i="1"/>
  <c r="BV538" i="1" s="1"/>
  <c r="BL538" i="1"/>
  <c r="BT538" i="1" s="1"/>
  <c r="BK538" i="1"/>
  <c r="BJ538" i="1"/>
  <c r="BI538" i="1"/>
  <c r="CB538" i="1" s="1"/>
  <c r="BH538" i="1"/>
  <c r="BG538" i="1"/>
  <c r="BF538" i="1"/>
  <c r="BS538" i="1" s="1"/>
  <c r="BE538" i="1"/>
  <c r="BR538" i="1" s="1"/>
  <c r="BD538" i="1"/>
  <c r="BQ538" i="1" s="1"/>
  <c r="BC538" i="1"/>
  <c r="BP538" i="1" s="1"/>
  <c r="BB538" i="1"/>
  <c r="BO538" i="1" s="1"/>
  <c r="BA538" i="1"/>
  <c r="BN538" i="1" s="1"/>
  <c r="AZ538" i="1"/>
  <c r="BZ538" i="1" s="1"/>
  <c r="AY538" i="1"/>
  <c r="BY538" i="1" s="1"/>
  <c r="AX538" i="1"/>
  <c r="AW538" i="1"/>
  <c r="AV538" i="1"/>
  <c r="BM537" i="1"/>
  <c r="BV537" i="1" s="1"/>
  <c r="BL537" i="1"/>
  <c r="BT537" i="1" s="1"/>
  <c r="BK537" i="1"/>
  <c r="BJ537" i="1"/>
  <c r="BI537" i="1"/>
  <c r="CB537" i="1" s="1"/>
  <c r="BH537" i="1"/>
  <c r="BG537" i="1"/>
  <c r="BF537" i="1"/>
  <c r="BS537" i="1" s="1"/>
  <c r="BE537" i="1"/>
  <c r="BR537" i="1" s="1"/>
  <c r="BD537" i="1"/>
  <c r="BQ537" i="1" s="1"/>
  <c r="BC537" i="1"/>
  <c r="BP537" i="1" s="1"/>
  <c r="BB537" i="1"/>
  <c r="BO537" i="1" s="1"/>
  <c r="BA537" i="1"/>
  <c r="BN537" i="1" s="1"/>
  <c r="AZ537" i="1"/>
  <c r="BZ537" i="1" s="1"/>
  <c r="AY537" i="1"/>
  <c r="BY537" i="1" s="1"/>
  <c r="AX537" i="1"/>
  <c r="AW537" i="1"/>
  <c r="AV537" i="1"/>
  <c r="BW537" i="1" s="1"/>
  <c r="BM536" i="1"/>
  <c r="BV536" i="1" s="1"/>
  <c r="BL536" i="1"/>
  <c r="BT536" i="1" s="1"/>
  <c r="BK536" i="1"/>
  <c r="BJ536" i="1"/>
  <c r="BI536" i="1"/>
  <c r="CB536" i="1" s="1"/>
  <c r="BH536" i="1"/>
  <c r="BG536" i="1"/>
  <c r="BF536" i="1"/>
  <c r="BS536" i="1" s="1"/>
  <c r="BE536" i="1"/>
  <c r="BR536" i="1" s="1"/>
  <c r="BD536" i="1"/>
  <c r="BQ536" i="1" s="1"/>
  <c r="BC536" i="1"/>
  <c r="BP536" i="1" s="1"/>
  <c r="BB536" i="1"/>
  <c r="BO536" i="1" s="1"/>
  <c r="BA536" i="1"/>
  <c r="BN536" i="1" s="1"/>
  <c r="AZ536" i="1"/>
  <c r="BZ536" i="1" s="1"/>
  <c r="AY536" i="1"/>
  <c r="BY536" i="1" s="1"/>
  <c r="AX536" i="1"/>
  <c r="AW536" i="1"/>
  <c r="AV536" i="1"/>
  <c r="BW536" i="1" s="1"/>
  <c r="BM535" i="1"/>
  <c r="BV535" i="1" s="1"/>
  <c r="BL535" i="1"/>
  <c r="BT535" i="1" s="1"/>
  <c r="BK535" i="1"/>
  <c r="BJ535" i="1"/>
  <c r="BI535" i="1"/>
  <c r="CB535" i="1" s="1"/>
  <c r="BH535" i="1"/>
  <c r="BG535" i="1"/>
  <c r="BF535" i="1"/>
  <c r="BS535" i="1" s="1"/>
  <c r="BE535" i="1"/>
  <c r="BR535" i="1" s="1"/>
  <c r="BD535" i="1"/>
  <c r="BQ535" i="1" s="1"/>
  <c r="BC535" i="1"/>
  <c r="BP535" i="1" s="1"/>
  <c r="BB535" i="1"/>
  <c r="BO535" i="1" s="1"/>
  <c r="BA535" i="1"/>
  <c r="BN535" i="1" s="1"/>
  <c r="AZ535" i="1"/>
  <c r="BZ535" i="1" s="1"/>
  <c r="AY535" i="1"/>
  <c r="BY535" i="1" s="1"/>
  <c r="AX535" i="1"/>
  <c r="AW535" i="1"/>
  <c r="AV535" i="1"/>
  <c r="BW535" i="1" s="1"/>
  <c r="BM534" i="1"/>
  <c r="BV534" i="1" s="1"/>
  <c r="BL534" i="1"/>
  <c r="BT534" i="1" s="1"/>
  <c r="BK534" i="1"/>
  <c r="BJ534" i="1"/>
  <c r="BI534" i="1"/>
  <c r="CB534" i="1" s="1"/>
  <c r="BH534" i="1"/>
  <c r="BG534" i="1"/>
  <c r="BF534" i="1"/>
  <c r="BS534" i="1" s="1"/>
  <c r="BE534" i="1"/>
  <c r="BR534" i="1" s="1"/>
  <c r="BD534" i="1"/>
  <c r="BQ534" i="1" s="1"/>
  <c r="BC534" i="1"/>
  <c r="BP534" i="1" s="1"/>
  <c r="BB534" i="1"/>
  <c r="BO534" i="1" s="1"/>
  <c r="BA534" i="1"/>
  <c r="BN534" i="1" s="1"/>
  <c r="AZ534" i="1"/>
  <c r="BZ534" i="1" s="1"/>
  <c r="AY534" i="1"/>
  <c r="BY534" i="1" s="1"/>
  <c r="AX534" i="1"/>
  <c r="AW534" i="1"/>
  <c r="AV534" i="1"/>
  <c r="BW534" i="1" s="1"/>
  <c r="BM533" i="1"/>
  <c r="BV533" i="1" s="1"/>
  <c r="BL533" i="1"/>
  <c r="BT533" i="1" s="1"/>
  <c r="BK533" i="1"/>
  <c r="BJ533" i="1"/>
  <c r="BI533" i="1"/>
  <c r="CB533" i="1" s="1"/>
  <c r="BH533" i="1"/>
  <c r="BG533" i="1"/>
  <c r="BF533" i="1"/>
  <c r="BS533" i="1" s="1"/>
  <c r="BE533" i="1"/>
  <c r="BR533" i="1" s="1"/>
  <c r="BD533" i="1"/>
  <c r="BQ533" i="1" s="1"/>
  <c r="BC533" i="1"/>
  <c r="BP533" i="1" s="1"/>
  <c r="BB533" i="1"/>
  <c r="BO533" i="1" s="1"/>
  <c r="BA533" i="1"/>
  <c r="BN533" i="1" s="1"/>
  <c r="AZ533" i="1"/>
  <c r="BZ533" i="1" s="1"/>
  <c r="AY533" i="1"/>
  <c r="BY533" i="1" s="1"/>
  <c r="AX533" i="1"/>
  <c r="AW533" i="1"/>
  <c r="AV533" i="1"/>
  <c r="BM532" i="1"/>
  <c r="BV532" i="1" s="1"/>
  <c r="BL532" i="1"/>
  <c r="BT532" i="1" s="1"/>
  <c r="BK532" i="1"/>
  <c r="BJ532" i="1"/>
  <c r="BI532" i="1"/>
  <c r="CB532" i="1" s="1"/>
  <c r="BH532" i="1"/>
  <c r="BG532" i="1"/>
  <c r="BF532" i="1"/>
  <c r="BS532" i="1" s="1"/>
  <c r="BE532" i="1"/>
  <c r="BR532" i="1" s="1"/>
  <c r="BD532" i="1"/>
  <c r="BQ532" i="1" s="1"/>
  <c r="BC532" i="1"/>
  <c r="BP532" i="1" s="1"/>
  <c r="BB532" i="1"/>
  <c r="BO532" i="1" s="1"/>
  <c r="BA532" i="1"/>
  <c r="BN532" i="1" s="1"/>
  <c r="AZ532" i="1"/>
  <c r="BZ532" i="1" s="1"/>
  <c r="AY532" i="1"/>
  <c r="BY532" i="1" s="1"/>
  <c r="AX532" i="1"/>
  <c r="AW532" i="1"/>
  <c r="AV532" i="1"/>
  <c r="BW532" i="1" s="1"/>
  <c r="BM531" i="1"/>
  <c r="BV531" i="1" s="1"/>
  <c r="BL531" i="1"/>
  <c r="BT531" i="1" s="1"/>
  <c r="BK531" i="1"/>
  <c r="BJ531" i="1"/>
  <c r="BI531" i="1"/>
  <c r="CB531" i="1" s="1"/>
  <c r="BH531" i="1"/>
  <c r="BG531" i="1"/>
  <c r="BF531" i="1"/>
  <c r="BS531" i="1" s="1"/>
  <c r="BE531" i="1"/>
  <c r="BR531" i="1" s="1"/>
  <c r="BD531" i="1"/>
  <c r="BQ531" i="1" s="1"/>
  <c r="BC531" i="1"/>
  <c r="BP531" i="1" s="1"/>
  <c r="BB531" i="1"/>
  <c r="BO531" i="1" s="1"/>
  <c r="BA531" i="1"/>
  <c r="BN531" i="1" s="1"/>
  <c r="AZ531" i="1"/>
  <c r="BZ531" i="1" s="1"/>
  <c r="AY531" i="1"/>
  <c r="BY531" i="1" s="1"/>
  <c r="AX531" i="1"/>
  <c r="AW531" i="1"/>
  <c r="AV531" i="1"/>
  <c r="BM530" i="1"/>
  <c r="BV530" i="1" s="1"/>
  <c r="BL530" i="1"/>
  <c r="BT530" i="1" s="1"/>
  <c r="BK530" i="1"/>
  <c r="BJ530" i="1"/>
  <c r="BI530" i="1"/>
  <c r="CB530" i="1" s="1"/>
  <c r="BH530" i="1"/>
  <c r="BG530" i="1"/>
  <c r="BF530" i="1"/>
  <c r="BS530" i="1" s="1"/>
  <c r="BE530" i="1"/>
  <c r="BR530" i="1" s="1"/>
  <c r="BD530" i="1"/>
  <c r="BQ530" i="1" s="1"/>
  <c r="BC530" i="1"/>
  <c r="BP530" i="1" s="1"/>
  <c r="BB530" i="1"/>
  <c r="BO530" i="1" s="1"/>
  <c r="BA530" i="1"/>
  <c r="BN530" i="1" s="1"/>
  <c r="AZ530" i="1"/>
  <c r="BZ530" i="1" s="1"/>
  <c r="AY530" i="1"/>
  <c r="BY530" i="1" s="1"/>
  <c r="AX530" i="1"/>
  <c r="AW530" i="1"/>
  <c r="AV530" i="1"/>
  <c r="BW530" i="1" s="1"/>
  <c r="BM529" i="1"/>
  <c r="BV529" i="1" s="1"/>
  <c r="BL529" i="1"/>
  <c r="BT529" i="1" s="1"/>
  <c r="BK529" i="1"/>
  <c r="BJ529" i="1"/>
  <c r="BI529" i="1"/>
  <c r="CB529" i="1" s="1"/>
  <c r="BH529" i="1"/>
  <c r="BG529" i="1"/>
  <c r="BF529" i="1"/>
  <c r="BS529" i="1" s="1"/>
  <c r="BE529" i="1"/>
  <c r="BR529" i="1" s="1"/>
  <c r="BD529" i="1"/>
  <c r="BQ529" i="1" s="1"/>
  <c r="BC529" i="1"/>
  <c r="BP529" i="1" s="1"/>
  <c r="BB529" i="1"/>
  <c r="BO529" i="1" s="1"/>
  <c r="BA529" i="1"/>
  <c r="BN529" i="1" s="1"/>
  <c r="AZ529" i="1"/>
  <c r="BZ529" i="1" s="1"/>
  <c r="AY529" i="1"/>
  <c r="BY529" i="1" s="1"/>
  <c r="AX529" i="1"/>
  <c r="AW529" i="1"/>
  <c r="AV529" i="1"/>
  <c r="BW529" i="1" s="1"/>
  <c r="BM528" i="1"/>
  <c r="BV528" i="1" s="1"/>
  <c r="BL528" i="1"/>
  <c r="BT528" i="1" s="1"/>
  <c r="BK528" i="1"/>
  <c r="BJ528" i="1"/>
  <c r="BI528" i="1"/>
  <c r="CB528" i="1" s="1"/>
  <c r="BH528" i="1"/>
  <c r="BG528" i="1"/>
  <c r="BF528" i="1"/>
  <c r="BS528" i="1" s="1"/>
  <c r="BE528" i="1"/>
  <c r="BR528" i="1" s="1"/>
  <c r="BD528" i="1"/>
  <c r="BQ528" i="1" s="1"/>
  <c r="BC528" i="1"/>
  <c r="BP528" i="1" s="1"/>
  <c r="BB528" i="1"/>
  <c r="BO528" i="1" s="1"/>
  <c r="BA528" i="1"/>
  <c r="BN528" i="1" s="1"/>
  <c r="AZ528" i="1"/>
  <c r="BZ528" i="1" s="1"/>
  <c r="AY528" i="1"/>
  <c r="BY528" i="1" s="1"/>
  <c r="AX528" i="1"/>
  <c r="AW528" i="1"/>
  <c r="AV528" i="1"/>
  <c r="BM527" i="1"/>
  <c r="BV527" i="1" s="1"/>
  <c r="BL527" i="1"/>
  <c r="BT527" i="1" s="1"/>
  <c r="BK527" i="1"/>
  <c r="BJ527" i="1"/>
  <c r="BI527" i="1"/>
  <c r="CB527" i="1" s="1"/>
  <c r="BH527" i="1"/>
  <c r="BG527" i="1"/>
  <c r="BF527" i="1"/>
  <c r="BS527" i="1" s="1"/>
  <c r="BE527" i="1"/>
  <c r="BR527" i="1" s="1"/>
  <c r="BD527" i="1"/>
  <c r="BQ527" i="1" s="1"/>
  <c r="BC527" i="1"/>
  <c r="BP527" i="1" s="1"/>
  <c r="BB527" i="1"/>
  <c r="BO527" i="1" s="1"/>
  <c r="BA527" i="1"/>
  <c r="BN527" i="1" s="1"/>
  <c r="AZ527" i="1"/>
  <c r="BZ527" i="1" s="1"/>
  <c r="AY527" i="1"/>
  <c r="BY527" i="1" s="1"/>
  <c r="AX527" i="1"/>
  <c r="AW527" i="1"/>
  <c r="AV527" i="1"/>
  <c r="BW527" i="1" s="1"/>
  <c r="BM526" i="1"/>
  <c r="BV526" i="1" s="1"/>
  <c r="BL526" i="1"/>
  <c r="BT526" i="1" s="1"/>
  <c r="BK526" i="1"/>
  <c r="BJ526" i="1"/>
  <c r="BI526" i="1"/>
  <c r="CB526" i="1" s="1"/>
  <c r="BH526" i="1"/>
  <c r="BG526" i="1"/>
  <c r="BF526" i="1"/>
  <c r="BS526" i="1" s="1"/>
  <c r="BE526" i="1"/>
  <c r="BR526" i="1" s="1"/>
  <c r="BD526" i="1"/>
  <c r="BQ526" i="1" s="1"/>
  <c r="BC526" i="1"/>
  <c r="BP526" i="1" s="1"/>
  <c r="BB526" i="1"/>
  <c r="BO526" i="1" s="1"/>
  <c r="BA526" i="1"/>
  <c r="BN526" i="1" s="1"/>
  <c r="AZ526" i="1"/>
  <c r="BZ526" i="1" s="1"/>
  <c r="AY526" i="1"/>
  <c r="BY526" i="1" s="1"/>
  <c r="AX526" i="1"/>
  <c r="AW526" i="1"/>
  <c r="AV526" i="1"/>
  <c r="BW526" i="1" s="1"/>
  <c r="BM525" i="1"/>
  <c r="BV525" i="1" s="1"/>
  <c r="BL525" i="1"/>
  <c r="BT525" i="1" s="1"/>
  <c r="BK525" i="1"/>
  <c r="BJ525" i="1"/>
  <c r="BI525" i="1"/>
  <c r="CB525" i="1" s="1"/>
  <c r="BH525" i="1"/>
  <c r="BG525" i="1"/>
  <c r="BF525" i="1"/>
  <c r="BS525" i="1" s="1"/>
  <c r="BE525" i="1"/>
  <c r="BR525" i="1" s="1"/>
  <c r="BD525" i="1"/>
  <c r="BQ525" i="1" s="1"/>
  <c r="BC525" i="1"/>
  <c r="BP525" i="1" s="1"/>
  <c r="BB525" i="1"/>
  <c r="BO525" i="1" s="1"/>
  <c r="BA525" i="1"/>
  <c r="BN525" i="1" s="1"/>
  <c r="AZ525" i="1"/>
  <c r="BZ525" i="1" s="1"/>
  <c r="AY525" i="1"/>
  <c r="BY525" i="1" s="1"/>
  <c r="AX525" i="1"/>
  <c r="AW525" i="1"/>
  <c r="AV525" i="1"/>
  <c r="BW525" i="1" s="1"/>
  <c r="BM524" i="1"/>
  <c r="BV524" i="1" s="1"/>
  <c r="BL524" i="1"/>
  <c r="BT524" i="1" s="1"/>
  <c r="BK524" i="1"/>
  <c r="BJ524" i="1"/>
  <c r="BI524" i="1"/>
  <c r="CB524" i="1" s="1"/>
  <c r="BH524" i="1"/>
  <c r="BG524" i="1"/>
  <c r="BF524" i="1"/>
  <c r="BS524" i="1" s="1"/>
  <c r="BE524" i="1"/>
  <c r="BR524" i="1" s="1"/>
  <c r="BD524" i="1"/>
  <c r="BQ524" i="1" s="1"/>
  <c r="BC524" i="1"/>
  <c r="BP524" i="1" s="1"/>
  <c r="BB524" i="1"/>
  <c r="BO524" i="1" s="1"/>
  <c r="BA524" i="1"/>
  <c r="BN524" i="1" s="1"/>
  <c r="AZ524" i="1"/>
  <c r="BZ524" i="1" s="1"/>
  <c r="AY524" i="1"/>
  <c r="BY524" i="1" s="1"/>
  <c r="AX524" i="1"/>
  <c r="AW524" i="1"/>
  <c r="AV524" i="1"/>
  <c r="BW524" i="1" s="1"/>
  <c r="BM523" i="1"/>
  <c r="BV523" i="1" s="1"/>
  <c r="BL523" i="1"/>
  <c r="BT523" i="1" s="1"/>
  <c r="BK523" i="1"/>
  <c r="BJ523" i="1"/>
  <c r="BI523" i="1"/>
  <c r="CB523" i="1" s="1"/>
  <c r="BH523" i="1"/>
  <c r="BG523" i="1"/>
  <c r="BF523" i="1"/>
  <c r="BS523" i="1" s="1"/>
  <c r="BE523" i="1"/>
  <c r="BR523" i="1" s="1"/>
  <c r="BD523" i="1"/>
  <c r="BQ523" i="1" s="1"/>
  <c r="BC523" i="1"/>
  <c r="BP523" i="1" s="1"/>
  <c r="BB523" i="1"/>
  <c r="BO523" i="1" s="1"/>
  <c r="BA523" i="1"/>
  <c r="BN523" i="1" s="1"/>
  <c r="AZ523" i="1"/>
  <c r="BZ523" i="1" s="1"/>
  <c r="AY523" i="1"/>
  <c r="BY523" i="1" s="1"/>
  <c r="AX523" i="1"/>
  <c r="AW523" i="1"/>
  <c r="AV523" i="1"/>
  <c r="BW523" i="1" s="1"/>
  <c r="BM522" i="1"/>
  <c r="BV522" i="1" s="1"/>
  <c r="BL522" i="1"/>
  <c r="BT522" i="1" s="1"/>
  <c r="BK522" i="1"/>
  <c r="BJ522" i="1"/>
  <c r="BI522" i="1"/>
  <c r="CB522" i="1" s="1"/>
  <c r="BH522" i="1"/>
  <c r="BG522" i="1"/>
  <c r="BF522" i="1"/>
  <c r="BS522" i="1" s="1"/>
  <c r="BE522" i="1"/>
  <c r="BR522" i="1" s="1"/>
  <c r="BD522" i="1"/>
  <c r="BQ522" i="1" s="1"/>
  <c r="BC522" i="1"/>
  <c r="BP522" i="1" s="1"/>
  <c r="BB522" i="1"/>
  <c r="BO522" i="1" s="1"/>
  <c r="BA522" i="1"/>
  <c r="BN522" i="1" s="1"/>
  <c r="AZ522" i="1"/>
  <c r="BZ522" i="1" s="1"/>
  <c r="AY522" i="1"/>
  <c r="BY522" i="1" s="1"/>
  <c r="AX522" i="1"/>
  <c r="AW522" i="1"/>
  <c r="AV522" i="1"/>
  <c r="BM521" i="1"/>
  <c r="BV521" i="1" s="1"/>
  <c r="BL521" i="1"/>
  <c r="BT521" i="1" s="1"/>
  <c r="BK521" i="1"/>
  <c r="BJ521" i="1"/>
  <c r="BI521" i="1"/>
  <c r="CB521" i="1" s="1"/>
  <c r="BH521" i="1"/>
  <c r="BG521" i="1"/>
  <c r="BF521" i="1"/>
  <c r="BS521" i="1" s="1"/>
  <c r="BE521" i="1"/>
  <c r="BR521" i="1" s="1"/>
  <c r="BD521" i="1"/>
  <c r="BQ521" i="1" s="1"/>
  <c r="BC521" i="1"/>
  <c r="BP521" i="1" s="1"/>
  <c r="BB521" i="1"/>
  <c r="BO521" i="1" s="1"/>
  <c r="BA521" i="1"/>
  <c r="BN521" i="1" s="1"/>
  <c r="AZ521" i="1"/>
  <c r="BZ521" i="1" s="1"/>
  <c r="AY521" i="1"/>
  <c r="BY521" i="1" s="1"/>
  <c r="AX521" i="1"/>
  <c r="AW521" i="1"/>
  <c r="AV521" i="1"/>
  <c r="BW521" i="1" s="1"/>
  <c r="BM520" i="1"/>
  <c r="BV520" i="1" s="1"/>
  <c r="BL520" i="1"/>
  <c r="BT520" i="1" s="1"/>
  <c r="BK520" i="1"/>
  <c r="BJ520" i="1"/>
  <c r="BI520" i="1"/>
  <c r="CB520" i="1" s="1"/>
  <c r="BH520" i="1"/>
  <c r="BG520" i="1"/>
  <c r="BF520" i="1"/>
  <c r="BS520" i="1" s="1"/>
  <c r="BE520" i="1"/>
  <c r="BR520" i="1" s="1"/>
  <c r="BD520" i="1"/>
  <c r="BQ520" i="1" s="1"/>
  <c r="BC520" i="1"/>
  <c r="BP520" i="1" s="1"/>
  <c r="BB520" i="1"/>
  <c r="BO520" i="1" s="1"/>
  <c r="BA520" i="1"/>
  <c r="BN520" i="1" s="1"/>
  <c r="AZ520" i="1"/>
  <c r="BZ520" i="1" s="1"/>
  <c r="AY520" i="1"/>
  <c r="BY520" i="1" s="1"/>
  <c r="AX520" i="1"/>
  <c r="AW520" i="1"/>
  <c r="AV520" i="1"/>
  <c r="BW520" i="1" s="1"/>
  <c r="BM519" i="1"/>
  <c r="BV519" i="1" s="1"/>
  <c r="BL519" i="1"/>
  <c r="BT519" i="1" s="1"/>
  <c r="BK519" i="1"/>
  <c r="BJ519" i="1"/>
  <c r="BI519" i="1"/>
  <c r="CB519" i="1" s="1"/>
  <c r="BH519" i="1"/>
  <c r="BG519" i="1"/>
  <c r="BF519" i="1"/>
  <c r="BS519" i="1" s="1"/>
  <c r="BE519" i="1"/>
  <c r="BR519" i="1" s="1"/>
  <c r="BD519" i="1"/>
  <c r="BQ519" i="1" s="1"/>
  <c r="BC519" i="1"/>
  <c r="BP519" i="1" s="1"/>
  <c r="BB519" i="1"/>
  <c r="BO519" i="1" s="1"/>
  <c r="BA519" i="1"/>
  <c r="BN519" i="1" s="1"/>
  <c r="AZ519" i="1"/>
  <c r="BZ519" i="1" s="1"/>
  <c r="AY519" i="1"/>
  <c r="BY519" i="1" s="1"/>
  <c r="AX519" i="1"/>
  <c r="AW519" i="1"/>
  <c r="AV519" i="1"/>
  <c r="BM518" i="1"/>
  <c r="BV518" i="1" s="1"/>
  <c r="BL518" i="1"/>
  <c r="BT518" i="1" s="1"/>
  <c r="BK518" i="1"/>
  <c r="BJ518" i="1"/>
  <c r="BI518" i="1"/>
  <c r="CB518" i="1" s="1"/>
  <c r="BH518" i="1"/>
  <c r="BG518" i="1"/>
  <c r="BF518" i="1"/>
  <c r="BS518" i="1" s="1"/>
  <c r="BE518" i="1"/>
  <c r="BR518" i="1" s="1"/>
  <c r="BD518" i="1"/>
  <c r="BQ518" i="1" s="1"/>
  <c r="BC518" i="1"/>
  <c r="BP518" i="1" s="1"/>
  <c r="BB518" i="1"/>
  <c r="BO518" i="1" s="1"/>
  <c r="BA518" i="1"/>
  <c r="BN518" i="1" s="1"/>
  <c r="AZ518" i="1"/>
  <c r="BZ518" i="1" s="1"/>
  <c r="AY518" i="1"/>
  <c r="BY518" i="1" s="1"/>
  <c r="AX518" i="1"/>
  <c r="AW518" i="1"/>
  <c r="AV518" i="1"/>
  <c r="BM517" i="1"/>
  <c r="BV517" i="1" s="1"/>
  <c r="BL517" i="1"/>
  <c r="BT517" i="1" s="1"/>
  <c r="BK517" i="1"/>
  <c r="BJ517" i="1"/>
  <c r="BI517" i="1"/>
  <c r="CB517" i="1" s="1"/>
  <c r="BH517" i="1"/>
  <c r="BG517" i="1"/>
  <c r="BF517" i="1"/>
  <c r="BS517" i="1" s="1"/>
  <c r="BE517" i="1"/>
  <c r="BR517" i="1" s="1"/>
  <c r="BD517" i="1"/>
  <c r="BQ517" i="1" s="1"/>
  <c r="BC517" i="1"/>
  <c r="BP517" i="1" s="1"/>
  <c r="BB517" i="1"/>
  <c r="BO517" i="1" s="1"/>
  <c r="BA517" i="1"/>
  <c r="BN517" i="1" s="1"/>
  <c r="AZ517" i="1"/>
  <c r="BZ517" i="1" s="1"/>
  <c r="AY517" i="1"/>
  <c r="BY517" i="1" s="1"/>
  <c r="AX517" i="1"/>
  <c r="AW517" i="1"/>
  <c r="AV517" i="1"/>
  <c r="BW517" i="1" s="1"/>
  <c r="BM516" i="1"/>
  <c r="BV516" i="1" s="1"/>
  <c r="BL516" i="1"/>
  <c r="BT516" i="1" s="1"/>
  <c r="BK516" i="1"/>
  <c r="BJ516" i="1"/>
  <c r="BI516" i="1"/>
  <c r="CB516" i="1" s="1"/>
  <c r="BH516" i="1"/>
  <c r="BG516" i="1"/>
  <c r="BF516" i="1"/>
  <c r="BS516" i="1" s="1"/>
  <c r="BE516" i="1"/>
  <c r="BR516" i="1" s="1"/>
  <c r="BD516" i="1"/>
  <c r="BQ516" i="1" s="1"/>
  <c r="BC516" i="1"/>
  <c r="BP516" i="1" s="1"/>
  <c r="BB516" i="1"/>
  <c r="BO516" i="1" s="1"/>
  <c r="BA516" i="1"/>
  <c r="BN516" i="1" s="1"/>
  <c r="AZ516" i="1"/>
  <c r="BZ516" i="1" s="1"/>
  <c r="AY516" i="1"/>
  <c r="BY516" i="1" s="1"/>
  <c r="AX516" i="1"/>
  <c r="AW516" i="1"/>
  <c r="AV516" i="1"/>
  <c r="BM515" i="1"/>
  <c r="BV515" i="1" s="1"/>
  <c r="BL515" i="1"/>
  <c r="BT515" i="1" s="1"/>
  <c r="BK515" i="1"/>
  <c r="BJ515" i="1"/>
  <c r="BI515" i="1"/>
  <c r="CB515" i="1" s="1"/>
  <c r="BH515" i="1"/>
  <c r="BG515" i="1"/>
  <c r="BF515" i="1"/>
  <c r="BS515" i="1" s="1"/>
  <c r="BE515" i="1"/>
  <c r="BR515" i="1" s="1"/>
  <c r="BD515" i="1"/>
  <c r="BQ515" i="1" s="1"/>
  <c r="BC515" i="1"/>
  <c r="BP515" i="1" s="1"/>
  <c r="BB515" i="1"/>
  <c r="BO515" i="1" s="1"/>
  <c r="BA515" i="1"/>
  <c r="BN515" i="1" s="1"/>
  <c r="AZ515" i="1"/>
  <c r="BZ515" i="1" s="1"/>
  <c r="AY515" i="1"/>
  <c r="BY515" i="1" s="1"/>
  <c r="AX515" i="1"/>
  <c r="AW515" i="1"/>
  <c r="AV515" i="1"/>
  <c r="BW515" i="1" s="1"/>
  <c r="BM514" i="1"/>
  <c r="BV514" i="1" s="1"/>
  <c r="BL514" i="1"/>
  <c r="BT514" i="1" s="1"/>
  <c r="BK514" i="1"/>
  <c r="BJ514" i="1"/>
  <c r="BI514" i="1"/>
  <c r="CB514" i="1" s="1"/>
  <c r="BH514" i="1"/>
  <c r="BG514" i="1"/>
  <c r="BF514" i="1"/>
  <c r="BS514" i="1" s="1"/>
  <c r="BE514" i="1"/>
  <c r="BR514" i="1" s="1"/>
  <c r="BD514" i="1"/>
  <c r="BQ514" i="1" s="1"/>
  <c r="BC514" i="1"/>
  <c r="BP514" i="1" s="1"/>
  <c r="BB514" i="1"/>
  <c r="BO514" i="1" s="1"/>
  <c r="BA514" i="1"/>
  <c r="BN514" i="1" s="1"/>
  <c r="AZ514" i="1"/>
  <c r="BZ514" i="1" s="1"/>
  <c r="AY514" i="1"/>
  <c r="BY514" i="1" s="1"/>
  <c r="AX514" i="1"/>
  <c r="AW514" i="1"/>
  <c r="AV514" i="1"/>
  <c r="BW514" i="1" s="1"/>
  <c r="BM513" i="1"/>
  <c r="BV513" i="1" s="1"/>
  <c r="BL513" i="1"/>
  <c r="BT513" i="1" s="1"/>
  <c r="BK513" i="1"/>
  <c r="BJ513" i="1"/>
  <c r="BI513" i="1"/>
  <c r="BU513" i="1" s="1"/>
  <c r="BH513" i="1"/>
  <c r="BG513" i="1"/>
  <c r="BF513" i="1"/>
  <c r="BS513" i="1" s="1"/>
  <c r="BE513" i="1"/>
  <c r="BR513" i="1" s="1"/>
  <c r="BD513" i="1"/>
  <c r="BQ513" i="1" s="1"/>
  <c r="BC513" i="1"/>
  <c r="BP513" i="1" s="1"/>
  <c r="BB513" i="1"/>
  <c r="BO513" i="1" s="1"/>
  <c r="BA513" i="1"/>
  <c r="BN513" i="1" s="1"/>
  <c r="AZ513" i="1"/>
  <c r="BZ513" i="1" s="1"/>
  <c r="AY513" i="1"/>
  <c r="BY513" i="1" s="1"/>
  <c r="AX513" i="1"/>
  <c r="AW513" i="1"/>
  <c r="AV513" i="1"/>
  <c r="BW513" i="1" s="1"/>
  <c r="BM512" i="1"/>
  <c r="BV512" i="1" s="1"/>
  <c r="BL512" i="1"/>
  <c r="BT512" i="1" s="1"/>
  <c r="BK512" i="1"/>
  <c r="BJ512" i="1"/>
  <c r="BI512" i="1"/>
  <c r="CB512" i="1" s="1"/>
  <c r="BH512" i="1"/>
  <c r="BG512" i="1"/>
  <c r="BF512" i="1"/>
  <c r="BS512" i="1" s="1"/>
  <c r="BE512" i="1"/>
  <c r="BR512" i="1" s="1"/>
  <c r="BD512" i="1"/>
  <c r="BQ512" i="1" s="1"/>
  <c r="BC512" i="1"/>
  <c r="BP512" i="1" s="1"/>
  <c r="BB512" i="1"/>
  <c r="BO512" i="1" s="1"/>
  <c r="BA512" i="1"/>
  <c r="BN512" i="1" s="1"/>
  <c r="AZ512" i="1"/>
  <c r="BZ512" i="1" s="1"/>
  <c r="AY512" i="1"/>
  <c r="BY512" i="1" s="1"/>
  <c r="AX512" i="1"/>
  <c r="AW512" i="1"/>
  <c r="AV512" i="1"/>
  <c r="BW512" i="1" s="1"/>
  <c r="BM511" i="1"/>
  <c r="BV511" i="1" s="1"/>
  <c r="BL511" i="1"/>
  <c r="BT511" i="1" s="1"/>
  <c r="BK511" i="1"/>
  <c r="BJ511" i="1"/>
  <c r="BI511" i="1"/>
  <c r="CB511" i="1" s="1"/>
  <c r="BH511" i="1"/>
  <c r="BG511" i="1"/>
  <c r="BF511" i="1"/>
  <c r="BS511" i="1" s="1"/>
  <c r="BE511" i="1"/>
  <c r="BR511" i="1" s="1"/>
  <c r="BD511" i="1"/>
  <c r="BQ511" i="1" s="1"/>
  <c r="BC511" i="1"/>
  <c r="BP511" i="1" s="1"/>
  <c r="BB511" i="1"/>
  <c r="BO511" i="1" s="1"/>
  <c r="BA511" i="1"/>
  <c r="BN511" i="1" s="1"/>
  <c r="AZ511" i="1"/>
  <c r="BZ511" i="1" s="1"/>
  <c r="AY511" i="1"/>
  <c r="BY511" i="1" s="1"/>
  <c r="AX511" i="1"/>
  <c r="AW511" i="1"/>
  <c r="AV511" i="1"/>
  <c r="BW511" i="1" s="1"/>
  <c r="BM510" i="1"/>
  <c r="BV510" i="1" s="1"/>
  <c r="BL510" i="1"/>
  <c r="BT510" i="1" s="1"/>
  <c r="BK510" i="1"/>
  <c r="BJ510" i="1"/>
  <c r="BI510" i="1"/>
  <c r="CB510" i="1" s="1"/>
  <c r="BH510" i="1"/>
  <c r="BG510" i="1"/>
  <c r="BF510" i="1"/>
  <c r="BS510" i="1" s="1"/>
  <c r="BE510" i="1"/>
  <c r="BR510" i="1" s="1"/>
  <c r="BD510" i="1"/>
  <c r="BQ510" i="1" s="1"/>
  <c r="BC510" i="1"/>
  <c r="BP510" i="1" s="1"/>
  <c r="BB510" i="1"/>
  <c r="BO510" i="1" s="1"/>
  <c r="BA510" i="1"/>
  <c r="BN510" i="1" s="1"/>
  <c r="AZ510" i="1"/>
  <c r="BZ510" i="1" s="1"/>
  <c r="AY510" i="1"/>
  <c r="BY510" i="1" s="1"/>
  <c r="AX510" i="1"/>
  <c r="AW510" i="1"/>
  <c r="AV510" i="1"/>
  <c r="BM509" i="1"/>
  <c r="BV509" i="1" s="1"/>
  <c r="BL509" i="1"/>
  <c r="BT509" i="1" s="1"/>
  <c r="BK509" i="1"/>
  <c r="BJ509" i="1"/>
  <c r="BI509" i="1"/>
  <c r="BU509" i="1" s="1"/>
  <c r="BH509" i="1"/>
  <c r="BG509" i="1"/>
  <c r="BF509" i="1"/>
  <c r="BS509" i="1" s="1"/>
  <c r="BE509" i="1"/>
  <c r="BR509" i="1" s="1"/>
  <c r="BD509" i="1"/>
  <c r="BQ509" i="1" s="1"/>
  <c r="BC509" i="1"/>
  <c r="BP509" i="1" s="1"/>
  <c r="BB509" i="1"/>
  <c r="BO509" i="1" s="1"/>
  <c r="BA509" i="1"/>
  <c r="BN509" i="1" s="1"/>
  <c r="AZ509" i="1"/>
  <c r="BZ509" i="1" s="1"/>
  <c r="AY509" i="1"/>
  <c r="BY509" i="1" s="1"/>
  <c r="AX509" i="1"/>
  <c r="AW509" i="1"/>
  <c r="AV509" i="1"/>
  <c r="BW509" i="1" s="1"/>
  <c r="BM508" i="1"/>
  <c r="BV508" i="1" s="1"/>
  <c r="BL508" i="1"/>
  <c r="BT508" i="1" s="1"/>
  <c r="BK508" i="1"/>
  <c r="BJ508" i="1"/>
  <c r="BI508" i="1"/>
  <c r="BU508" i="1" s="1"/>
  <c r="BH508" i="1"/>
  <c r="BG508" i="1"/>
  <c r="BF508" i="1"/>
  <c r="BS508" i="1" s="1"/>
  <c r="BE508" i="1"/>
  <c r="BR508" i="1" s="1"/>
  <c r="BD508" i="1"/>
  <c r="BQ508" i="1" s="1"/>
  <c r="BC508" i="1"/>
  <c r="BP508" i="1" s="1"/>
  <c r="BB508" i="1"/>
  <c r="BO508" i="1" s="1"/>
  <c r="BA508" i="1"/>
  <c r="BN508" i="1" s="1"/>
  <c r="AZ508" i="1"/>
  <c r="BZ508" i="1" s="1"/>
  <c r="AY508" i="1"/>
  <c r="BY508" i="1" s="1"/>
  <c r="AX508" i="1"/>
  <c r="AW508" i="1"/>
  <c r="AV508" i="1"/>
  <c r="BW508" i="1" s="1"/>
  <c r="BM507" i="1"/>
  <c r="BV507" i="1" s="1"/>
  <c r="BL507" i="1"/>
  <c r="BT507" i="1" s="1"/>
  <c r="BK507" i="1"/>
  <c r="BJ507" i="1"/>
  <c r="BI507" i="1"/>
  <c r="BU507" i="1" s="1"/>
  <c r="BH507" i="1"/>
  <c r="BG507" i="1"/>
  <c r="BF507" i="1"/>
  <c r="BS507" i="1" s="1"/>
  <c r="BE507" i="1"/>
  <c r="BR507" i="1" s="1"/>
  <c r="BD507" i="1"/>
  <c r="BQ507" i="1" s="1"/>
  <c r="BC507" i="1"/>
  <c r="BP507" i="1" s="1"/>
  <c r="BB507" i="1"/>
  <c r="BO507" i="1" s="1"/>
  <c r="BA507" i="1"/>
  <c r="BN507" i="1" s="1"/>
  <c r="AZ507" i="1"/>
  <c r="BZ507" i="1" s="1"/>
  <c r="AY507" i="1"/>
  <c r="BY507" i="1" s="1"/>
  <c r="AX507" i="1"/>
  <c r="AW507" i="1"/>
  <c r="AV507" i="1"/>
  <c r="BW507" i="1" s="1"/>
  <c r="BM506" i="1"/>
  <c r="BV506" i="1" s="1"/>
  <c r="BL506" i="1"/>
  <c r="BT506" i="1" s="1"/>
  <c r="BK506" i="1"/>
  <c r="BJ506" i="1"/>
  <c r="BI506" i="1"/>
  <c r="BU506" i="1" s="1"/>
  <c r="BH506" i="1"/>
  <c r="BG506" i="1"/>
  <c r="BF506" i="1"/>
  <c r="BS506" i="1" s="1"/>
  <c r="BE506" i="1"/>
  <c r="BR506" i="1" s="1"/>
  <c r="BD506" i="1"/>
  <c r="BQ506" i="1" s="1"/>
  <c r="BC506" i="1"/>
  <c r="BP506" i="1" s="1"/>
  <c r="BB506" i="1"/>
  <c r="BO506" i="1" s="1"/>
  <c r="BA506" i="1"/>
  <c r="BN506" i="1" s="1"/>
  <c r="AZ506" i="1"/>
  <c r="BZ506" i="1" s="1"/>
  <c r="AY506" i="1"/>
  <c r="BY506" i="1" s="1"/>
  <c r="AX506" i="1"/>
  <c r="AW506" i="1"/>
  <c r="AV506" i="1"/>
  <c r="BW506" i="1" s="1"/>
  <c r="BM505" i="1"/>
  <c r="BV505" i="1" s="1"/>
  <c r="BL505" i="1"/>
  <c r="BT505" i="1" s="1"/>
  <c r="BK505" i="1"/>
  <c r="BJ505" i="1"/>
  <c r="BI505" i="1"/>
  <c r="BU505" i="1" s="1"/>
  <c r="BH505" i="1"/>
  <c r="BG505" i="1"/>
  <c r="BF505" i="1"/>
  <c r="BS505" i="1" s="1"/>
  <c r="BE505" i="1"/>
  <c r="BR505" i="1" s="1"/>
  <c r="BD505" i="1"/>
  <c r="BQ505" i="1" s="1"/>
  <c r="BC505" i="1"/>
  <c r="BP505" i="1" s="1"/>
  <c r="BB505" i="1"/>
  <c r="BO505" i="1" s="1"/>
  <c r="BA505" i="1"/>
  <c r="BN505" i="1" s="1"/>
  <c r="AZ505" i="1"/>
  <c r="BZ505" i="1" s="1"/>
  <c r="AY505" i="1"/>
  <c r="BY505" i="1" s="1"/>
  <c r="AX505" i="1"/>
  <c r="AW505" i="1"/>
  <c r="AV505" i="1"/>
  <c r="BM504" i="1"/>
  <c r="BV504" i="1" s="1"/>
  <c r="BL504" i="1"/>
  <c r="BT504" i="1" s="1"/>
  <c r="BK504" i="1"/>
  <c r="BJ504" i="1"/>
  <c r="BI504" i="1"/>
  <c r="BU504" i="1" s="1"/>
  <c r="BH504" i="1"/>
  <c r="BG504" i="1"/>
  <c r="BF504" i="1"/>
  <c r="BS504" i="1" s="1"/>
  <c r="BE504" i="1"/>
  <c r="BR504" i="1" s="1"/>
  <c r="BD504" i="1"/>
  <c r="BQ504" i="1" s="1"/>
  <c r="BC504" i="1"/>
  <c r="BP504" i="1" s="1"/>
  <c r="BB504" i="1"/>
  <c r="BO504" i="1" s="1"/>
  <c r="BA504" i="1"/>
  <c r="BN504" i="1" s="1"/>
  <c r="AZ504" i="1"/>
  <c r="BZ504" i="1" s="1"/>
  <c r="AY504" i="1"/>
  <c r="BY504" i="1" s="1"/>
  <c r="AX504" i="1"/>
  <c r="AW504" i="1"/>
  <c r="AV504" i="1"/>
  <c r="BW504" i="1" s="1"/>
  <c r="BM503" i="1"/>
  <c r="BV503" i="1" s="1"/>
  <c r="BL503" i="1"/>
  <c r="BT503" i="1" s="1"/>
  <c r="BK503" i="1"/>
  <c r="BJ503" i="1"/>
  <c r="BI503" i="1"/>
  <c r="BU503" i="1" s="1"/>
  <c r="BH503" i="1"/>
  <c r="BG503" i="1"/>
  <c r="BF503" i="1"/>
  <c r="BS503" i="1" s="1"/>
  <c r="BE503" i="1"/>
  <c r="BR503" i="1" s="1"/>
  <c r="BD503" i="1"/>
  <c r="BQ503" i="1" s="1"/>
  <c r="BC503" i="1"/>
  <c r="BP503" i="1" s="1"/>
  <c r="BB503" i="1"/>
  <c r="BO503" i="1" s="1"/>
  <c r="BA503" i="1"/>
  <c r="BN503" i="1" s="1"/>
  <c r="AZ503" i="1"/>
  <c r="BZ503" i="1" s="1"/>
  <c r="AY503" i="1"/>
  <c r="BY503" i="1" s="1"/>
  <c r="AX503" i="1"/>
  <c r="AW503" i="1"/>
  <c r="AV503" i="1"/>
  <c r="BM502" i="1"/>
  <c r="BV502" i="1" s="1"/>
  <c r="BL502" i="1"/>
  <c r="BT502" i="1" s="1"/>
  <c r="BK502" i="1"/>
  <c r="BJ502" i="1"/>
  <c r="BI502" i="1"/>
  <c r="BU502" i="1" s="1"/>
  <c r="BH502" i="1"/>
  <c r="BG502" i="1"/>
  <c r="BF502" i="1"/>
  <c r="BS502" i="1" s="1"/>
  <c r="BE502" i="1"/>
  <c r="BR502" i="1" s="1"/>
  <c r="BD502" i="1"/>
  <c r="BQ502" i="1" s="1"/>
  <c r="BC502" i="1"/>
  <c r="BP502" i="1" s="1"/>
  <c r="BB502" i="1"/>
  <c r="BO502" i="1" s="1"/>
  <c r="BA502" i="1"/>
  <c r="BN502" i="1" s="1"/>
  <c r="AZ502" i="1"/>
  <c r="BZ502" i="1" s="1"/>
  <c r="AY502" i="1"/>
  <c r="BY502" i="1" s="1"/>
  <c r="AX502" i="1"/>
  <c r="AW502" i="1"/>
  <c r="AV502" i="1"/>
  <c r="BM501" i="1"/>
  <c r="BV501" i="1" s="1"/>
  <c r="BL501" i="1"/>
  <c r="BT501" i="1" s="1"/>
  <c r="BK501" i="1"/>
  <c r="BJ501" i="1"/>
  <c r="BI501" i="1"/>
  <c r="BU501" i="1" s="1"/>
  <c r="BH501" i="1"/>
  <c r="BG501" i="1"/>
  <c r="BF501" i="1"/>
  <c r="BS501" i="1" s="1"/>
  <c r="BE501" i="1"/>
  <c r="BR501" i="1" s="1"/>
  <c r="BD501" i="1"/>
  <c r="BQ501" i="1" s="1"/>
  <c r="BC501" i="1"/>
  <c r="BP501" i="1" s="1"/>
  <c r="BB501" i="1"/>
  <c r="BO501" i="1" s="1"/>
  <c r="BA501" i="1"/>
  <c r="BN501" i="1" s="1"/>
  <c r="AZ501" i="1"/>
  <c r="BZ501" i="1" s="1"/>
  <c r="AY501" i="1"/>
  <c r="BY501" i="1" s="1"/>
  <c r="AX501" i="1"/>
  <c r="AW501" i="1"/>
  <c r="AV501" i="1"/>
  <c r="BW501" i="1" s="1"/>
  <c r="BM500" i="1"/>
  <c r="BV500" i="1" s="1"/>
  <c r="BL500" i="1"/>
  <c r="BT500" i="1" s="1"/>
  <c r="BK500" i="1"/>
  <c r="BJ500" i="1"/>
  <c r="BI500" i="1"/>
  <c r="BU500" i="1" s="1"/>
  <c r="BH500" i="1"/>
  <c r="BG500" i="1"/>
  <c r="BF500" i="1"/>
  <c r="BS500" i="1" s="1"/>
  <c r="BE500" i="1"/>
  <c r="BR500" i="1" s="1"/>
  <c r="BD500" i="1"/>
  <c r="BQ500" i="1" s="1"/>
  <c r="BC500" i="1"/>
  <c r="BP500" i="1" s="1"/>
  <c r="BB500" i="1"/>
  <c r="BO500" i="1" s="1"/>
  <c r="BA500" i="1"/>
  <c r="BN500" i="1" s="1"/>
  <c r="AZ500" i="1"/>
  <c r="BZ500" i="1" s="1"/>
  <c r="AY500" i="1"/>
  <c r="BY500" i="1" s="1"/>
  <c r="AX500" i="1"/>
  <c r="AW500" i="1"/>
  <c r="AV500" i="1"/>
  <c r="BM499" i="1"/>
  <c r="BV499" i="1" s="1"/>
  <c r="BL499" i="1"/>
  <c r="BT499" i="1" s="1"/>
  <c r="BK499" i="1"/>
  <c r="BJ499" i="1"/>
  <c r="BI499" i="1"/>
  <c r="CB499" i="1" s="1"/>
  <c r="BH499" i="1"/>
  <c r="BG499" i="1"/>
  <c r="BF499" i="1"/>
  <c r="BS499" i="1" s="1"/>
  <c r="BE499" i="1"/>
  <c r="BR499" i="1" s="1"/>
  <c r="BD499" i="1"/>
  <c r="BQ499" i="1" s="1"/>
  <c r="BC499" i="1"/>
  <c r="BP499" i="1" s="1"/>
  <c r="BB499" i="1"/>
  <c r="BO499" i="1" s="1"/>
  <c r="BA499" i="1"/>
  <c r="BN499" i="1" s="1"/>
  <c r="AZ499" i="1"/>
  <c r="BZ499" i="1" s="1"/>
  <c r="AY499" i="1"/>
  <c r="BY499" i="1" s="1"/>
  <c r="AX499" i="1"/>
  <c r="AW499" i="1"/>
  <c r="AV499" i="1"/>
  <c r="BW499" i="1" s="1"/>
  <c r="BM498" i="1"/>
  <c r="BV498" i="1" s="1"/>
  <c r="BL498" i="1"/>
  <c r="BT498" i="1" s="1"/>
  <c r="BK498" i="1"/>
  <c r="BJ498" i="1"/>
  <c r="BI498" i="1"/>
  <c r="CB498" i="1" s="1"/>
  <c r="BH498" i="1"/>
  <c r="BG498" i="1"/>
  <c r="BF498" i="1"/>
  <c r="BS498" i="1" s="1"/>
  <c r="BE498" i="1"/>
  <c r="BR498" i="1" s="1"/>
  <c r="BD498" i="1"/>
  <c r="BQ498" i="1" s="1"/>
  <c r="BC498" i="1"/>
  <c r="BP498" i="1" s="1"/>
  <c r="BB498" i="1"/>
  <c r="BO498" i="1" s="1"/>
  <c r="BA498" i="1"/>
  <c r="BN498" i="1" s="1"/>
  <c r="AZ498" i="1"/>
  <c r="BZ498" i="1" s="1"/>
  <c r="AY498" i="1"/>
  <c r="BY498" i="1" s="1"/>
  <c r="AX498" i="1"/>
  <c r="AW498" i="1"/>
  <c r="AV498" i="1"/>
  <c r="BW498" i="1" s="1"/>
  <c r="BM497" i="1"/>
  <c r="BV497" i="1" s="1"/>
  <c r="BL497" i="1"/>
  <c r="BT497" i="1" s="1"/>
  <c r="BK497" i="1"/>
  <c r="BJ497" i="1"/>
  <c r="BI497" i="1"/>
  <c r="CB497" i="1" s="1"/>
  <c r="BH497" i="1"/>
  <c r="BG497" i="1"/>
  <c r="BF497" i="1"/>
  <c r="BS497" i="1" s="1"/>
  <c r="BE497" i="1"/>
  <c r="BR497" i="1" s="1"/>
  <c r="BD497" i="1"/>
  <c r="BQ497" i="1" s="1"/>
  <c r="BC497" i="1"/>
  <c r="BP497" i="1" s="1"/>
  <c r="BB497" i="1"/>
  <c r="BO497" i="1" s="1"/>
  <c r="BA497" i="1"/>
  <c r="BN497" i="1" s="1"/>
  <c r="AZ497" i="1"/>
  <c r="BZ497" i="1" s="1"/>
  <c r="AY497" i="1"/>
  <c r="BY497" i="1" s="1"/>
  <c r="AX497" i="1"/>
  <c r="AW497" i="1"/>
  <c r="AV497" i="1"/>
  <c r="BW497" i="1" s="1"/>
  <c r="BM496" i="1"/>
  <c r="BV496" i="1" s="1"/>
  <c r="BL496" i="1"/>
  <c r="BT496" i="1" s="1"/>
  <c r="BK496" i="1"/>
  <c r="BJ496" i="1"/>
  <c r="BI496" i="1"/>
  <c r="CB496" i="1" s="1"/>
  <c r="BH496" i="1"/>
  <c r="BG496" i="1"/>
  <c r="BF496" i="1"/>
  <c r="BS496" i="1" s="1"/>
  <c r="BE496" i="1"/>
  <c r="BR496" i="1" s="1"/>
  <c r="BD496" i="1"/>
  <c r="BQ496" i="1" s="1"/>
  <c r="BC496" i="1"/>
  <c r="BP496" i="1" s="1"/>
  <c r="BB496" i="1"/>
  <c r="BO496" i="1" s="1"/>
  <c r="BA496" i="1"/>
  <c r="BN496" i="1" s="1"/>
  <c r="AZ496" i="1"/>
  <c r="BZ496" i="1" s="1"/>
  <c r="AY496" i="1"/>
  <c r="BY496" i="1" s="1"/>
  <c r="AX496" i="1"/>
  <c r="AW496" i="1"/>
  <c r="AV496" i="1"/>
  <c r="BW496" i="1" s="1"/>
  <c r="BM495" i="1"/>
  <c r="BV495" i="1" s="1"/>
  <c r="BL495" i="1"/>
  <c r="BT495" i="1" s="1"/>
  <c r="BK495" i="1"/>
  <c r="BJ495" i="1"/>
  <c r="BI495" i="1"/>
  <c r="BU495" i="1" s="1"/>
  <c r="BH495" i="1"/>
  <c r="BG495" i="1"/>
  <c r="BF495" i="1"/>
  <c r="BS495" i="1" s="1"/>
  <c r="BE495" i="1"/>
  <c r="BR495" i="1" s="1"/>
  <c r="BD495" i="1"/>
  <c r="BQ495" i="1" s="1"/>
  <c r="BC495" i="1"/>
  <c r="BP495" i="1" s="1"/>
  <c r="BB495" i="1"/>
  <c r="BO495" i="1" s="1"/>
  <c r="BA495" i="1"/>
  <c r="BN495" i="1" s="1"/>
  <c r="AZ495" i="1"/>
  <c r="BZ495" i="1" s="1"/>
  <c r="AY495" i="1"/>
  <c r="BY495" i="1" s="1"/>
  <c r="AX495" i="1"/>
  <c r="AW495" i="1"/>
  <c r="AV495" i="1"/>
  <c r="BM494" i="1"/>
  <c r="BV494" i="1" s="1"/>
  <c r="BL494" i="1"/>
  <c r="BT494" i="1" s="1"/>
  <c r="BK494" i="1"/>
  <c r="BJ494" i="1"/>
  <c r="BI494" i="1"/>
  <c r="CB494" i="1" s="1"/>
  <c r="BH494" i="1"/>
  <c r="BG494" i="1"/>
  <c r="BF494" i="1"/>
  <c r="BS494" i="1" s="1"/>
  <c r="BE494" i="1"/>
  <c r="BR494" i="1" s="1"/>
  <c r="BD494" i="1"/>
  <c r="BQ494" i="1" s="1"/>
  <c r="BC494" i="1"/>
  <c r="BP494" i="1" s="1"/>
  <c r="BB494" i="1"/>
  <c r="BO494" i="1" s="1"/>
  <c r="BA494" i="1"/>
  <c r="BN494" i="1" s="1"/>
  <c r="AZ494" i="1"/>
  <c r="BZ494" i="1" s="1"/>
  <c r="AY494" i="1"/>
  <c r="BY494" i="1" s="1"/>
  <c r="AX494" i="1"/>
  <c r="AW494" i="1"/>
  <c r="AV494" i="1"/>
  <c r="BW494" i="1" s="1"/>
  <c r="BM493" i="1"/>
  <c r="BV493" i="1" s="1"/>
  <c r="BL493" i="1"/>
  <c r="BT493" i="1" s="1"/>
  <c r="BK493" i="1"/>
  <c r="BJ493" i="1"/>
  <c r="BI493" i="1"/>
  <c r="CB493" i="1" s="1"/>
  <c r="BH493" i="1"/>
  <c r="BG493" i="1"/>
  <c r="BF493" i="1"/>
  <c r="BS493" i="1" s="1"/>
  <c r="BE493" i="1"/>
  <c r="BR493" i="1" s="1"/>
  <c r="BD493" i="1"/>
  <c r="BQ493" i="1" s="1"/>
  <c r="BC493" i="1"/>
  <c r="BP493" i="1" s="1"/>
  <c r="BB493" i="1"/>
  <c r="BO493" i="1" s="1"/>
  <c r="BA493" i="1"/>
  <c r="BN493" i="1" s="1"/>
  <c r="AZ493" i="1"/>
  <c r="BZ493" i="1" s="1"/>
  <c r="AY493" i="1"/>
  <c r="BY493" i="1" s="1"/>
  <c r="AX493" i="1"/>
  <c r="AW493" i="1"/>
  <c r="AV493" i="1"/>
  <c r="BW493" i="1" s="1"/>
  <c r="BM492" i="1"/>
  <c r="BV492" i="1" s="1"/>
  <c r="BL492" i="1"/>
  <c r="BT492" i="1" s="1"/>
  <c r="BK492" i="1"/>
  <c r="BJ492" i="1"/>
  <c r="BI492" i="1"/>
  <c r="CB492" i="1" s="1"/>
  <c r="BH492" i="1"/>
  <c r="BG492" i="1"/>
  <c r="BF492" i="1"/>
  <c r="BS492" i="1" s="1"/>
  <c r="BE492" i="1"/>
  <c r="BR492" i="1" s="1"/>
  <c r="BD492" i="1"/>
  <c r="BQ492" i="1" s="1"/>
  <c r="BC492" i="1"/>
  <c r="BP492" i="1" s="1"/>
  <c r="BB492" i="1"/>
  <c r="BO492" i="1" s="1"/>
  <c r="BA492" i="1"/>
  <c r="BN492" i="1" s="1"/>
  <c r="AZ492" i="1"/>
  <c r="BZ492" i="1" s="1"/>
  <c r="AY492" i="1"/>
  <c r="BY492" i="1" s="1"/>
  <c r="AX492" i="1"/>
  <c r="AW492" i="1"/>
  <c r="AV492" i="1"/>
  <c r="BM491" i="1"/>
  <c r="BV491" i="1" s="1"/>
  <c r="BL491" i="1"/>
  <c r="BT491" i="1" s="1"/>
  <c r="BK491" i="1"/>
  <c r="BJ491" i="1"/>
  <c r="BI491" i="1"/>
  <c r="CB491" i="1" s="1"/>
  <c r="BH491" i="1"/>
  <c r="BG491" i="1"/>
  <c r="BF491" i="1"/>
  <c r="BS491" i="1" s="1"/>
  <c r="BE491" i="1"/>
  <c r="BR491" i="1" s="1"/>
  <c r="BD491" i="1"/>
  <c r="BQ491" i="1" s="1"/>
  <c r="BC491" i="1"/>
  <c r="BP491" i="1" s="1"/>
  <c r="BB491" i="1"/>
  <c r="BO491" i="1" s="1"/>
  <c r="BA491" i="1"/>
  <c r="BN491" i="1" s="1"/>
  <c r="AZ491" i="1"/>
  <c r="BZ491" i="1" s="1"/>
  <c r="AY491" i="1"/>
  <c r="BY491" i="1" s="1"/>
  <c r="AX491" i="1"/>
  <c r="AW491" i="1"/>
  <c r="AV491" i="1"/>
  <c r="BW491" i="1" s="1"/>
  <c r="BM490" i="1"/>
  <c r="BV490" i="1" s="1"/>
  <c r="BL490" i="1"/>
  <c r="BT490" i="1" s="1"/>
  <c r="BK490" i="1"/>
  <c r="BJ490" i="1"/>
  <c r="BI490" i="1"/>
  <c r="CB490" i="1" s="1"/>
  <c r="BH490" i="1"/>
  <c r="BG490" i="1"/>
  <c r="BF490" i="1"/>
  <c r="BS490" i="1" s="1"/>
  <c r="BE490" i="1"/>
  <c r="BR490" i="1" s="1"/>
  <c r="BD490" i="1"/>
  <c r="BQ490" i="1" s="1"/>
  <c r="BC490" i="1"/>
  <c r="BP490" i="1" s="1"/>
  <c r="BB490" i="1"/>
  <c r="BO490" i="1" s="1"/>
  <c r="BA490" i="1"/>
  <c r="BN490" i="1" s="1"/>
  <c r="AZ490" i="1"/>
  <c r="BZ490" i="1" s="1"/>
  <c r="AY490" i="1"/>
  <c r="BY490" i="1" s="1"/>
  <c r="AX490" i="1"/>
  <c r="AW490" i="1"/>
  <c r="AV490" i="1"/>
  <c r="BM489" i="1"/>
  <c r="BV489" i="1" s="1"/>
  <c r="BL489" i="1"/>
  <c r="BT489" i="1" s="1"/>
  <c r="BK489" i="1"/>
  <c r="BJ489" i="1"/>
  <c r="BI489" i="1"/>
  <c r="CB489" i="1" s="1"/>
  <c r="BH489" i="1"/>
  <c r="BG489" i="1"/>
  <c r="BF489" i="1"/>
  <c r="BS489" i="1" s="1"/>
  <c r="BE489" i="1"/>
  <c r="BR489" i="1" s="1"/>
  <c r="BD489" i="1"/>
  <c r="BQ489" i="1" s="1"/>
  <c r="BC489" i="1"/>
  <c r="BP489" i="1" s="1"/>
  <c r="BB489" i="1"/>
  <c r="BO489" i="1" s="1"/>
  <c r="BA489" i="1"/>
  <c r="BN489" i="1" s="1"/>
  <c r="AZ489" i="1"/>
  <c r="BZ489" i="1" s="1"/>
  <c r="AY489" i="1"/>
  <c r="BY489" i="1" s="1"/>
  <c r="AX489" i="1"/>
  <c r="AW489" i="1"/>
  <c r="AV489" i="1"/>
  <c r="BW489" i="1" s="1"/>
  <c r="BM488" i="1"/>
  <c r="BV488" i="1" s="1"/>
  <c r="BL488" i="1"/>
  <c r="BT488" i="1" s="1"/>
  <c r="BK488" i="1"/>
  <c r="BJ488" i="1"/>
  <c r="BI488" i="1"/>
  <c r="CB488" i="1" s="1"/>
  <c r="BH488" i="1"/>
  <c r="BG488" i="1"/>
  <c r="BF488" i="1"/>
  <c r="BS488" i="1" s="1"/>
  <c r="BE488" i="1"/>
  <c r="BR488" i="1" s="1"/>
  <c r="BD488" i="1"/>
  <c r="BQ488" i="1" s="1"/>
  <c r="BC488" i="1"/>
  <c r="BP488" i="1" s="1"/>
  <c r="BB488" i="1"/>
  <c r="BO488" i="1" s="1"/>
  <c r="BA488" i="1"/>
  <c r="BN488" i="1" s="1"/>
  <c r="AZ488" i="1"/>
  <c r="BZ488" i="1" s="1"/>
  <c r="AY488" i="1"/>
  <c r="BY488" i="1" s="1"/>
  <c r="AX488" i="1"/>
  <c r="AW488" i="1"/>
  <c r="AV488" i="1"/>
  <c r="BM487" i="1"/>
  <c r="BV487" i="1" s="1"/>
  <c r="BL487" i="1"/>
  <c r="BT487" i="1" s="1"/>
  <c r="BK487" i="1"/>
  <c r="BJ487" i="1"/>
  <c r="BI487" i="1"/>
  <c r="CB487" i="1" s="1"/>
  <c r="BH487" i="1"/>
  <c r="BG487" i="1"/>
  <c r="BF487" i="1"/>
  <c r="BS487" i="1" s="1"/>
  <c r="BE487" i="1"/>
  <c r="BR487" i="1" s="1"/>
  <c r="BD487" i="1"/>
  <c r="BQ487" i="1" s="1"/>
  <c r="BC487" i="1"/>
  <c r="BP487" i="1" s="1"/>
  <c r="BB487" i="1"/>
  <c r="BO487" i="1" s="1"/>
  <c r="BA487" i="1"/>
  <c r="BN487" i="1" s="1"/>
  <c r="AZ487" i="1"/>
  <c r="BZ487" i="1" s="1"/>
  <c r="AY487" i="1"/>
  <c r="BY487" i="1" s="1"/>
  <c r="AX487" i="1"/>
  <c r="AW487" i="1"/>
  <c r="AV487" i="1"/>
  <c r="BM486" i="1"/>
  <c r="BV486" i="1" s="1"/>
  <c r="BL486" i="1"/>
  <c r="BT486" i="1" s="1"/>
  <c r="BK486" i="1"/>
  <c r="BJ486" i="1"/>
  <c r="BI486" i="1"/>
  <c r="CB486" i="1" s="1"/>
  <c r="BH486" i="1"/>
  <c r="BG486" i="1"/>
  <c r="BF486" i="1"/>
  <c r="BS486" i="1" s="1"/>
  <c r="BE486" i="1"/>
  <c r="BR486" i="1" s="1"/>
  <c r="BD486" i="1"/>
  <c r="BQ486" i="1" s="1"/>
  <c r="BC486" i="1"/>
  <c r="BP486" i="1" s="1"/>
  <c r="BB486" i="1"/>
  <c r="BO486" i="1" s="1"/>
  <c r="BA486" i="1"/>
  <c r="BN486" i="1" s="1"/>
  <c r="AZ486" i="1"/>
  <c r="BZ486" i="1" s="1"/>
  <c r="AY486" i="1"/>
  <c r="BY486" i="1" s="1"/>
  <c r="AX486" i="1"/>
  <c r="AW486" i="1"/>
  <c r="AV486" i="1"/>
  <c r="BW486" i="1" s="1"/>
  <c r="BM485" i="1"/>
  <c r="BV485" i="1" s="1"/>
  <c r="BL485" i="1"/>
  <c r="BT485" i="1" s="1"/>
  <c r="BK485" i="1"/>
  <c r="BJ485" i="1"/>
  <c r="BI485" i="1"/>
  <c r="CB485" i="1" s="1"/>
  <c r="BH485" i="1"/>
  <c r="BG485" i="1"/>
  <c r="BF485" i="1"/>
  <c r="BS485" i="1" s="1"/>
  <c r="BE485" i="1"/>
  <c r="BR485" i="1" s="1"/>
  <c r="BD485" i="1"/>
  <c r="BQ485" i="1" s="1"/>
  <c r="BC485" i="1"/>
  <c r="BP485" i="1" s="1"/>
  <c r="BB485" i="1"/>
  <c r="BO485" i="1" s="1"/>
  <c r="BA485" i="1"/>
  <c r="BN485" i="1" s="1"/>
  <c r="AZ485" i="1"/>
  <c r="BZ485" i="1" s="1"/>
  <c r="AY485" i="1"/>
  <c r="BY485" i="1" s="1"/>
  <c r="AX485" i="1"/>
  <c r="AW485" i="1"/>
  <c r="AV485" i="1"/>
  <c r="BM484" i="1"/>
  <c r="BV484" i="1" s="1"/>
  <c r="BL484" i="1"/>
  <c r="BT484" i="1" s="1"/>
  <c r="BK484" i="1"/>
  <c r="BJ484" i="1"/>
  <c r="BI484" i="1"/>
  <c r="CB484" i="1" s="1"/>
  <c r="BH484" i="1"/>
  <c r="BG484" i="1"/>
  <c r="BF484" i="1"/>
  <c r="BS484" i="1" s="1"/>
  <c r="BE484" i="1"/>
  <c r="BR484" i="1" s="1"/>
  <c r="BD484" i="1"/>
  <c r="BQ484" i="1" s="1"/>
  <c r="BC484" i="1"/>
  <c r="BP484" i="1" s="1"/>
  <c r="BB484" i="1"/>
  <c r="BO484" i="1" s="1"/>
  <c r="BA484" i="1"/>
  <c r="BN484" i="1" s="1"/>
  <c r="AZ484" i="1"/>
  <c r="BZ484" i="1" s="1"/>
  <c r="AY484" i="1"/>
  <c r="BY484" i="1" s="1"/>
  <c r="AX484" i="1"/>
  <c r="AW484" i="1"/>
  <c r="AV484" i="1"/>
  <c r="BW484" i="1" s="1"/>
  <c r="BM483" i="1"/>
  <c r="BV483" i="1" s="1"/>
  <c r="BL483" i="1"/>
  <c r="BT483" i="1" s="1"/>
  <c r="BK483" i="1"/>
  <c r="BJ483" i="1"/>
  <c r="BI483" i="1"/>
  <c r="CB483" i="1" s="1"/>
  <c r="BH483" i="1"/>
  <c r="BG483" i="1"/>
  <c r="BF483" i="1"/>
  <c r="BS483" i="1" s="1"/>
  <c r="BE483" i="1"/>
  <c r="BR483" i="1" s="1"/>
  <c r="BD483" i="1"/>
  <c r="BQ483" i="1" s="1"/>
  <c r="BC483" i="1"/>
  <c r="BP483" i="1" s="1"/>
  <c r="BB483" i="1"/>
  <c r="BO483" i="1" s="1"/>
  <c r="BA483" i="1"/>
  <c r="BN483" i="1" s="1"/>
  <c r="AZ483" i="1"/>
  <c r="BZ483" i="1" s="1"/>
  <c r="AY483" i="1"/>
  <c r="BY483" i="1" s="1"/>
  <c r="AX483" i="1"/>
  <c r="AW483" i="1"/>
  <c r="AV483" i="1"/>
  <c r="BW483" i="1" s="1"/>
  <c r="BM482" i="1"/>
  <c r="BV482" i="1" s="1"/>
  <c r="BL482" i="1"/>
  <c r="BT482" i="1" s="1"/>
  <c r="BK482" i="1"/>
  <c r="BJ482" i="1"/>
  <c r="BI482" i="1"/>
  <c r="CB482" i="1" s="1"/>
  <c r="BH482" i="1"/>
  <c r="BG482" i="1"/>
  <c r="BF482" i="1"/>
  <c r="BS482" i="1" s="1"/>
  <c r="BE482" i="1"/>
  <c r="BR482" i="1" s="1"/>
  <c r="BD482" i="1"/>
  <c r="BQ482" i="1" s="1"/>
  <c r="BC482" i="1"/>
  <c r="BP482" i="1" s="1"/>
  <c r="BB482" i="1"/>
  <c r="BO482" i="1" s="1"/>
  <c r="BA482" i="1"/>
  <c r="BN482" i="1" s="1"/>
  <c r="AZ482" i="1"/>
  <c r="BZ482" i="1" s="1"/>
  <c r="AY482" i="1"/>
  <c r="BY482" i="1" s="1"/>
  <c r="AX482" i="1"/>
  <c r="AW482" i="1"/>
  <c r="AV482" i="1"/>
  <c r="BW482" i="1" s="1"/>
  <c r="BM481" i="1"/>
  <c r="BV481" i="1" s="1"/>
  <c r="BL481" i="1"/>
  <c r="BT481" i="1" s="1"/>
  <c r="BK481" i="1"/>
  <c r="BJ481" i="1"/>
  <c r="BI481" i="1"/>
  <c r="CB481" i="1" s="1"/>
  <c r="BH481" i="1"/>
  <c r="BG481" i="1"/>
  <c r="BF481" i="1"/>
  <c r="BS481" i="1" s="1"/>
  <c r="BE481" i="1"/>
  <c r="BR481" i="1" s="1"/>
  <c r="BD481" i="1"/>
  <c r="BQ481" i="1" s="1"/>
  <c r="BC481" i="1"/>
  <c r="BP481" i="1" s="1"/>
  <c r="BB481" i="1"/>
  <c r="BO481" i="1" s="1"/>
  <c r="BA481" i="1"/>
  <c r="BN481" i="1" s="1"/>
  <c r="AZ481" i="1"/>
  <c r="BZ481" i="1" s="1"/>
  <c r="AY481" i="1"/>
  <c r="BY481" i="1" s="1"/>
  <c r="AX481" i="1"/>
  <c r="AW481" i="1"/>
  <c r="AV481" i="1"/>
  <c r="BW481" i="1" s="1"/>
  <c r="BM480" i="1"/>
  <c r="BV480" i="1" s="1"/>
  <c r="BL480" i="1"/>
  <c r="BT480" i="1" s="1"/>
  <c r="BK480" i="1"/>
  <c r="BJ480" i="1"/>
  <c r="BI480" i="1"/>
  <c r="CB480" i="1" s="1"/>
  <c r="BH480" i="1"/>
  <c r="BG480" i="1"/>
  <c r="BF480" i="1"/>
  <c r="BS480" i="1" s="1"/>
  <c r="BE480" i="1"/>
  <c r="BR480" i="1" s="1"/>
  <c r="BD480" i="1"/>
  <c r="BQ480" i="1" s="1"/>
  <c r="BC480" i="1"/>
  <c r="BP480" i="1" s="1"/>
  <c r="BB480" i="1"/>
  <c r="BO480" i="1" s="1"/>
  <c r="BA480" i="1"/>
  <c r="BN480" i="1" s="1"/>
  <c r="AZ480" i="1"/>
  <c r="BZ480" i="1" s="1"/>
  <c r="AY480" i="1"/>
  <c r="BY480" i="1" s="1"/>
  <c r="AX480" i="1"/>
  <c r="AW480" i="1"/>
  <c r="AV480" i="1"/>
  <c r="BW480" i="1" s="1"/>
  <c r="BM479" i="1"/>
  <c r="BV479" i="1" s="1"/>
  <c r="BL479" i="1"/>
  <c r="BT479" i="1" s="1"/>
  <c r="BK479" i="1"/>
  <c r="BJ479" i="1"/>
  <c r="BI479" i="1"/>
  <c r="CB479" i="1" s="1"/>
  <c r="BH479" i="1"/>
  <c r="BG479" i="1"/>
  <c r="BF479" i="1"/>
  <c r="BS479" i="1" s="1"/>
  <c r="BE479" i="1"/>
  <c r="BR479" i="1" s="1"/>
  <c r="BD479" i="1"/>
  <c r="BQ479" i="1" s="1"/>
  <c r="BC479" i="1"/>
  <c r="BP479" i="1" s="1"/>
  <c r="BB479" i="1"/>
  <c r="BO479" i="1" s="1"/>
  <c r="BA479" i="1"/>
  <c r="BN479" i="1" s="1"/>
  <c r="AZ479" i="1"/>
  <c r="BZ479" i="1" s="1"/>
  <c r="AY479" i="1"/>
  <c r="BY479" i="1" s="1"/>
  <c r="AX479" i="1"/>
  <c r="AW479" i="1"/>
  <c r="AV479" i="1"/>
  <c r="BW479" i="1" s="1"/>
  <c r="BM478" i="1"/>
  <c r="BV478" i="1" s="1"/>
  <c r="BL478" i="1"/>
  <c r="BT478" i="1" s="1"/>
  <c r="BK478" i="1"/>
  <c r="BJ478" i="1"/>
  <c r="BI478" i="1"/>
  <c r="CB478" i="1" s="1"/>
  <c r="BH478" i="1"/>
  <c r="BG478" i="1"/>
  <c r="BF478" i="1"/>
  <c r="BS478" i="1" s="1"/>
  <c r="BE478" i="1"/>
  <c r="BR478" i="1" s="1"/>
  <c r="BD478" i="1"/>
  <c r="BQ478" i="1" s="1"/>
  <c r="BC478" i="1"/>
  <c r="BP478" i="1" s="1"/>
  <c r="BB478" i="1"/>
  <c r="BO478" i="1" s="1"/>
  <c r="BA478" i="1"/>
  <c r="BN478" i="1" s="1"/>
  <c r="AZ478" i="1"/>
  <c r="BZ478" i="1" s="1"/>
  <c r="AY478" i="1"/>
  <c r="BY478" i="1" s="1"/>
  <c r="AX478" i="1"/>
  <c r="AW478" i="1"/>
  <c r="AV478" i="1"/>
  <c r="BM477" i="1"/>
  <c r="BV477" i="1" s="1"/>
  <c r="BL477" i="1"/>
  <c r="BT477" i="1" s="1"/>
  <c r="BK477" i="1"/>
  <c r="BJ477" i="1"/>
  <c r="BI477" i="1"/>
  <c r="CB477" i="1" s="1"/>
  <c r="BH477" i="1"/>
  <c r="BG477" i="1"/>
  <c r="BF477" i="1"/>
  <c r="BS477" i="1" s="1"/>
  <c r="BE477" i="1"/>
  <c r="BR477" i="1" s="1"/>
  <c r="BD477" i="1"/>
  <c r="BQ477" i="1" s="1"/>
  <c r="BC477" i="1"/>
  <c r="BP477" i="1" s="1"/>
  <c r="BB477" i="1"/>
  <c r="BO477" i="1" s="1"/>
  <c r="BA477" i="1"/>
  <c r="BN477" i="1" s="1"/>
  <c r="AZ477" i="1"/>
  <c r="BZ477" i="1" s="1"/>
  <c r="AY477" i="1"/>
  <c r="BY477" i="1" s="1"/>
  <c r="AX477" i="1"/>
  <c r="AW477" i="1"/>
  <c r="AV477" i="1"/>
  <c r="BW477" i="1" s="1"/>
  <c r="BM476" i="1"/>
  <c r="BV476" i="1" s="1"/>
  <c r="BL476" i="1"/>
  <c r="BT476" i="1" s="1"/>
  <c r="BK476" i="1"/>
  <c r="BJ476" i="1"/>
  <c r="BI476" i="1"/>
  <c r="CB476" i="1" s="1"/>
  <c r="BH476" i="1"/>
  <c r="BG476" i="1"/>
  <c r="BF476" i="1"/>
  <c r="BS476" i="1" s="1"/>
  <c r="BE476" i="1"/>
  <c r="BR476" i="1" s="1"/>
  <c r="BD476" i="1"/>
  <c r="BQ476" i="1" s="1"/>
  <c r="BC476" i="1"/>
  <c r="BP476" i="1" s="1"/>
  <c r="BB476" i="1"/>
  <c r="BO476" i="1" s="1"/>
  <c r="BA476" i="1"/>
  <c r="BN476" i="1" s="1"/>
  <c r="AZ476" i="1"/>
  <c r="BZ476" i="1" s="1"/>
  <c r="AY476" i="1"/>
  <c r="BY476" i="1" s="1"/>
  <c r="AX476" i="1"/>
  <c r="AW476" i="1"/>
  <c r="AV476" i="1"/>
  <c r="BW476" i="1" s="1"/>
  <c r="BM475" i="1"/>
  <c r="BV475" i="1" s="1"/>
  <c r="BL475" i="1"/>
  <c r="BT475" i="1" s="1"/>
  <c r="BK475" i="1"/>
  <c r="BJ475" i="1"/>
  <c r="BI475" i="1"/>
  <c r="CB475" i="1" s="1"/>
  <c r="BH475" i="1"/>
  <c r="BG475" i="1"/>
  <c r="BF475" i="1"/>
  <c r="BS475" i="1" s="1"/>
  <c r="BE475" i="1"/>
  <c r="BR475" i="1" s="1"/>
  <c r="BD475" i="1"/>
  <c r="BQ475" i="1" s="1"/>
  <c r="BC475" i="1"/>
  <c r="BP475" i="1" s="1"/>
  <c r="BB475" i="1"/>
  <c r="BO475" i="1" s="1"/>
  <c r="BA475" i="1"/>
  <c r="BN475" i="1" s="1"/>
  <c r="AZ475" i="1"/>
  <c r="BZ475" i="1" s="1"/>
  <c r="AY475" i="1"/>
  <c r="BY475" i="1" s="1"/>
  <c r="AX475" i="1"/>
  <c r="AW475" i="1"/>
  <c r="AV475" i="1"/>
  <c r="BW475" i="1" s="1"/>
  <c r="BM474" i="1"/>
  <c r="BV474" i="1" s="1"/>
  <c r="BL474" i="1"/>
  <c r="BT474" i="1" s="1"/>
  <c r="BK474" i="1"/>
  <c r="BJ474" i="1"/>
  <c r="BI474" i="1"/>
  <c r="CB474" i="1" s="1"/>
  <c r="BH474" i="1"/>
  <c r="BG474" i="1"/>
  <c r="BF474" i="1"/>
  <c r="BS474" i="1" s="1"/>
  <c r="BE474" i="1"/>
  <c r="BR474" i="1" s="1"/>
  <c r="BD474" i="1"/>
  <c r="BQ474" i="1" s="1"/>
  <c r="BC474" i="1"/>
  <c r="BP474" i="1" s="1"/>
  <c r="BB474" i="1"/>
  <c r="BO474" i="1" s="1"/>
  <c r="BA474" i="1"/>
  <c r="BN474" i="1" s="1"/>
  <c r="AZ474" i="1"/>
  <c r="BZ474" i="1" s="1"/>
  <c r="AY474" i="1"/>
  <c r="BY474" i="1" s="1"/>
  <c r="AX474" i="1"/>
  <c r="AW474" i="1"/>
  <c r="AV474" i="1"/>
  <c r="BW474" i="1" s="1"/>
  <c r="BM473" i="1"/>
  <c r="BV473" i="1" s="1"/>
  <c r="BL473" i="1"/>
  <c r="BT473" i="1" s="1"/>
  <c r="BK473" i="1"/>
  <c r="BJ473" i="1"/>
  <c r="BI473" i="1"/>
  <c r="CB473" i="1" s="1"/>
  <c r="BH473" i="1"/>
  <c r="BG473" i="1"/>
  <c r="BF473" i="1"/>
  <c r="BS473" i="1" s="1"/>
  <c r="BE473" i="1"/>
  <c r="BR473" i="1" s="1"/>
  <c r="BD473" i="1"/>
  <c r="BQ473" i="1" s="1"/>
  <c r="BC473" i="1"/>
  <c r="BP473" i="1" s="1"/>
  <c r="BB473" i="1"/>
  <c r="BO473" i="1" s="1"/>
  <c r="BA473" i="1"/>
  <c r="BN473" i="1" s="1"/>
  <c r="AZ473" i="1"/>
  <c r="BZ473" i="1" s="1"/>
  <c r="AY473" i="1"/>
  <c r="BY473" i="1" s="1"/>
  <c r="AX473" i="1"/>
  <c r="AW473" i="1"/>
  <c r="AV473" i="1"/>
  <c r="BW473" i="1" s="1"/>
  <c r="BM472" i="1"/>
  <c r="BV472" i="1" s="1"/>
  <c r="BL472" i="1"/>
  <c r="BT472" i="1" s="1"/>
  <c r="BK472" i="1"/>
  <c r="BJ472" i="1"/>
  <c r="BI472" i="1"/>
  <c r="CB472" i="1" s="1"/>
  <c r="BH472" i="1"/>
  <c r="BG472" i="1"/>
  <c r="BF472" i="1"/>
  <c r="BS472" i="1" s="1"/>
  <c r="BE472" i="1"/>
  <c r="BR472" i="1" s="1"/>
  <c r="BD472" i="1"/>
  <c r="BQ472" i="1" s="1"/>
  <c r="BC472" i="1"/>
  <c r="BP472" i="1" s="1"/>
  <c r="BB472" i="1"/>
  <c r="BO472" i="1" s="1"/>
  <c r="BA472" i="1"/>
  <c r="BN472" i="1" s="1"/>
  <c r="AZ472" i="1"/>
  <c r="BZ472" i="1" s="1"/>
  <c r="AY472" i="1"/>
  <c r="BY472" i="1" s="1"/>
  <c r="AX472" i="1"/>
  <c r="AW472" i="1"/>
  <c r="AV472" i="1"/>
  <c r="BM471" i="1"/>
  <c r="BV471" i="1" s="1"/>
  <c r="BL471" i="1"/>
  <c r="BT471" i="1" s="1"/>
  <c r="BK471" i="1"/>
  <c r="BJ471" i="1"/>
  <c r="BI471" i="1"/>
  <c r="CB471" i="1" s="1"/>
  <c r="BH471" i="1"/>
  <c r="BG471" i="1"/>
  <c r="BF471" i="1"/>
  <c r="BS471" i="1" s="1"/>
  <c r="BE471" i="1"/>
  <c r="BR471" i="1" s="1"/>
  <c r="BD471" i="1"/>
  <c r="BQ471" i="1" s="1"/>
  <c r="BC471" i="1"/>
  <c r="BP471" i="1" s="1"/>
  <c r="BB471" i="1"/>
  <c r="BO471" i="1" s="1"/>
  <c r="BA471" i="1"/>
  <c r="BN471" i="1" s="1"/>
  <c r="AZ471" i="1"/>
  <c r="BZ471" i="1" s="1"/>
  <c r="AY471" i="1"/>
  <c r="BY471" i="1" s="1"/>
  <c r="AX471" i="1"/>
  <c r="AW471" i="1"/>
  <c r="AV471" i="1"/>
  <c r="BW471" i="1" s="1"/>
  <c r="BM470" i="1"/>
  <c r="BV470" i="1" s="1"/>
  <c r="BL470" i="1"/>
  <c r="BT470" i="1" s="1"/>
  <c r="BK470" i="1"/>
  <c r="BJ470" i="1"/>
  <c r="BI470" i="1"/>
  <c r="CB470" i="1" s="1"/>
  <c r="BH470" i="1"/>
  <c r="BG470" i="1"/>
  <c r="BF470" i="1"/>
  <c r="BS470" i="1" s="1"/>
  <c r="BE470" i="1"/>
  <c r="BR470" i="1" s="1"/>
  <c r="BD470" i="1"/>
  <c r="BQ470" i="1" s="1"/>
  <c r="BC470" i="1"/>
  <c r="BP470" i="1" s="1"/>
  <c r="BB470" i="1"/>
  <c r="BO470" i="1" s="1"/>
  <c r="BA470" i="1"/>
  <c r="BN470" i="1" s="1"/>
  <c r="AZ470" i="1"/>
  <c r="BZ470" i="1" s="1"/>
  <c r="AY470" i="1"/>
  <c r="BY470" i="1" s="1"/>
  <c r="AX470" i="1"/>
  <c r="AW470" i="1"/>
  <c r="AV470" i="1"/>
  <c r="BW470" i="1" s="1"/>
  <c r="BM469" i="1"/>
  <c r="BV469" i="1" s="1"/>
  <c r="BL469" i="1"/>
  <c r="BT469" i="1" s="1"/>
  <c r="BK469" i="1"/>
  <c r="BJ469" i="1"/>
  <c r="BI469" i="1"/>
  <c r="CB469" i="1" s="1"/>
  <c r="BH469" i="1"/>
  <c r="BG469" i="1"/>
  <c r="BF469" i="1"/>
  <c r="BS469" i="1" s="1"/>
  <c r="BE469" i="1"/>
  <c r="BR469" i="1" s="1"/>
  <c r="BD469" i="1"/>
  <c r="BQ469" i="1" s="1"/>
  <c r="BC469" i="1"/>
  <c r="BP469" i="1" s="1"/>
  <c r="BB469" i="1"/>
  <c r="BO469" i="1" s="1"/>
  <c r="BA469" i="1"/>
  <c r="BN469" i="1" s="1"/>
  <c r="AZ469" i="1"/>
  <c r="BZ469" i="1" s="1"/>
  <c r="AY469" i="1"/>
  <c r="BY469" i="1" s="1"/>
  <c r="AX469" i="1"/>
  <c r="AW469" i="1"/>
  <c r="AV469" i="1"/>
  <c r="BM468" i="1"/>
  <c r="BV468" i="1" s="1"/>
  <c r="BL468" i="1"/>
  <c r="BT468" i="1" s="1"/>
  <c r="BK468" i="1"/>
  <c r="BJ468" i="1"/>
  <c r="BI468" i="1"/>
  <c r="CB468" i="1" s="1"/>
  <c r="BH468" i="1"/>
  <c r="BG468" i="1"/>
  <c r="BF468" i="1"/>
  <c r="BS468" i="1" s="1"/>
  <c r="BE468" i="1"/>
  <c r="BR468" i="1" s="1"/>
  <c r="BD468" i="1"/>
  <c r="BQ468" i="1" s="1"/>
  <c r="BC468" i="1"/>
  <c r="BP468" i="1" s="1"/>
  <c r="BB468" i="1"/>
  <c r="BO468" i="1" s="1"/>
  <c r="BA468" i="1"/>
  <c r="BN468" i="1" s="1"/>
  <c r="AZ468" i="1"/>
  <c r="BZ468" i="1" s="1"/>
  <c r="AY468" i="1"/>
  <c r="BY468" i="1" s="1"/>
  <c r="AX468" i="1"/>
  <c r="AW468" i="1"/>
  <c r="AV468" i="1"/>
  <c r="BW468" i="1" s="1"/>
  <c r="BM467" i="1"/>
  <c r="BV467" i="1" s="1"/>
  <c r="BL467" i="1"/>
  <c r="BT467" i="1" s="1"/>
  <c r="BK467" i="1"/>
  <c r="BJ467" i="1"/>
  <c r="BI467" i="1"/>
  <c r="CB467" i="1" s="1"/>
  <c r="BH467" i="1"/>
  <c r="BG467" i="1"/>
  <c r="BF467" i="1"/>
  <c r="BS467" i="1" s="1"/>
  <c r="BE467" i="1"/>
  <c r="BR467" i="1" s="1"/>
  <c r="BD467" i="1"/>
  <c r="BQ467" i="1" s="1"/>
  <c r="BC467" i="1"/>
  <c r="BP467" i="1" s="1"/>
  <c r="BB467" i="1"/>
  <c r="BO467" i="1" s="1"/>
  <c r="BA467" i="1"/>
  <c r="BN467" i="1" s="1"/>
  <c r="AZ467" i="1"/>
  <c r="BZ467" i="1" s="1"/>
  <c r="AY467" i="1"/>
  <c r="BY467" i="1" s="1"/>
  <c r="AX467" i="1"/>
  <c r="AW467" i="1"/>
  <c r="AV467" i="1"/>
  <c r="BM466" i="1"/>
  <c r="BV466" i="1" s="1"/>
  <c r="BL466" i="1"/>
  <c r="BT466" i="1" s="1"/>
  <c r="BK466" i="1"/>
  <c r="BJ466" i="1"/>
  <c r="BI466" i="1"/>
  <c r="CB466" i="1" s="1"/>
  <c r="BH466" i="1"/>
  <c r="BG466" i="1"/>
  <c r="BF466" i="1"/>
  <c r="BS466" i="1" s="1"/>
  <c r="BE466" i="1"/>
  <c r="BR466" i="1" s="1"/>
  <c r="BD466" i="1"/>
  <c r="BQ466" i="1" s="1"/>
  <c r="BC466" i="1"/>
  <c r="BP466" i="1" s="1"/>
  <c r="BB466" i="1"/>
  <c r="BO466" i="1" s="1"/>
  <c r="BA466" i="1"/>
  <c r="BN466" i="1" s="1"/>
  <c r="AZ466" i="1"/>
  <c r="BZ466" i="1" s="1"/>
  <c r="AY466" i="1"/>
  <c r="BY466" i="1" s="1"/>
  <c r="AX466" i="1"/>
  <c r="AW466" i="1"/>
  <c r="AV466" i="1"/>
  <c r="BW466" i="1" s="1"/>
  <c r="BM465" i="1"/>
  <c r="BV465" i="1" s="1"/>
  <c r="BL465" i="1"/>
  <c r="BT465" i="1" s="1"/>
  <c r="BK465" i="1"/>
  <c r="BJ465" i="1"/>
  <c r="BI465" i="1"/>
  <c r="CB465" i="1" s="1"/>
  <c r="BH465" i="1"/>
  <c r="BG465" i="1"/>
  <c r="BF465" i="1"/>
  <c r="BS465" i="1" s="1"/>
  <c r="BE465" i="1"/>
  <c r="BR465" i="1" s="1"/>
  <c r="BD465" i="1"/>
  <c r="BQ465" i="1" s="1"/>
  <c r="BC465" i="1"/>
  <c r="BP465" i="1" s="1"/>
  <c r="BB465" i="1"/>
  <c r="BO465" i="1" s="1"/>
  <c r="BA465" i="1"/>
  <c r="BN465" i="1" s="1"/>
  <c r="AZ465" i="1"/>
  <c r="BZ465" i="1" s="1"/>
  <c r="AY465" i="1"/>
  <c r="BY465" i="1" s="1"/>
  <c r="AX465" i="1"/>
  <c r="AW465" i="1"/>
  <c r="AV465" i="1"/>
  <c r="BW465" i="1" s="1"/>
  <c r="BM464" i="1"/>
  <c r="BV464" i="1" s="1"/>
  <c r="BL464" i="1"/>
  <c r="BT464" i="1" s="1"/>
  <c r="BK464" i="1"/>
  <c r="BJ464" i="1"/>
  <c r="BI464" i="1"/>
  <c r="CB464" i="1" s="1"/>
  <c r="BH464" i="1"/>
  <c r="BG464" i="1"/>
  <c r="BF464" i="1"/>
  <c r="BS464" i="1" s="1"/>
  <c r="BE464" i="1"/>
  <c r="BR464" i="1" s="1"/>
  <c r="BD464" i="1"/>
  <c r="BQ464" i="1" s="1"/>
  <c r="BC464" i="1"/>
  <c r="BP464" i="1" s="1"/>
  <c r="BB464" i="1"/>
  <c r="BO464" i="1" s="1"/>
  <c r="BA464" i="1"/>
  <c r="BN464" i="1" s="1"/>
  <c r="AZ464" i="1"/>
  <c r="BZ464" i="1" s="1"/>
  <c r="AY464" i="1"/>
  <c r="BY464" i="1" s="1"/>
  <c r="AX464" i="1"/>
  <c r="AW464" i="1"/>
  <c r="AV464" i="1"/>
  <c r="BW464" i="1" s="1"/>
  <c r="BM463" i="1"/>
  <c r="BV463" i="1" s="1"/>
  <c r="BL463" i="1"/>
  <c r="BT463" i="1" s="1"/>
  <c r="BK463" i="1"/>
  <c r="BJ463" i="1"/>
  <c r="BI463" i="1"/>
  <c r="CB463" i="1" s="1"/>
  <c r="BH463" i="1"/>
  <c r="BG463" i="1"/>
  <c r="BF463" i="1"/>
  <c r="BS463" i="1" s="1"/>
  <c r="BE463" i="1"/>
  <c r="BR463" i="1" s="1"/>
  <c r="BD463" i="1"/>
  <c r="BQ463" i="1" s="1"/>
  <c r="BC463" i="1"/>
  <c r="BP463" i="1" s="1"/>
  <c r="BB463" i="1"/>
  <c r="BO463" i="1" s="1"/>
  <c r="BA463" i="1"/>
  <c r="BN463" i="1" s="1"/>
  <c r="AZ463" i="1"/>
  <c r="BZ463" i="1" s="1"/>
  <c r="AY463" i="1"/>
  <c r="BY463" i="1" s="1"/>
  <c r="AX463" i="1"/>
  <c r="AW463" i="1"/>
  <c r="AV463" i="1"/>
  <c r="BW463" i="1" s="1"/>
  <c r="BM462" i="1"/>
  <c r="BV462" i="1" s="1"/>
  <c r="BL462" i="1"/>
  <c r="BT462" i="1" s="1"/>
  <c r="BK462" i="1"/>
  <c r="BJ462" i="1"/>
  <c r="BI462" i="1"/>
  <c r="CB462" i="1" s="1"/>
  <c r="BH462" i="1"/>
  <c r="BG462" i="1"/>
  <c r="BF462" i="1"/>
  <c r="BS462" i="1" s="1"/>
  <c r="BE462" i="1"/>
  <c r="BR462" i="1" s="1"/>
  <c r="BD462" i="1"/>
  <c r="BQ462" i="1" s="1"/>
  <c r="BC462" i="1"/>
  <c r="BP462" i="1" s="1"/>
  <c r="BB462" i="1"/>
  <c r="BO462" i="1" s="1"/>
  <c r="BA462" i="1"/>
  <c r="BN462" i="1" s="1"/>
  <c r="AZ462" i="1"/>
  <c r="BZ462" i="1" s="1"/>
  <c r="AY462" i="1"/>
  <c r="BY462" i="1" s="1"/>
  <c r="AX462" i="1"/>
  <c r="AW462" i="1"/>
  <c r="AV462" i="1"/>
  <c r="BW462" i="1" s="1"/>
  <c r="BM461" i="1"/>
  <c r="BV461" i="1" s="1"/>
  <c r="BL461" i="1"/>
  <c r="BT461" i="1" s="1"/>
  <c r="BK461" i="1"/>
  <c r="BJ461" i="1"/>
  <c r="BI461" i="1"/>
  <c r="CB461" i="1" s="1"/>
  <c r="BH461" i="1"/>
  <c r="BG461" i="1"/>
  <c r="BF461" i="1"/>
  <c r="BS461" i="1" s="1"/>
  <c r="BE461" i="1"/>
  <c r="BR461" i="1" s="1"/>
  <c r="BD461" i="1"/>
  <c r="BQ461" i="1" s="1"/>
  <c r="BC461" i="1"/>
  <c r="BP461" i="1" s="1"/>
  <c r="BB461" i="1"/>
  <c r="BO461" i="1" s="1"/>
  <c r="BA461" i="1"/>
  <c r="BN461" i="1" s="1"/>
  <c r="AZ461" i="1"/>
  <c r="BZ461" i="1" s="1"/>
  <c r="AY461" i="1"/>
  <c r="BY461" i="1" s="1"/>
  <c r="AX461" i="1"/>
  <c r="AW461" i="1"/>
  <c r="AV461" i="1"/>
  <c r="BW461" i="1" s="1"/>
  <c r="BM460" i="1"/>
  <c r="BV460" i="1" s="1"/>
  <c r="BL460" i="1"/>
  <c r="BT460" i="1" s="1"/>
  <c r="BK460" i="1"/>
  <c r="BJ460" i="1"/>
  <c r="BI460" i="1"/>
  <c r="CB460" i="1" s="1"/>
  <c r="BH460" i="1"/>
  <c r="BG460" i="1"/>
  <c r="BF460" i="1"/>
  <c r="BS460" i="1" s="1"/>
  <c r="BE460" i="1"/>
  <c r="BR460" i="1" s="1"/>
  <c r="BD460" i="1"/>
  <c r="BQ460" i="1" s="1"/>
  <c r="BC460" i="1"/>
  <c r="BP460" i="1" s="1"/>
  <c r="BB460" i="1"/>
  <c r="BO460" i="1" s="1"/>
  <c r="BA460" i="1"/>
  <c r="BN460" i="1" s="1"/>
  <c r="AZ460" i="1"/>
  <c r="BZ460" i="1" s="1"/>
  <c r="AY460" i="1"/>
  <c r="BY460" i="1" s="1"/>
  <c r="AX460" i="1"/>
  <c r="AW460" i="1"/>
  <c r="AV460" i="1"/>
  <c r="BM459" i="1"/>
  <c r="BV459" i="1" s="1"/>
  <c r="BL459" i="1"/>
  <c r="BT459" i="1" s="1"/>
  <c r="BK459" i="1"/>
  <c r="BJ459" i="1"/>
  <c r="BI459" i="1"/>
  <c r="CB459" i="1" s="1"/>
  <c r="BH459" i="1"/>
  <c r="BG459" i="1"/>
  <c r="BF459" i="1"/>
  <c r="BS459" i="1" s="1"/>
  <c r="BE459" i="1"/>
  <c r="BR459" i="1" s="1"/>
  <c r="BD459" i="1"/>
  <c r="BQ459" i="1" s="1"/>
  <c r="BC459" i="1"/>
  <c r="BP459" i="1" s="1"/>
  <c r="BB459" i="1"/>
  <c r="BO459" i="1" s="1"/>
  <c r="BA459" i="1"/>
  <c r="BN459" i="1" s="1"/>
  <c r="AZ459" i="1"/>
  <c r="BZ459" i="1" s="1"/>
  <c r="AY459" i="1"/>
  <c r="BY459" i="1" s="1"/>
  <c r="AX459" i="1"/>
  <c r="AW459" i="1"/>
  <c r="AV459" i="1"/>
  <c r="BW459" i="1" s="1"/>
  <c r="BM458" i="1"/>
  <c r="BV458" i="1" s="1"/>
  <c r="BL458" i="1"/>
  <c r="BT458" i="1" s="1"/>
  <c r="BK458" i="1"/>
  <c r="BJ458" i="1"/>
  <c r="BI458" i="1"/>
  <c r="CB458" i="1" s="1"/>
  <c r="BH458" i="1"/>
  <c r="BG458" i="1"/>
  <c r="BF458" i="1"/>
  <c r="BS458" i="1" s="1"/>
  <c r="BE458" i="1"/>
  <c r="BR458" i="1" s="1"/>
  <c r="BD458" i="1"/>
  <c r="BQ458" i="1" s="1"/>
  <c r="BC458" i="1"/>
  <c r="BP458" i="1" s="1"/>
  <c r="BB458" i="1"/>
  <c r="BO458" i="1" s="1"/>
  <c r="BA458" i="1"/>
  <c r="BN458" i="1" s="1"/>
  <c r="AZ458" i="1"/>
  <c r="BZ458" i="1" s="1"/>
  <c r="AY458" i="1"/>
  <c r="BY458" i="1" s="1"/>
  <c r="AX458" i="1"/>
  <c r="AW458" i="1"/>
  <c r="AV458" i="1"/>
  <c r="BM457" i="1"/>
  <c r="BV457" i="1" s="1"/>
  <c r="BL457" i="1"/>
  <c r="BT457" i="1" s="1"/>
  <c r="BK457" i="1"/>
  <c r="BJ457" i="1"/>
  <c r="BI457" i="1"/>
  <c r="CB457" i="1" s="1"/>
  <c r="BH457" i="1"/>
  <c r="BG457" i="1"/>
  <c r="BF457" i="1"/>
  <c r="BS457" i="1" s="1"/>
  <c r="BE457" i="1"/>
  <c r="BR457" i="1" s="1"/>
  <c r="BD457" i="1"/>
  <c r="BQ457" i="1" s="1"/>
  <c r="BC457" i="1"/>
  <c r="BP457" i="1" s="1"/>
  <c r="BB457" i="1"/>
  <c r="BO457" i="1" s="1"/>
  <c r="BA457" i="1"/>
  <c r="BN457" i="1" s="1"/>
  <c r="AZ457" i="1"/>
  <c r="BZ457" i="1" s="1"/>
  <c r="AY457" i="1"/>
  <c r="BY457" i="1" s="1"/>
  <c r="AX457" i="1"/>
  <c r="AW457" i="1"/>
  <c r="AV457" i="1"/>
  <c r="BW457" i="1" s="1"/>
  <c r="BM456" i="1"/>
  <c r="BV456" i="1" s="1"/>
  <c r="BL456" i="1"/>
  <c r="BT456" i="1" s="1"/>
  <c r="BK456" i="1"/>
  <c r="BJ456" i="1"/>
  <c r="BI456" i="1"/>
  <c r="CB456" i="1" s="1"/>
  <c r="BH456" i="1"/>
  <c r="BG456" i="1"/>
  <c r="BF456" i="1"/>
  <c r="BS456" i="1" s="1"/>
  <c r="BE456" i="1"/>
  <c r="BR456" i="1" s="1"/>
  <c r="BD456" i="1"/>
  <c r="BQ456" i="1" s="1"/>
  <c r="BC456" i="1"/>
  <c r="BP456" i="1" s="1"/>
  <c r="BB456" i="1"/>
  <c r="BO456" i="1" s="1"/>
  <c r="BA456" i="1"/>
  <c r="BN456" i="1" s="1"/>
  <c r="AZ456" i="1"/>
  <c r="BZ456" i="1" s="1"/>
  <c r="AY456" i="1"/>
  <c r="BY456" i="1" s="1"/>
  <c r="AX456" i="1"/>
  <c r="AW456" i="1"/>
  <c r="AV456" i="1"/>
  <c r="BW456" i="1" s="1"/>
  <c r="BM455" i="1"/>
  <c r="BV455" i="1" s="1"/>
  <c r="BL455" i="1"/>
  <c r="BT455" i="1" s="1"/>
  <c r="BK455" i="1"/>
  <c r="BJ455" i="1"/>
  <c r="BI455" i="1"/>
  <c r="CB455" i="1" s="1"/>
  <c r="BH455" i="1"/>
  <c r="BG455" i="1"/>
  <c r="BF455" i="1"/>
  <c r="BS455" i="1" s="1"/>
  <c r="BE455" i="1"/>
  <c r="BR455" i="1" s="1"/>
  <c r="BD455" i="1"/>
  <c r="BQ455" i="1" s="1"/>
  <c r="BC455" i="1"/>
  <c r="BP455" i="1" s="1"/>
  <c r="BB455" i="1"/>
  <c r="BO455" i="1" s="1"/>
  <c r="BA455" i="1"/>
  <c r="BN455" i="1" s="1"/>
  <c r="AZ455" i="1"/>
  <c r="BZ455" i="1" s="1"/>
  <c r="AY455" i="1"/>
  <c r="BY455" i="1" s="1"/>
  <c r="AX455" i="1"/>
  <c r="AW455" i="1"/>
  <c r="AV455" i="1"/>
  <c r="BM454" i="1"/>
  <c r="BV454" i="1" s="1"/>
  <c r="BL454" i="1"/>
  <c r="BT454" i="1" s="1"/>
  <c r="BK454" i="1"/>
  <c r="BJ454" i="1"/>
  <c r="BI454" i="1"/>
  <c r="CB454" i="1" s="1"/>
  <c r="BH454" i="1"/>
  <c r="BG454" i="1"/>
  <c r="BF454" i="1"/>
  <c r="BS454" i="1" s="1"/>
  <c r="BE454" i="1"/>
  <c r="BR454" i="1" s="1"/>
  <c r="BD454" i="1"/>
  <c r="BQ454" i="1" s="1"/>
  <c r="BC454" i="1"/>
  <c r="BP454" i="1" s="1"/>
  <c r="BB454" i="1"/>
  <c r="BO454" i="1" s="1"/>
  <c r="BA454" i="1"/>
  <c r="BN454" i="1" s="1"/>
  <c r="AZ454" i="1"/>
  <c r="BZ454" i="1" s="1"/>
  <c r="AY454" i="1"/>
  <c r="BY454" i="1" s="1"/>
  <c r="AX454" i="1"/>
  <c r="AW454" i="1"/>
  <c r="AV454" i="1"/>
  <c r="BW454" i="1" s="1"/>
  <c r="BM453" i="1"/>
  <c r="BV453" i="1" s="1"/>
  <c r="BL453" i="1"/>
  <c r="BT453" i="1" s="1"/>
  <c r="BK453" i="1"/>
  <c r="BJ453" i="1"/>
  <c r="BI453" i="1"/>
  <c r="CB453" i="1" s="1"/>
  <c r="BH453" i="1"/>
  <c r="BG453" i="1"/>
  <c r="BF453" i="1"/>
  <c r="BS453" i="1" s="1"/>
  <c r="BE453" i="1"/>
  <c r="BR453" i="1" s="1"/>
  <c r="BD453" i="1"/>
  <c r="BQ453" i="1" s="1"/>
  <c r="BC453" i="1"/>
  <c r="BP453" i="1" s="1"/>
  <c r="BB453" i="1"/>
  <c r="BO453" i="1" s="1"/>
  <c r="BA453" i="1"/>
  <c r="BN453" i="1" s="1"/>
  <c r="AZ453" i="1"/>
  <c r="BZ453" i="1" s="1"/>
  <c r="AY453" i="1"/>
  <c r="BY453" i="1" s="1"/>
  <c r="AX453" i="1"/>
  <c r="AW453" i="1"/>
  <c r="AV453" i="1"/>
  <c r="BW453" i="1" s="1"/>
  <c r="BM452" i="1"/>
  <c r="BV452" i="1" s="1"/>
  <c r="BL452" i="1"/>
  <c r="BT452" i="1" s="1"/>
  <c r="BK452" i="1"/>
  <c r="BJ452" i="1"/>
  <c r="BI452" i="1"/>
  <c r="CB452" i="1" s="1"/>
  <c r="BH452" i="1"/>
  <c r="BG452" i="1"/>
  <c r="BF452" i="1"/>
  <c r="BS452" i="1" s="1"/>
  <c r="BE452" i="1"/>
  <c r="BR452" i="1" s="1"/>
  <c r="BD452" i="1"/>
  <c r="BQ452" i="1" s="1"/>
  <c r="BC452" i="1"/>
  <c r="BP452" i="1" s="1"/>
  <c r="BB452" i="1"/>
  <c r="BO452" i="1" s="1"/>
  <c r="BA452" i="1"/>
  <c r="BN452" i="1" s="1"/>
  <c r="AZ452" i="1"/>
  <c r="BZ452" i="1" s="1"/>
  <c r="AY452" i="1"/>
  <c r="BY452" i="1" s="1"/>
  <c r="AX452" i="1"/>
  <c r="AW452" i="1"/>
  <c r="AV452" i="1"/>
  <c r="BW452" i="1" s="1"/>
  <c r="BM451" i="1"/>
  <c r="BV451" i="1" s="1"/>
  <c r="BL451" i="1"/>
  <c r="BT451" i="1" s="1"/>
  <c r="BK451" i="1"/>
  <c r="BJ451" i="1"/>
  <c r="BI451" i="1"/>
  <c r="CB451" i="1" s="1"/>
  <c r="BH451" i="1"/>
  <c r="BG451" i="1"/>
  <c r="BF451" i="1"/>
  <c r="BS451" i="1" s="1"/>
  <c r="BE451" i="1"/>
  <c r="BR451" i="1" s="1"/>
  <c r="BD451" i="1"/>
  <c r="BQ451" i="1" s="1"/>
  <c r="BC451" i="1"/>
  <c r="BP451" i="1" s="1"/>
  <c r="BB451" i="1"/>
  <c r="BO451" i="1" s="1"/>
  <c r="BA451" i="1"/>
  <c r="BN451" i="1" s="1"/>
  <c r="AZ451" i="1"/>
  <c r="BZ451" i="1" s="1"/>
  <c r="AY451" i="1"/>
  <c r="BY451" i="1" s="1"/>
  <c r="AX451" i="1"/>
  <c r="AW451" i="1"/>
  <c r="AV451" i="1"/>
  <c r="BW451" i="1" s="1"/>
  <c r="BM450" i="1"/>
  <c r="BV450" i="1" s="1"/>
  <c r="BL450" i="1"/>
  <c r="BT450" i="1" s="1"/>
  <c r="BK450" i="1"/>
  <c r="BJ450" i="1"/>
  <c r="BI450" i="1"/>
  <c r="CB450" i="1" s="1"/>
  <c r="BH450" i="1"/>
  <c r="BG450" i="1"/>
  <c r="BF450" i="1"/>
  <c r="BS450" i="1" s="1"/>
  <c r="BE450" i="1"/>
  <c r="BR450" i="1" s="1"/>
  <c r="BD450" i="1"/>
  <c r="BQ450" i="1" s="1"/>
  <c r="BC450" i="1"/>
  <c r="BP450" i="1" s="1"/>
  <c r="BB450" i="1"/>
  <c r="BO450" i="1" s="1"/>
  <c r="BA450" i="1"/>
  <c r="BN450" i="1" s="1"/>
  <c r="AZ450" i="1"/>
  <c r="BZ450" i="1" s="1"/>
  <c r="AY450" i="1"/>
  <c r="BY450" i="1" s="1"/>
  <c r="AX450" i="1"/>
  <c r="AW450" i="1"/>
  <c r="AV450" i="1"/>
  <c r="BW450" i="1" s="1"/>
  <c r="BM449" i="1"/>
  <c r="BV449" i="1" s="1"/>
  <c r="BL449" i="1"/>
  <c r="BT449" i="1" s="1"/>
  <c r="BK449" i="1"/>
  <c r="BJ449" i="1"/>
  <c r="BI449" i="1"/>
  <c r="CB449" i="1" s="1"/>
  <c r="BH449" i="1"/>
  <c r="BG449" i="1"/>
  <c r="BF449" i="1"/>
  <c r="BS449" i="1" s="1"/>
  <c r="BE449" i="1"/>
  <c r="BR449" i="1" s="1"/>
  <c r="BD449" i="1"/>
  <c r="BQ449" i="1" s="1"/>
  <c r="BC449" i="1"/>
  <c r="BP449" i="1" s="1"/>
  <c r="BB449" i="1"/>
  <c r="BO449" i="1" s="1"/>
  <c r="BA449" i="1"/>
  <c r="BN449" i="1" s="1"/>
  <c r="AZ449" i="1"/>
  <c r="BZ449" i="1" s="1"/>
  <c r="AY449" i="1"/>
  <c r="BY449" i="1" s="1"/>
  <c r="AX449" i="1"/>
  <c r="AW449" i="1"/>
  <c r="AV449" i="1"/>
  <c r="BM448" i="1"/>
  <c r="BV448" i="1" s="1"/>
  <c r="BL448" i="1"/>
  <c r="BT448" i="1" s="1"/>
  <c r="BK448" i="1"/>
  <c r="BJ448" i="1"/>
  <c r="BI448" i="1"/>
  <c r="CB448" i="1" s="1"/>
  <c r="BH448" i="1"/>
  <c r="BG448" i="1"/>
  <c r="BF448" i="1"/>
  <c r="BS448" i="1" s="1"/>
  <c r="BE448" i="1"/>
  <c r="BR448" i="1" s="1"/>
  <c r="BD448" i="1"/>
  <c r="BQ448" i="1" s="1"/>
  <c r="BC448" i="1"/>
  <c r="BP448" i="1" s="1"/>
  <c r="BB448" i="1"/>
  <c r="BO448" i="1" s="1"/>
  <c r="BA448" i="1"/>
  <c r="BN448" i="1" s="1"/>
  <c r="AZ448" i="1"/>
  <c r="BZ448" i="1" s="1"/>
  <c r="AY448" i="1"/>
  <c r="BY448" i="1" s="1"/>
  <c r="AX448" i="1"/>
  <c r="AW448" i="1"/>
  <c r="AV448" i="1"/>
  <c r="BW448" i="1" s="1"/>
  <c r="BM447" i="1"/>
  <c r="BV447" i="1" s="1"/>
  <c r="BL447" i="1"/>
  <c r="BT447" i="1" s="1"/>
  <c r="BK447" i="1"/>
  <c r="BJ447" i="1"/>
  <c r="BI447" i="1"/>
  <c r="CB447" i="1" s="1"/>
  <c r="BH447" i="1"/>
  <c r="BG447" i="1"/>
  <c r="BF447" i="1"/>
  <c r="BS447" i="1" s="1"/>
  <c r="BE447" i="1"/>
  <c r="BR447" i="1" s="1"/>
  <c r="BD447" i="1"/>
  <c r="BQ447" i="1" s="1"/>
  <c r="BC447" i="1"/>
  <c r="BP447" i="1" s="1"/>
  <c r="BB447" i="1"/>
  <c r="BO447" i="1" s="1"/>
  <c r="BA447" i="1"/>
  <c r="BN447" i="1" s="1"/>
  <c r="AZ447" i="1"/>
  <c r="BZ447" i="1" s="1"/>
  <c r="AY447" i="1"/>
  <c r="BY447" i="1" s="1"/>
  <c r="AX447" i="1"/>
  <c r="AW447" i="1"/>
  <c r="AV447" i="1"/>
  <c r="BW447" i="1" s="1"/>
  <c r="BM446" i="1"/>
  <c r="BV446" i="1" s="1"/>
  <c r="BL446" i="1"/>
  <c r="BT446" i="1" s="1"/>
  <c r="BK446" i="1"/>
  <c r="BJ446" i="1"/>
  <c r="BI446" i="1"/>
  <c r="CB446" i="1" s="1"/>
  <c r="BH446" i="1"/>
  <c r="BG446" i="1"/>
  <c r="BF446" i="1"/>
  <c r="BS446" i="1" s="1"/>
  <c r="BE446" i="1"/>
  <c r="BR446" i="1" s="1"/>
  <c r="BD446" i="1"/>
  <c r="BQ446" i="1" s="1"/>
  <c r="BC446" i="1"/>
  <c r="BP446" i="1" s="1"/>
  <c r="BB446" i="1"/>
  <c r="BO446" i="1" s="1"/>
  <c r="BA446" i="1"/>
  <c r="BN446" i="1" s="1"/>
  <c r="AZ446" i="1"/>
  <c r="BZ446" i="1" s="1"/>
  <c r="AY446" i="1"/>
  <c r="BY446" i="1" s="1"/>
  <c r="AX446" i="1"/>
  <c r="AW446" i="1"/>
  <c r="AV446" i="1"/>
  <c r="BW446" i="1" s="1"/>
  <c r="BM445" i="1"/>
  <c r="BV445" i="1" s="1"/>
  <c r="BL445" i="1"/>
  <c r="BT445" i="1" s="1"/>
  <c r="BK445" i="1"/>
  <c r="BJ445" i="1"/>
  <c r="BI445" i="1"/>
  <c r="CB445" i="1" s="1"/>
  <c r="BH445" i="1"/>
  <c r="BG445" i="1"/>
  <c r="BF445" i="1"/>
  <c r="BS445" i="1" s="1"/>
  <c r="BE445" i="1"/>
  <c r="BR445" i="1" s="1"/>
  <c r="BD445" i="1"/>
  <c r="BQ445" i="1" s="1"/>
  <c r="BC445" i="1"/>
  <c r="BP445" i="1" s="1"/>
  <c r="BB445" i="1"/>
  <c r="BO445" i="1" s="1"/>
  <c r="BA445" i="1"/>
  <c r="BN445" i="1" s="1"/>
  <c r="AZ445" i="1"/>
  <c r="BZ445" i="1" s="1"/>
  <c r="AY445" i="1"/>
  <c r="BY445" i="1" s="1"/>
  <c r="AX445" i="1"/>
  <c r="AW445" i="1"/>
  <c r="AV445" i="1"/>
  <c r="BW445" i="1" s="1"/>
  <c r="BM444" i="1"/>
  <c r="BV444" i="1" s="1"/>
  <c r="BL444" i="1"/>
  <c r="BT444" i="1" s="1"/>
  <c r="BK444" i="1"/>
  <c r="BJ444" i="1"/>
  <c r="BI444" i="1"/>
  <c r="CB444" i="1" s="1"/>
  <c r="BH444" i="1"/>
  <c r="BG444" i="1"/>
  <c r="BF444" i="1"/>
  <c r="BS444" i="1" s="1"/>
  <c r="BE444" i="1"/>
  <c r="BR444" i="1" s="1"/>
  <c r="BD444" i="1"/>
  <c r="BQ444" i="1" s="1"/>
  <c r="BC444" i="1"/>
  <c r="BP444" i="1" s="1"/>
  <c r="BB444" i="1"/>
  <c r="BO444" i="1" s="1"/>
  <c r="BA444" i="1"/>
  <c r="BN444" i="1" s="1"/>
  <c r="AZ444" i="1"/>
  <c r="BZ444" i="1" s="1"/>
  <c r="AY444" i="1"/>
  <c r="BY444" i="1" s="1"/>
  <c r="AX444" i="1"/>
  <c r="AW444" i="1"/>
  <c r="AV444" i="1"/>
  <c r="BM443" i="1"/>
  <c r="BV443" i="1" s="1"/>
  <c r="BL443" i="1"/>
  <c r="BT443" i="1" s="1"/>
  <c r="BK443" i="1"/>
  <c r="BJ443" i="1"/>
  <c r="BI443" i="1"/>
  <c r="CB443" i="1" s="1"/>
  <c r="BH443" i="1"/>
  <c r="BG443" i="1"/>
  <c r="BF443" i="1"/>
  <c r="BS443" i="1" s="1"/>
  <c r="BE443" i="1"/>
  <c r="BR443" i="1" s="1"/>
  <c r="BD443" i="1"/>
  <c r="BQ443" i="1" s="1"/>
  <c r="BC443" i="1"/>
  <c r="BP443" i="1" s="1"/>
  <c r="BB443" i="1"/>
  <c r="BO443" i="1" s="1"/>
  <c r="BA443" i="1"/>
  <c r="BN443" i="1" s="1"/>
  <c r="AZ443" i="1"/>
  <c r="BZ443" i="1" s="1"/>
  <c r="AY443" i="1"/>
  <c r="BY443" i="1" s="1"/>
  <c r="AX443" i="1"/>
  <c r="AW443" i="1"/>
  <c r="AV443" i="1"/>
  <c r="BW443" i="1" s="1"/>
  <c r="BM442" i="1"/>
  <c r="BV442" i="1" s="1"/>
  <c r="BL442" i="1"/>
  <c r="BT442" i="1" s="1"/>
  <c r="BK442" i="1"/>
  <c r="BJ442" i="1"/>
  <c r="BI442" i="1"/>
  <c r="CB442" i="1" s="1"/>
  <c r="BH442" i="1"/>
  <c r="BG442" i="1"/>
  <c r="BF442" i="1"/>
  <c r="BS442" i="1" s="1"/>
  <c r="BE442" i="1"/>
  <c r="BR442" i="1" s="1"/>
  <c r="BD442" i="1"/>
  <c r="BQ442" i="1" s="1"/>
  <c r="BC442" i="1"/>
  <c r="BP442" i="1" s="1"/>
  <c r="BB442" i="1"/>
  <c r="BO442" i="1" s="1"/>
  <c r="BA442" i="1"/>
  <c r="BN442" i="1" s="1"/>
  <c r="AZ442" i="1"/>
  <c r="BZ442" i="1" s="1"/>
  <c r="AY442" i="1"/>
  <c r="BY442" i="1" s="1"/>
  <c r="AX442" i="1"/>
  <c r="AW442" i="1"/>
  <c r="AV442" i="1"/>
  <c r="BW442" i="1" s="1"/>
  <c r="BM441" i="1"/>
  <c r="BV441" i="1" s="1"/>
  <c r="BL441" i="1"/>
  <c r="BT441" i="1" s="1"/>
  <c r="BK441" i="1"/>
  <c r="BJ441" i="1"/>
  <c r="BI441" i="1"/>
  <c r="CB441" i="1" s="1"/>
  <c r="BH441" i="1"/>
  <c r="BG441" i="1"/>
  <c r="BF441" i="1"/>
  <c r="BS441" i="1" s="1"/>
  <c r="BE441" i="1"/>
  <c r="BR441" i="1" s="1"/>
  <c r="BD441" i="1"/>
  <c r="BQ441" i="1" s="1"/>
  <c r="BC441" i="1"/>
  <c r="BP441" i="1" s="1"/>
  <c r="BB441" i="1"/>
  <c r="BO441" i="1" s="1"/>
  <c r="BA441" i="1"/>
  <c r="BN441" i="1" s="1"/>
  <c r="AZ441" i="1"/>
  <c r="BZ441" i="1" s="1"/>
  <c r="AY441" i="1"/>
  <c r="BY441" i="1" s="1"/>
  <c r="AX441" i="1"/>
  <c r="AW441" i="1"/>
  <c r="AV441" i="1"/>
  <c r="BW441" i="1" s="1"/>
  <c r="BM440" i="1"/>
  <c r="BV440" i="1" s="1"/>
  <c r="BL440" i="1"/>
  <c r="BT440" i="1" s="1"/>
  <c r="BK440" i="1"/>
  <c r="BJ440" i="1"/>
  <c r="BI440" i="1"/>
  <c r="CB440" i="1" s="1"/>
  <c r="BH440" i="1"/>
  <c r="BG440" i="1"/>
  <c r="BF440" i="1"/>
  <c r="BS440" i="1" s="1"/>
  <c r="BE440" i="1"/>
  <c r="BR440" i="1" s="1"/>
  <c r="BD440" i="1"/>
  <c r="BQ440" i="1" s="1"/>
  <c r="BC440" i="1"/>
  <c r="BP440" i="1" s="1"/>
  <c r="BB440" i="1"/>
  <c r="BO440" i="1" s="1"/>
  <c r="BA440" i="1"/>
  <c r="BN440" i="1" s="1"/>
  <c r="AZ440" i="1"/>
  <c r="BZ440" i="1" s="1"/>
  <c r="AY440" i="1"/>
  <c r="BY440" i="1" s="1"/>
  <c r="AX440" i="1"/>
  <c r="AW440" i="1"/>
  <c r="AV440" i="1"/>
  <c r="BW440" i="1" s="1"/>
  <c r="BM439" i="1"/>
  <c r="BV439" i="1" s="1"/>
  <c r="BL439" i="1"/>
  <c r="BT439" i="1" s="1"/>
  <c r="BK439" i="1"/>
  <c r="BJ439" i="1"/>
  <c r="BI439" i="1"/>
  <c r="CB439" i="1" s="1"/>
  <c r="BH439" i="1"/>
  <c r="BG439" i="1"/>
  <c r="BF439" i="1"/>
  <c r="BS439" i="1" s="1"/>
  <c r="BE439" i="1"/>
  <c r="BR439" i="1" s="1"/>
  <c r="BD439" i="1"/>
  <c r="BQ439" i="1" s="1"/>
  <c r="BC439" i="1"/>
  <c r="BP439" i="1" s="1"/>
  <c r="BB439" i="1"/>
  <c r="BO439" i="1" s="1"/>
  <c r="BA439" i="1"/>
  <c r="BN439" i="1" s="1"/>
  <c r="AZ439" i="1"/>
  <c r="BZ439" i="1" s="1"/>
  <c r="AY439" i="1"/>
  <c r="BY439" i="1" s="1"/>
  <c r="AX439" i="1"/>
  <c r="AW439" i="1"/>
  <c r="AV439" i="1"/>
  <c r="BW439" i="1" s="1"/>
  <c r="BM438" i="1"/>
  <c r="BV438" i="1" s="1"/>
  <c r="BL438" i="1"/>
  <c r="BT438" i="1" s="1"/>
  <c r="BK438" i="1"/>
  <c r="BJ438" i="1"/>
  <c r="BI438" i="1"/>
  <c r="CB438" i="1" s="1"/>
  <c r="BH438" i="1"/>
  <c r="BG438" i="1"/>
  <c r="BF438" i="1"/>
  <c r="BS438" i="1" s="1"/>
  <c r="BE438" i="1"/>
  <c r="BR438" i="1" s="1"/>
  <c r="BD438" i="1"/>
  <c r="BQ438" i="1" s="1"/>
  <c r="BC438" i="1"/>
  <c r="BP438" i="1" s="1"/>
  <c r="BB438" i="1"/>
  <c r="BO438" i="1" s="1"/>
  <c r="BA438" i="1"/>
  <c r="BN438" i="1" s="1"/>
  <c r="AZ438" i="1"/>
  <c r="BZ438" i="1" s="1"/>
  <c r="AY438" i="1"/>
  <c r="BY438" i="1" s="1"/>
  <c r="AX438" i="1"/>
  <c r="AW438" i="1"/>
  <c r="AV438" i="1"/>
  <c r="BW438" i="1" s="1"/>
  <c r="BM437" i="1"/>
  <c r="BV437" i="1" s="1"/>
  <c r="BL437" i="1"/>
  <c r="BT437" i="1" s="1"/>
  <c r="BK437" i="1"/>
  <c r="BJ437" i="1"/>
  <c r="BI437" i="1"/>
  <c r="CB437" i="1" s="1"/>
  <c r="BH437" i="1"/>
  <c r="BG437" i="1"/>
  <c r="BF437" i="1"/>
  <c r="BS437" i="1" s="1"/>
  <c r="BE437" i="1"/>
  <c r="BR437" i="1" s="1"/>
  <c r="BD437" i="1"/>
  <c r="BQ437" i="1" s="1"/>
  <c r="BC437" i="1"/>
  <c r="BP437" i="1" s="1"/>
  <c r="BB437" i="1"/>
  <c r="BO437" i="1" s="1"/>
  <c r="BA437" i="1"/>
  <c r="BN437" i="1" s="1"/>
  <c r="AZ437" i="1"/>
  <c r="BZ437" i="1" s="1"/>
  <c r="AY437" i="1"/>
  <c r="BY437" i="1" s="1"/>
  <c r="AX437" i="1"/>
  <c r="AW437" i="1"/>
  <c r="AV437" i="1"/>
  <c r="BW437" i="1" s="1"/>
  <c r="BM436" i="1"/>
  <c r="BV436" i="1" s="1"/>
  <c r="BL436" i="1"/>
  <c r="BT436" i="1" s="1"/>
  <c r="BK436" i="1"/>
  <c r="BJ436" i="1"/>
  <c r="BI436" i="1"/>
  <c r="CB436" i="1" s="1"/>
  <c r="BH436" i="1"/>
  <c r="BG436" i="1"/>
  <c r="BF436" i="1"/>
  <c r="BS436" i="1" s="1"/>
  <c r="BE436" i="1"/>
  <c r="BR436" i="1" s="1"/>
  <c r="BD436" i="1"/>
  <c r="BQ436" i="1" s="1"/>
  <c r="BC436" i="1"/>
  <c r="BP436" i="1" s="1"/>
  <c r="BB436" i="1"/>
  <c r="BO436" i="1" s="1"/>
  <c r="BA436" i="1"/>
  <c r="BN436" i="1" s="1"/>
  <c r="AZ436" i="1"/>
  <c r="BZ436" i="1" s="1"/>
  <c r="AY436" i="1"/>
  <c r="BY436" i="1" s="1"/>
  <c r="AX436" i="1"/>
  <c r="AW436" i="1"/>
  <c r="AV436" i="1"/>
  <c r="BW436" i="1" s="1"/>
  <c r="BM435" i="1"/>
  <c r="BV435" i="1" s="1"/>
  <c r="BL435" i="1"/>
  <c r="BT435" i="1" s="1"/>
  <c r="BK435" i="1"/>
  <c r="BJ435" i="1"/>
  <c r="BI435" i="1"/>
  <c r="CB435" i="1" s="1"/>
  <c r="BH435" i="1"/>
  <c r="BG435" i="1"/>
  <c r="BF435" i="1"/>
  <c r="BS435" i="1" s="1"/>
  <c r="BE435" i="1"/>
  <c r="BR435" i="1" s="1"/>
  <c r="BD435" i="1"/>
  <c r="BQ435" i="1" s="1"/>
  <c r="BC435" i="1"/>
  <c r="BP435" i="1" s="1"/>
  <c r="BB435" i="1"/>
  <c r="BO435" i="1" s="1"/>
  <c r="BA435" i="1"/>
  <c r="BN435" i="1" s="1"/>
  <c r="AZ435" i="1"/>
  <c r="BZ435" i="1" s="1"/>
  <c r="AY435" i="1"/>
  <c r="BY435" i="1" s="1"/>
  <c r="AX435" i="1"/>
  <c r="AW435" i="1"/>
  <c r="AV435" i="1"/>
  <c r="BM434" i="1"/>
  <c r="BV434" i="1" s="1"/>
  <c r="BL434" i="1"/>
  <c r="BT434" i="1" s="1"/>
  <c r="BK434" i="1"/>
  <c r="BJ434" i="1"/>
  <c r="BI434" i="1"/>
  <c r="CB434" i="1" s="1"/>
  <c r="BH434" i="1"/>
  <c r="BG434" i="1"/>
  <c r="BF434" i="1"/>
  <c r="BS434" i="1" s="1"/>
  <c r="BE434" i="1"/>
  <c r="BR434" i="1" s="1"/>
  <c r="BD434" i="1"/>
  <c r="BQ434" i="1" s="1"/>
  <c r="BC434" i="1"/>
  <c r="BP434" i="1" s="1"/>
  <c r="BB434" i="1"/>
  <c r="BO434" i="1" s="1"/>
  <c r="BA434" i="1"/>
  <c r="BN434" i="1" s="1"/>
  <c r="AZ434" i="1"/>
  <c r="BZ434" i="1" s="1"/>
  <c r="AY434" i="1"/>
  <c r="BY434" i="1" s="1"/>
  <c r="AX434" i="1"/>
  <c r="AW434" i="1"/>
  <c r="AV434" i="1"/>
  <c r="BW434" i="1" s="1"/>
  <c r="BM433" i="1"/>
  <c r="BV433" i="1" s="1"/>
  <c r="BL433" i="1"/>
  <c r="BT433" i="1" s="1"/>
  <c r="BK433" i="1"/>
  <c r="BJ433" i="1"/>
  <c r="BI433" i="1"/>
  <c r="BH433" i="1"/>
  <c r="BG433" i="1"/>
  <c r="BF433" i="1"/>
  <c r="BS433" i="1" s="1"/>
  <c r="BE433" i="1"/>
  <c r="BR433" i="1" s="1"/>
  <c r="BD433" i="1"/>
  <c r="BQ433" i="1" s="1"/>
  <c r="BC433" i="1"/>
  <c r="BP433" i="1" s="1"/>
  <c r="BB433" i="1"/>
  <c r="BO433" i="1" s="1"/>
  <c r="BA433" i="1"/>
  <c r="BN433" i="1" s="1"/>
  <c r="AZ433" i="1"/>
  <c r="BZ433" i="1" s="1"/>
  <c r="AY433" i="1"/>
  <c r="BY433" i="1" s="1"/>
  <c r="AX433" i="1"/>
  <c r="AW433" i="1"/>
  <c r="AV433" i="1"/>
  <c r="BW433" i="1" s="1"/>
  <c r="BM432" i="1"/>
  <c r="BV432" i="1" s="1"/>
  <c r="BL432" i="1"/>
  <c r="BT432" i="1" s="1"/>
  <c r="BK432" i="1"/>
  <c r="BJ432" i="1"/>
  <c r="BI432" i="1"/>
  <c r="CB432" i="1" s="1"/>
  <c r="BH432" i="1"/>
  <c r="BG432" i="1"/>
  <c r="BF432" i="1"/>
  <c r="BS432" i="1" s="1"/>
  <c r="BE432" i="1"/>
  <c r="BR432" i="1" s="1"/>
  <c r="BD432" i="1"/>
  <c r="BQ432" i="1" s="1"/>
  <c r="BC432" i="1"/>
  <c r="BP432" i="1" s="1"/>
  <c r="BB432" i="1"/>
  <c r="BO432" i="1" s="1"/>
  <c r="BA432" i="1"/>
  <c r="BN432" i="1" s="1"/>
  <c r="AZ432" i="1"/>
  <c r="BZ432" i="1" s="1"/>
  <c r="AY432" i="1"/>
  <c r="BY432" i="1" s="1"/>
  <c r="AX432" i="1"/>
  <c r="AW432" i="1"/>
  <c r="AV432" i="1"/>
  <c r="BM431" i="1"/>
  <c r="BV431" i="1" s="1"/>
  <c r="BL431" i="1"/>
  <c r="BT431" i="1" s="1"/>
  <c r="BK431" i="1"/>
  <c r="BJ431" i="1"/>
  <c r="BI431" i="1"/>
  <c r="CB431" i="1" s="1"/>
  <c r="BH431" i="1"/>
  <c r="BG431" i="1"/>
  <c r="BF431" i="1"/>
  <c r="BS431" i="1" s="1"/>
  <c r="BE431" i="1"/>
  <c r="BR431" i="1" s="1"/>
  <c r="BD431" i="1"/>
  <c r="BQ431" i="1" s="1"/>
  <c r="BC431" i="1"/>
  <c r="BP431" i="1" s="1"/>
  <c r="BB431" i="1"/>
  <c r="BO431" i="1" s="1"/>
  <c r="BA431" i="1"/>
  <c r="BN431" i="1" s="1"/>
  <c r="AZ431" i="1"/>
  <c r="BZ431" i="1" s="1"/>
  <c r="AY431" i="1"/>
  <c r="BY431" i="1" s="1"/>
  <c r="AX431" i="1"/>
  <c r="AW431" i="1"/>
  <c r="AV431" i="1"/>
  <c r="BM430" i="1"/>
  <c r="BV430" i="1" s="1"/>
  <c r="BL430" i="1"/>
  <c r="BT430" i="1" s="1"/>
  <c r="BK430" i="1"/>
  <c r="BJ430" i="1"/>
  <c r="BI430" i="1"/>
  <c r="CB430" i="1" s="1"/>
  <c r="BH430" i="1"/>
  <c r="BG430" i="1"/>
  <c r="BF430" i="1"/>
  <c r="BS430" i="1" s="1"/>
  <c r="BE430" i="1"/>
  <c r="BR430" i="1" s="1"/>
  <c r="BD430" i="1"/>
  <c r="BQ430" i="1" s="1"/>
  <c r="BC430" i="1"/>
  <c r="BP430" i="1" s="1"/>
  <c r="BB430" i="1"/>
  <c r="BO430" i="1" s="1"/>
  <c r="BA430" i="1"/>
  <c r="BN430" i="1" s="1"/>
  <c r="AZ430" i="1"/>
  <c r="BZ430" i="1" s="1"/>
  <c r="AY430" i="1"/>
  <c r="BY430" i="1" s="1"/>
  <c r="AX430" i="1"/>
  <c r="AW430" i="1"/>
  <c r="AV430" i="1"/>
  <c r="BW430" i="1" s="1"/>
  <c r="BM429" i="1"/>
  <c r="BV429" i="1" s="1"/>
  <c r="BL429" i="1"/>
  <c r="BT429" i="1" s="1"/>
  <c r="BK429" i="1"/>
  <c r="BJ429" i="1"/>
  <c r="BI429" i="1"/>
  <c r="CB429" i="1" s="1"/>
  <c r="BH429" i="1"/>
  <c r="BG429" i="1"/>
  <c r="BF429" i="1"/>
  <c r="BS429" i="1" s="1"/>
  <c r="BE429" i="1"/>
  <c r="BR429" i="1" s="1"/>
  <c r="BD429" i="1"/>
  <c r="BQ429" i="1" s="1"/>
  <c r="BC429" i="1"/>
  <c r="BP429" i="1" s="1"/>
  <c r="BB429" i="1"/>
  <c r="BO429" i="1" s="1"/>
  <c r="BA429" i="1"/>
  <c r="BN429" i="1" s="1"/>
  <c r="AZ429" i="1"/>
  <c r="BZ429" i="1" s="1"/>
  <c r="AY429" i="1"/>
  <c r="BY429" i="1" s="1"/>
  <c r="AX429" i="1"/>
  <c r="AW429" i="1"/>
  <c r="AV429" i="1"/>
  <c r="BW429" i="1" s="1"/>
  <c r="BM428" i="1"/>
  <c r="BV428" i="1" s="1"/>
  <c r="BL428" i="1"/>
  <c r="BT428" i="1" s="1"/>
  <c r="BK428" i="1"/>
  <c r="BJ428" i="1"/>
  <c r="BI428" i="1"/>
  <c r="CB428" i="1" s="1"/>
  <c r="BH428" i="1"/>
  <c r="BG428" i="1"/>
  <c r="BF428" i="1"/>
  <c r="BS428" i="1" s="1"/>
  <c r="BE428" i="1"/>
  <c r="BR428" i="1" s="1"/>
  <c r="BD428" i="1"/>
  <c r="BQ428" i="1" s="1"/>
  <c r="BC428" i="1"/>
  <c r="BP428" i="1" s="1"/>
  <c r="BB428" i="1"/>
  <c r="BO428" i="1" s="1"/>
  <c r="BA428" i="1"/>
  <c r="BN428" i="1" s="1"/>
  <c r="AZ428" i="1"/>
  <c r="BZ428" i="1" s="1"/>
  <c r="AY428" i="1"/>
  <c r="BY428" i="1" s="1"/>
  <c r="AX428" i="1"/>
  <c r="AW428" i="1"/>
  <c r="AV428" i="1"/>
  <c r="BM427" i="1"/>
  <c r="BV427" i="1" s="1"/>
  <c r="BL427" i="1"/>
  <c r="BT427" i="1" s="1"/>
  <c r="BK427" i="1"/>
  <c r="BJ427" i="1"/>
  <c r="BI427" i="1"/>
  <c r="CB427" i="1" s="1"/>
  <c r="BH427" i="1"/>
  <c r="BG427" i="1"/>
  <c r="BF427" i="1"/>
  <c r="BS427" i="1" s="1"/>
  <c r="BE427" i="1"/>
  <c r="BR427" i="1" s="1"/>
  <c r="BD427" i="1"/>
  <c r="BQ427" i="1" s="1"/>
  <c r="BC427" i="1"/>
  <c r="BP427" i="1" s="1"/>
  <c r="BB427" i="1"/>
  <c r="BO427" i="1" s="1"/>
  <c r="BA427" i="1"/>
  <c r="BN427" i="1" s="1"/>
  <c r="AZ427" i="1"/>
  <c r="BZ427" i="1" s="1"/>
  <c r="AY427" i="1"/>
  <c r="BY427" i="1" s="1"/>
  <c r="AX427" i="1"/>
  <c r="AW427" i="1"/>
  <c r="AV427" i="1"/>
  <c r="BW427" i="1" s="1"/>
  <c r="BM426" i="1"/>
  <c r="BV426" i="1" s="1"/>
  <c r="BL426" i="1"/>
  <c r="BT426" i="1" s="1"/>
  <c r="BK426" i="1"/>
  <c r="BJ426" i="1"/>
  <c r="BI426" i="1"/>
  <c r="CB426" i="1" s="1"/>
  <c r="BH426" i="1"/>
  <c r="BG426" i="1"/>
  <c r="BF426" i="1"/>
  <c r="BS426" i="1" s="1"/>
  <c r="BE426" i="1"/>
  <c r="BR426" i="1" s="1"/>
  <c r="BD426" i="1"/>
  <c r="BQ426" i="1" s="1"/>
  <c r="BC426" i="1"/>
  <c r="BP426" i="1" s="1"/>
  <c r="BB426" i="1"/>
  <c r="BO426" i="1" s="1"/>
  <c r="BA426" i="1"/>
  <c r="BN426" i="1" s="1"/>
  <c r="AZ426" i="1"/>
  <c r="BZ426" i="1" s="1"/>
  <c r="AY426" i="1"/>
  <c r="BY426" i="1" s="1"/>
  <c r="AX426" i="1"/>
  <c r="AW426" i="1"/>
  <c r="AV426" i="1"/>
  <c r="BW426" i="1" s="1"/>
  <c r="BM425" i="1"/>
  <c r="BV425" i="1" s="1"/>
  <c r="BL425" i="1"/>
  <c r="BT425" i="1" s="1"/>
  <c r="BK425" i="1"/>
  <c r="BJ425" i="1"/>
  <c r="BI425" i="1"/>
  <c r="CB425" i="1" s="1"/>
  <c r="BH425" i="1"/>
  <c r="BG425" i="1"/>
  <c r="BF425" i="1"/>
  <c r="BS425" i="1" s="1"/>
  <c r="BE425" i="1"/>
  <c r="BR425" i="1" s="1"/>
  <c r="BD425" i="1"/>
  <c r="BQ425" i="1" s="1"/>
  <c r="BC425" i="1"/>
  <c r="BP425" i="1" s="1"/>
  <c r="BB425" i="1"/>
  <c r="BO425" i="1" s="1"/>
  <c r="BA425" i="1"/>
  <c r="BN425" i="1" s="1"/>
  <c r="AZ425" i="1"/>
  <c r="BZ425" i="1" s="1"/>
  <c r="AY425" i="1"/>
  <c r="BY425" i="1" s="1"/>
  <c r="AX425" i="1"/>
  <c r="AW425" i="1"/>
  <c r="AV425" i="1"/>
  <c r="BM424" i="1"/>
  <c r="BV424" i="1" s="1"/>
  <c r="BL424" i="1"/>
  <c r="BT424" i="1" s="1"/>
  <c r="BK424" i="1"/>
  <c r="BJ424" i="1"/>
  <c r="BI424" i="1"/>
  <c r="CB424" i="1" s="1"/>
  <c r="BH424" i="1"/>
  <c r="BG424" i="1"/>
  <c r="BF424" i="1"/>
  <c r="BS424" i="1" s="1"/>
  <c r="BE424" i="1"/>
  <c r="BR424" i="1" s="1"/>
  <c r="BD424" i="1"/>
  <c r="BQ424" i="1" s="1"/>
  <c r="BC424" i="1"/>
  <c r="BP424" i="1" s="1"/>
  <c r="BB424" i="1"/>
  <c r="BO424" i="1" s="1"/>
  <c r="BA424" i="1"/>
  <c r="BN424" i="1" s="1"/>
  <c r="AZ424" i="1"/>
  <c r="BZ424" i="1" s="1"/>
  <c r="AY424" i="1"/>
  <c r="BY424" i="1" s="1"/>
  <c r="AX424" i="1"/>
  <c r="AW424" i="1"/>
  <c r="AV424" i="1"/>
  <c r="BW424" i="1" s="1"/>
  <c r="BM423" i="1"/>
  <c r="BV423" i="1" s="1"/>
  <c r="BL423" i="1"/>
  <c r="BT423" i="1" s="1"/>
  <c r="BK423" i="1"/>
  <c r="BJ423" i="1"/>
  <c r="BI423" i="1"/>
  <c r="CB423" i="1" s="1"/>
  <c r="BH423" i="1"/>
  <c r="BG423" i="1"/>
  <c r="BF423" i="1"/>
  <c r="BS423" i="1" s="1"/>
  <c r="BE423" i="1"/>
  <c r="BR423" i="1" s="1"/>
  <c r="BD423" i="1"/>
  <c r="BQ423" i="1" s="1"/>
  <c r="BC423" i="1"/>
  <c r="BP423" i="1" s="1"/>
  <c r="BB423" i="1"/>
  <c r="BO423" i="1" s="1"/>
  <c r="BA423" i="1"/>
  <c r="BN423" i="1" s="1"/>
  <c r="AZ423" i="1"/>
  <c r="BZ423" i="1" s="1"/>
  <c r="AY423" i="1"/>
  <c r="BY423" i="1" s="1"/>
  <c r="AX423" i="1"/>
  <c r="AW423" i="1"/>
  <c r="AV423" i="1"/>
  <c r="BW423" i="1" s="1"/>
  <c r="BM422" i="1"/>
  <c r="BV422" i="1" s="1"/>
  <c r="BL422" i="1"/>
  <c r="BT422" i="1" s="1"/>
  <c r="BK422" i="1"/>
  <c r="BJ422" i="1"/>
  <c r="BI422" i="1"/>
  <c r="CB422" i="1" s="1"/>
  <c r="BH422" i="1"/>
  <c r="BG422" i="1"/>
  <c r="BF422" i="1"/>
  <c r="BS422" i="1" s="1"/>
  <c r="BE422" i="1"/>
  <c r="BR422" i="1" s="1"/>
  <c r="BD422" i="1"/>
  <c r="BQ422" i="1" s="1"/>
  <c r="BC422" i="1"/>
  <c r="BP422" i="1" s="1"/>
  <c r="BB422" i="1"/>
  <c r="BO422" i="1" s="1"/>
  <c r="BA422" i="1"/>
  <c r="BN422" i="1" s="1"/>
  <c r="AZ422" i="1"/>
  <c r="BZ422" i="1" s="1"/>
  <c r="AY422" i="1"/>
  <c r="BY422" i="1" s="1"/>
  <c r="AX422" i="1"/>
  <c r="AW422" i="1"/>
  <c r="AV422" i="1"/>
  <c r="BW422" i="1" s="1"/>
  <c r="BM421" i="1"/>
  <c r="BV421" i="1" s="1"/>
  <c r="BL421" i="1"/>
  <c r="BT421" i="1" s="1"/>
  <c r="BK421" i="1"/>
  <c r="BJ421" i="1"/>
  <c r="BI421" i="1"/>
  <c r="CB421" i="1" s="1"/>
  <c r="BH421" i="1"/>
  <c r="BG421" i="1"/>
  <c r="BF421" i="1"/>
  <c r="BS421" i="1" s="1"/>
  <c r="BE421" i="1"/>
  <c r="BR421" i="1" s="1"/>
  <c r="BD421" i="1"/>
  <c r="BQ421" i="1" s="1"/>
  <c r="BC421" i="1"/>
  <c r="BP421" i="1" s="1"/>
  <c r="BB421" i="1"/>
  <c r="BO421" i="1" s="1"/>
  <c r="BA421" i="1"/>
  <c r="BN421" i="1" s="1"/>
  <c r="AZ421" i="1"/>
  <c r="BZ421" i="1" s="1"/>
  <c r="AY421" i="1"/>
  <c r="BY421" i="1" s="1"/>
  <c r="AX421" i="1"/>
  <c r="AW421" i="1"/>
  <c r="AV421" i="1"/>
  <c r="BW421" i="1" s="1"/>
  <c r="BM420" i="1"/>
  <c r="BV420" i="1" s="1"/>
  <c r="BL420" i="1"/>
  <c r="BT420" i="1" s="1"/>
  <c r="BK420" i="1"/>
  <c r="BJ420" i="1"/>
  <c r="BI420" i="1"/>
  <c r="CB420" i="1" s="1"/>
  <c r="BH420" i="1"/>
  <c r="BG420" i="1"/>
  <c r="BF420" i="1"/>
  <c r="BS420" i="1" s="1"/>
  <c r="BE420" i="1"/>
  <c r="BR420" i="1" s="1"/>
  <c r="BD420" i="1"/>
  <c r="BQ420" i="1" s="1"/>
  <c r="BC420" i="1"/>
  <c r="BP420" i="1" s="1"/>
  <c r="BB420" i="1"/>
  <c r="BO420" i="1" s="1"/>
  <c r="BA420" i="1"/>
  <c r="BN420" i="1" s="1"/>
  <c r="AZ420" i="1"/>
  <c r="BZ420" i="1" s="1"/>
  <c r="AY420" i="1"/>
  <c r="BY420" i="1" s="1"/>
  <c r="AX420" i="1"/>
  <c r="AW420" i="1"/>
  <c r="AV420" i="1"/>
  <c r="BW420" i="1" s="1"/>
  <c r="BM419" i="1"/>
  <c r="BV419" i="1" s="1"/>
  <c r="BL419" i="1"/>
  <c r="BT419" i="1" s="1"/>
  <c r="BK419" i="1"/>
  <c r="BJ419" i="1"/>
  <c r="BI419" i="1"/>
  <c r="CB419" i="1" s="1"/>
  <c r="BH419" i="1"/>
  <c r="BG419" i="1"/>
  <c r="BF419" i="1"/>
  <c r="BS419" i="1" s="1"/>
  <c r="BE419" i="1"/>
  <c r="BR419" i="1" s="1"/>
  <c r="BD419" i="1"/>
  <c r="BQ419" i="1" s="1"/>
  <c r="BC419" i="1"/>
  <c r="BP419" i="1" s="1"/>
  <c r="BB419" i="1"/>
  <c r="BO419" i="1" s="1"/>
  <c r="BA419" i="1"/>
  <c r="BN419" i="1" s="1"/>
  <c r="AZ419" i="1"/>
  <c r="BZ419" i="1" s="1"/>
  <c r="AY419" i="1"/>
  <c r="BY419" i="1" s="1"/>
  <c r="AX419" i="1"/>
  <c r="AW419" i="1"/>
  <c r="AV419" i="1"/>
  <c r="BW419" i="1" s="1"/>
  <c r="BM418" i="1"/>
  <c r="BV418" i="1" s="1"/>
  <c r="BL418" i="1"/>
  <c r="BT418" i="1" s="1"/>
  <c r="BK418" i="1"/>
  <c r="BJ418" i="1"/>
  <c r="BI418" i="1"/>
  <c r="CB418" i="1" s="1"/>
  <c r="BH418" i="1"/>
  <c r="BG418" i="1"/>
  <c r="BF418" i="1"/>
  <c r="BS418" i="1" s="1"/>
  <c r="BE418" i="1"/>
  <c r="BR418" i="1" s="1"/>
  <c r="BD418" i="1"/>
  <c r="BQ418" i="1" s="1"/>
  <c r="BC418" i="1"/>
  <c r="BP418" i="1" s="1"/>
  <c r="BB418" i="1"/>
  <c r="BO418" i="1" s="1"/>
  <c r="BA418" i="1"/>
  <c r="BN418" i="1" s="1"/>
  <c r="AZ418" i="1"/>
  <c r="BZ418" i="1" s="1"/>
  <c r="AY418" i="1"/>
  <c r="BY418" i="1" s="1"/>
  <c r="AX418" i="1"/>
  <c r="AW418" i="1"/>
  <c r="AV418" i="1"/>
  <c r="BW418" i="1" s="1"/>
  <c r="BM417" i="1"/>
  <c r="BV417" i="1" s="1"/>
  <c r="BL417" i="1"/>
  <c r="BT417" i="1" s="1"/>
  <c r="BK417" i="1"/>
  <c r="BJ417" i="1"/>
  <c r="BI417" i="1"/>
  <c r="CB417" i="1" s="1"/>
  <c r="BH417" i="1"/>
  <c r="BG417" i="1"/>
  <c r="BF417" i="1"/>
  <c r="BS417" i="1" s="1"/>
  <c r="BE417" i="1"/>
  <c r="BR417" i="1" s="1"/>
  <c r="BD417" i="1"/>
  <c r="BQ417" i="1" s="1"/>
  <c r="BC417" i="1"/>
  <c r="BP417" i="1" s="1"/>
  <c r="BB417" i="1"/>
  <c r="BO417" i="1" s="1"/>
  <c r="BA417" i="1"/>
  <c r="BN417" i="1" s="1"/>
  <c r="AZ417" i="1"/>
  <c r="BZ417" i="1" s="1"/>
  <c r="AY417" i="1"/>
  <c r="BY417" i="1" s="1"/>
  <c r="AX417" i="1"/>
  <c r="AW417" i="1"/>
  <c r="AV417" i="1"/>
  <c r="BW417" i="1" s="1"/>
  <c r="BM416" i="1"/>
  <c r="BV416" i="1" s="1"/>
  <c r="BL416" i="1"/>
  <c r="BT416" i="1" s="1"/>
  <c r="BK416" i="1"/>
  <c r="BJ416" i="1"/>
  <c r="BI416" i="1"/>
  <c r="CB416" i="1" s="1"/>
  <c r="BH416" i="1"/>
  <c r="BG416" i="1"/>
  <c r="BF416" i="1"/>
  <c r="BS416" i="1" s="1"/>
  <c r="BE416" i="1"/>
  <c r="BR416" i="1" s="1"/>
  <c r="BD416" i="1"/>
  <c r="BQ416" i="1" s="1"/>
  <c r="BC416" i="1"/>
  <c r="BP416" i="1" s="1"/>
  <c r="BB416" i="1"/>
  <c r="BO416" i="1" s="1"/>
  <c r="BA416" i="1"/>
  <c r="BN416" i="1" s="1"/>
  <c r="AZ416" i="1"/>
  <c r="BZ416" i="1" s="1"/>
  <c r="AY416" i="1"/>
  <c r="BY416" i="1" s="1"/>
  <c r="AX416" i="1"/>
  <c r="AW416" i="1"/>
  <c r="AV416" i="1"/>
  <c r="BM415" i="1"/>
  <c r="BV415" i="1" s="1"/>
  <c r="BL415" i="1"/>
  <c r="BT415" i="1" s="1"/>
  <c r="BK415" i="1"/>
  <c r="BJ415" i="1"/>
  <c r="BI415" i="1"/>
  <c r="CB415" i="1" s="1"/>
  <c r="BH415" i="1"/>
  <c r="BG415" i="1"/>
  <c r="BF415" i="1"/>
  <c r="BS415" i="1" s="1"/>
  <c r="BE415" i="1"/>
  <c r="BR415" i="1" s="1"/>
  <c r="BD415" i="1"/>
  <c r="BQ415" i="1" s="1"/>
  <c r="BC415" i="1"/>
  <c r="BP415" i="1" s="1"/>
  <c r="BB415" i="1"/>
  <c r="BO415" i="1" s="1"/>
  <c r="BA415" i="1"/>
  <c r="BN415" i="1" s="1"/>
  <c r="AZ415" i="1"/>
  <c r="BZ415" i="1" s="1"/>
  <c r="AY415" i="1"/>
  <c r="BY415" i="1" s="1"/>
  <c r="AX415" i="1"/>
  <c r="AW415" i="1"/>
  <c r="AV415" i="1"/>
  <c r="BW415" i="1" s="1"/>
  <c r="BM414" i="1"/>
  <c r="BV414" i="1" s="1"/>
  <c r="BL414" i="1"/>
  <c r="BT414" i="1" s="1"/>
  <c r="BK414" i="1"/>
  <c r="BJ414" i="1"/>
  <c r="BI414" i="1"/>
  <c r="CB414" i="1" s="1"/>
  <c r="BH414" i="1"/>
  <c r="BG414" i="1"/>
  <c r="BF414" i="1"/>
  <c r="BS414" i="1" s="1"/>
  <c r="BE414" i="1"/>
  <c r="BR414" i="1" s="1"/>
  <c r="BD414" i="1"/>
  <c r="BQ414" i="1" s="1"/>
  <c r="BC414" i="1"/>
  <c r="BP414" i="1" s="1"/>
  <c r="BB414" i="1"/>
  <c r="BO414" i="1" s="1"/>
  <c r="BA414" i="1"/>
  <c r="BN414" i="1" s="1"/>
  <c r="AZ414" i="1"/>
  <c r="BZ414" i="1" s="1"/>
  <c r="AY414" i="1"/>
  <c r="BY414" i="1" s="1"/>
  <c r="AX414" i="1"/>
  <c r="AW414" i="1"/>
  <c r="AV414" i="1"/>
  <c r="BW414" i="1" s="1"/>
  <c r="BM413" i="1"/>
  <c r="BV413" i="1" s="1"/>
  <c r="BL413" i="1"/>
  <c r="BT413" i="1" s="1"/>
  <c r="BK413" i="1"/>
  <c r="BJ413" i="1"/>
  <c r="BI413" i="1"/>
  <c r="CB413" i="1" s="1"/>
  <c r="BH413" i="1"/>
  <c r="BG413" i="1"/>
  <c r="BF413" i="1"/>
  <c r="BS413" i="1" s="1"/>
  <c r="BE413" i="1"/>
  <c r="BR413" i="1" s="1"/>
  <c r="BD413" i="1"/>
  <c r="BQ413" i="1" s="1"/>
  <c r="BC413" i="1"/>
  <c r="BP413" i="1" s="1"/>
  <c r="BB413" i="1"/>
  <c r="BO413" i="1" s="1"/>
  <c r="BA413" i="1"/>
  <c r="BN413" i="1" s="1"/>
  <c r="AZ413" i="1"/>
  <c r="BZ413" i="1" s="1"/>
  <c r="AY413" i="1"/>
  <c r="BY413" i="1" s="1"/>
  <c r="AX413" i="1"/>
  <c r="AW413" i="1"/>
  <c r="AV413" i="1"/>
  <c r="BW413" i="1" s="1"/>
  <c r="BM412" i="1"/>
  <c r="BV412" i="1" s="1"/>
  <c r="BL412" i="1"/>
  <c r="BT412" i="1" s="1"/>
  <c r="BK412" i="1"/>
  <c r="BJ412" i="1"/>
  <c r="BI412" i="1"/>
  <c r="CB412" i="1" s="1"/>
  <c r="BH412" i="1"/>
  <c r="BG412" i="1"/>
  <c r="BF412" i="1"/>
  <c r="BS412" i="1" s="1"/>
  <c r="BE412" i="1"/>
  <c r="BR412" i="1" s="1"/>
  <c r="BD412" i="1"/>
  <c r="BQ412" i="1" s="1"/>
  <c r="BC412" i="1"/>
  <c r="BP412" i="1" s="1"/>
  <c r="BB412" i="1"/>
  <c r="BO412" i="1" s="1"/>
  <c r="BA412" i="1"/>
  <c r="BN412" i="1" s="1"/>
  <c r="AZ412" i="1"/>
  <c r="BZ412" i="1" s="1"/>
  <c r="AY412" i="1"/>
  <c r="BY412" i="1" s="1"/>
  <c r="AX412" i="1"/>
  <c r="AW412" i="1"/>
  <c r="AV412" i="1"/>
  <c r="BM411" i="1"/>
  <c r="BV411" i="1" s="1"/>
  <c r="BL411" i="1"/>
  <c r="BT411" i="1" s="1"/>
  <c r="BK411" i="1"/>
  <c r="BJ411" i="1"/>
  <c r="BI411" i="1"/>
  <c r="CB411" i="1" s="1"/>
  <c r="BH411" i="1"/>
  <c r="BG411" i="1"/>
  <c r="BF411" i="1"/>
  <c r="BS411" i="1" s="1"/>
  <c r="BE411" i="1"/>
  <c r="BR411" i="1" s="1"/>
  <c r="BD411" i="1"/>
  <c r="BQ411" i="1" s="1"/>
  <c r="BC411" i="1"/>
  <c r="BP411" i="1" s="1"/>
  <c r="BB411" i="1"/>
  <c r="BO411" i="1" s="1"/>
  <c r="BA411" i="1"/>
  <c r="BN411" i="1" s="1"/>
  <c r="AZ411" i="1"/>
  <c r="BZ411" i="1" s="1"/>
  <c r="AY411" i="1"/>
  <c r="BY411" i="1" s="1"/>
  <c r="AX411" i="1"/>
  <c r="AW411" i="1"/>
  <c r="AV411" i="1"/>
  <c r="BW411" i="1" s="1"/>
  <c r="BM410" i="1"/>
  <c r="BV410" i="1" s="1"/>
  <c r="BL410" i="1"/>
  <c r="BT410" i="1" s="1"/>
  <c r="BK410" i="1"/>
  <c r="BJ410" i="1"/>
  <c r="BI410" i="1"/>
  <c r="CB410" i="1" s="1"/>
  <c r="BH410" i="1"/>
  <c r="BG410" i="1"/>
  <c r="BF410" i="1"/>
  <c r="BS410" i="1" s="1"/>
  <c r="BE410" i="1"/>
  <c r="BR410" i="1" s="1"/>
  <c r="BD410" i="1"/>
  <c r="BQ410" i="1" s="1"/>
  <c r="BC410" i="1"/>
  <c r="BP410" i="1" s="1"/>
  <c r="BB410" i="1"/>
  <c r="BO410" i="1" s="1"/>
  <c r="BA410" i="1"/>
  <c r="BN410" i="1" s="1"/>
  <c r="AZ410" i="1"/>
  <c r="BZ410" i="1" s="1"/>
  <c r="AY410" i="1"/>
  <c r="BY410" i="1" s="1"/>
  <c r="AX410" i="1"/>
  <c r="AW410" i="1"/>
  <c r="AV410" i="1"/>
  <c r="BW410" i="1" s="1"/>
  <c r="BM409" i="1"/>
  <c r="BV409" i="1" s="1"/>
  <c r="BL409" i="1"/>
  <c r="BT409" i="1" s="1"/>
  <c r="BK409" i="1"/>
  <c r="BJ409" i="1"/>
  <c r="BI409" i="1"/>
  <c r="CB409" i="1" s="1"/>
  <c r="BH409" i="1"/>
  <c r="BG409" i="1"/>
  <c r="BF409" i="1"/>
  <c r="BS409" i="1" s="1"/>
  <c r="BE409" i="1"/>
  <c r="BR409" i="1" s="1"/>
  <c r="BD409" i="1"/>
  <c r="BQ409" i="1" s="1"/>
  <c r="BC409" i="1"/>
  <c r="BP409" i="1" s="1"/>
  <c r="BB409" i="1"/>
  <c r="BO409" i="1" s="1"/>
  <c r="BA409" i="1"/>
  <c r="BN409" i="1" s="1"/>
  <c r="AZ409" i="1"/>
  <c r="BZ409" i="1" s="1"/>
  <c r="AY409" i="1"/>
  <c r="BY409" i="1" s="1"/>
  <c r="AX409" i="1"/>
  <c r="AW409" i="1"/>
  <c r="AV409" i="1"/>
  <c r="BW409" i="1" s="1"/>
  <c r="BM408" i="1"/>
  <c r="BV408" i="1" s="1"/>
  <c r="BL408" i="1"/>
  <c r="BT408" i="1" s="1"/>
  <c r="BK408" i="1"/>
  <c r="BJ408" i="1"/>
  <c r="BI408" i="1"/>
  <c r="CB408" i="1" s="1"/>
  <c r="BH408" i="1"/>
  <c r="BG408" i="1"/>
  <c r="BF408" i="1"/>
  <c r="BS408" i="1" s="1"/>
  <c r="BE408" i="1"/>
  <c r="BR408" i="1" s="1"/>
  <c r="BD408" i="1"/>
  <c r="BQ408" i="1" s="1"/>
  <c r="BC408" i="1"/>
  <c r="BP408" i="1" s="1"/>
  <c r="BB408" i="1"/>
  <c r="BO408" i="1" s="1"/>
  <c r="BA408" i="1"/>
  <c r="BN408" i="1" s="1"/>
  <c r="AZ408" i="1"/>
  <c r="BZ408" i="1" s="1"/>
  <c r="AY408" i="1"/>
  <c r="BY408" i="1" s="1"/>
  <c r="AX408" i="1"/>
  <c r="AW408" i="1"/>
  <c r="AV408" i="1"/>
  <c r="BW408" i="1" s="1"/>
  <c r="BM407" i="1"/>
  <c r="BV407" i="1" s="1"/>
  <c r="BL407" i="1"/>
  <c r="BT407" i="1" s="1"/>
  <c r="BK407" i="1"/>
  <c r="BJ407" i="1"/>
  <c r="BI407" i="1"/>
  <c r="CB407" i="1" s="1"/>
  <c r="BH407" i="1"/>
  <c r="BG407" i="1"/>
  <c r="BF407" i="1"/>
  <c r="BS407" i="1" s="1"/>
  <c r="BE407" i="1"/>
  <c r="BR407" i="1" s="1"/>
  <c r="BD407" i="1"/>
  <c r="BQ407" i="1" s="1"/>
  <c r="BC407" i="1"/>
  <c r="BP407" i="1" s="1"/>
  <c r="BB407" i="1"/>
  <c r="BO407" i="1" s="1"/>
  <c r="BA407" i="1"/>
  <c r="BN407" i="1" s="1"/>
  <c r="AZ407" i="1"/>
  <c r="BZ407" i="1" s="1"/>
  <c r="AY407" i="1"/>
  <c r="BY407" i="1" s="1"/>
  <c r="AX407" i="1"/>
  <c r="AW407" i="1"/>
  <c r="AV407" i="1"/>
  <c r="BW407" i="1" s="1"/>
  <c r="BM406" i="1"/>
  <c r="BV406" i="1" s="1"/>
  <c r="BL406" i="1"/>
  <c r="BT406" i="1" s="1"/>
  <c r="BK406" i="1"/>
  <c r="BJ406" i="1"/>
  <c r="BI406" i="1"/>
  <c r="CB406" i="1" s="1"/>
  <c r="BH406" i="1"/>
  <c r="BG406" i="1"/>
  <c r="BF406" i="1"/>
  <c r="BS406" i="1" s="1"/>
  <c r="BE406" i="1"/>
  <c r="BR406" i="1" s="1"/>
  <c r="BD406" i="1"/>
  <c r="BQ406" i="1" s="1"/>
  <c r="BC406" i="1"/>
  <c r="BP406" i="1" s="1"/>
  <c r="BB406" i="1"/>
  <c r="BO406" i="1" s="1"/>
  <c r="BA406" i="1"/>
  <c r="BN406" i="1" s="1"/>
  <c r="AZ406" i="1"/>
  <c r="BZ406" i="1" s="1"/>
  <c r="AY406" i="1"/>
  <c r="BY406" i="1" s="1"/>
  <c r="AX406" i="1"/>
  <c r="AW406" i="1"/>
  <c r="AV406" i="1"/>
  <c r="BW406" i="1" s="1"/>
  <c r="BM405" i="1"/>
  <c r="BV405" i="1" s="1"/>
  <c r="BL405" i="1"/>
  <c r="BT405" i="1" s="1"/>
  <c r="BK405" i="1"/>
  <c r="BJ405" i="1"/>
  <c r="BI405" i="1"/>
  <c r="CB405" i="1" s="1"/>
  <c r="BH405" i="1"/>
  <c r="BG405" i="1"/>
  <c r="BF405" i="1"/>
  <c r="BS405" i="1" s="1"/>
  <c r="BE405" i="1"/>
  <c r="BR405" i="1" s="1"/>
  <c r="BD405" i="1"/>
  <c r="BQ405" i="1" s="1"/>
  <c r="BC405" i="1"/>
  <c r="BP405" i="1" s="1"/>
  <c r="BB405" i="1"/>
  <c r="BO405" i="1" s="1"/>
  <c r="BA405" i="1"/>
  <c r="BN405" i="1" s="1"/>
  <c r="AZ405" i="1"/>
  <c r="BZ405" i="1" s="1"/>
  <c r="AY405" i="1"/>
  <c r="BY405" i="1" s="1"/>
  <c r="AX405" i="1"/>
  <c r="AW405" i="1"/>
  <c r="AV405" i="1"/>
  <c r="BM404" i="1"/>
  <c r="BV404" i="1" s="1"/>
  <c r="BL404" i="1"/>
  <c r="BT404" i="1" s="1"/>
  <c r="BK404" i="1"/>
  <c r="BJ404" i="1"/>
  <c r="BI404" i="1"/>
  <c r="CB404" i="1" s="1"/>
  <c r="BH404" i="1"/>
  <c r="BG404" i="1"/>
  <c r="BF404" i="1"/>
  <c r="BS404" i="1" s="1"/>
  <c r="BE404" i="1"/>
  <c r="BR404" i="1" s="1"/>
  <c r="BD404" i="1"/>
  <c r="BQ404" i="1" s="1"/>
  <c r="BC404" i="1"/>
  <c r="BP404" i="1" s="1"/>
  <c r="BB404" i="1"/>
  <c r="BO404" i="1" s="1"/>
  <c r="BA404" i="1"/>
  <c r="BN404" i="1" s="1"/>
  <c r="AZ404" i="1"/>
  <c r="BZ404" i="1" s="1"/>
  <c r="AY404" i="1"/>
  <c r="BY404" i="1" s="1"/>
  <c r="AX404" i="1"/>
  <c r="AW404" i="1"/>
  <c r="AV404" i="1"/>
  <c r="BW404" i="1" s="1"/>
  <c r="BM403" i="1"/>
  <c r="BV403" i="1" s="1"/>
  <c r="BL403" i="1"/>
  <c r="BT403" i="1" s="1"/>
  <c r="BK403" i="1"/>
  <c r="BJ403" i="1"/>
  <c r="BI403" i="1"/>
  <c r="CB403" i="1" s="1"/>
  <c r="BH403" i="1"/>
  <c r="BG403" i="1"/>
  <c r="BF403" i="1"/>
  <c r="BS403" i="1" s="1"/>
  <c r="BE403" i="1"/>
  <c r="BR403" i="1" s="1"/>
  <c r="BD403" i="1"/>
  <c r="BQ403" i="1" s="1"/>
  <c r="BC403" i="1"/>
  <c r="BP403" i="1" s="1"/>
  <c r="BB403" i="1"/>
  <c r="BO403" i="1" s="1"/>
  <c r="BA403" i="1"/>
  <c r="BN403" i="1" s="1"/>
  <c r="AZ403" i="1"/>
  <c r="BZ403" i="1" s="1"/>
  <c r="AY403" i="1"/>
  <c r="BY403" i="1" s="1"/>
  <c r="AX403" i="1"/>
  <c r="AW403" i="1"/>
  <c r="AV403" i="1"/>
  <c r="BW403" i="1" s="1"/>
  <c r="BM402" i="1"/>
  <c r="BV402" i="1" s="1"/>
  <c r="BL402" i="1"/>
  <c r="BT402" i="1" s="1"/>
  <c r="BK402" i="1"/>
  <c r="BJ402" i="1"/>
  <c r="BI402" i="1"/>
  <c r="CB402" i="1" s="1"/>
  <c r="BH402" i="1"/>
  <c r="BG402" i="1"/>
  <c r="BF402" i="1"/>
  <c r="BS402" i="1" s="1"/>
  <c r="BE402" i="1"/>
  <c r="BR402" i="1" s="1"/>
  <c r="BD402" i="1"/>
  <c r="BQ402" i="1" s="1"/>
  <c r="BC402" i="1"/>
  <c r="BP402" i="1" s="1"/>
  <c r="BB402" i="1"/>
  <c r="BO402" i="1" s="1"/>
  <c r="BA402" i="1"/>
  <c r="BN402" i="1" s="1"/>
  <c r="AZ402" i="1"/>
  <c r="BZ402" i="1" s="1"/>
  <c r="AY402" i="1"/>
  <c r="BY402" i="1" s="1"/>
  <c r="AX402" i="1"/>
  <c r="AW402" i="1"/>
  <c r="AV402" i="1"/>
  <c r="BM401" i="1"/>
  <c r="BV401" i="1" s="1"/>
  <c r="BL401" i="1"/>
  <c r="BT401" i="1" s="1"/>
  <c r="BK401" i="1"/>
  <c r="BJ401" i="1"/>
  <c r="BI401" i="1"/>
  <c r="CB401" i="1" s="1"/>
  <c r="BH401" i="1"/>
  <c r="BG401" i="1"/>
  <c r="BF401" i="1"/>
  <c r="BS401" i="1" s="1"/>
  <c r="BE401" i="1"/>
  <c r="BR401" i="1" s="1"/>
  <c r="BD401" i="1"/>
  <c r="BQ401" i="1" s="1"/>
  <c r="BC401" i="1"/>
  <c r="BP401" i="1" s="1"/>
  <c r="BB401" i="1"/>
  <c r="BO401" i="1" s="1"/>
  <c r="BA401" i="1"/>
  <c r="BN401" i="1" s="1"/>
  <c r="AZ401" i="1"/>
  <c r="BZ401" i="1" s="1"/>
  <c r="AY401" i="1"/>
  <c r="BY401" i="1" s="1"/>
  <c r="AX401" i="1"/>
  <c r="AW401" i="1"/>
  <c r="AV401" i="1"/>
  <c r="BM400" i="1"/>
  <c r="BV400" i="1" s="1"/>
  <c r="BL400" i="1"/>
  <c r="BT400" i="1" s="1"/>
  <c r="BK400" i="1"/>
  <c r="BJ400" i="1"/>
  <c r="BI400" i="1"/>
  <c r="CB400" i="1" s="1"/>
  <c r="BH400" i="1"/>
  <c r="BG400" i="1"/>
  <c r="BF400" i="1"/>
  <c r="BS400" i="1" s="1"/>
  <c r="BE400" i="1"/>
  <c r="BR400" i="1" s="1"/>
  <c r="BD400" i="1"/>
  <c r="BQ400" i="1" s="1"/>
  <c r="BC400" i="1"/>
  <c r="BP400" i="1" s="1"/>
  <c r="BB400" i="1"/>
  <c r="BO400" i="1" s="1"/>
  <c r="BA400" i="1"/>
  <c r="BN400" i="1" s="1"/>
  <c r="AZ400" i="1"/>
  <c r="BZ400" i="1" s="1"/>
  <c r="AY400" i="1"/>
  <c r="BY400" i="1" s="1"/>
  <c r="AX400" i="1"/>
  <c r="AW400" i="1"/>
  <c r="AV400" i="1"/>
  <c r="BW400" i="1" s="1"/>
  <c r="BM399" i="1"/>
  <c r="BV399" i="1" s="1"/>
  <c r="BL399" i="1"/>
  <c r="BT399" i="1" s="1"/>
  <c r="BK399" i="1"/>
  <c r="BJ399" i="1"/>
  <c r="BI399" i="1"/>
  <c r="CB399" i="1" s="1"/>
  <c r="BH399" i="1"/>
  <c r="BG399" i="1"/>
  <c r="BF399" i="1"/>
  <c r="BS399" i="1" s="1"/>
  <c r="BE399" i="1"/>
  <c r="BR399" i="1" s="1"/>
  <c r="BD399" i="1"/>
  <c r="BQ399" i="1" s="1"/>
  <c r="BC399" i="1"/>
  <c r="BP399" i="1" s="1"/>
  <c r="BB399" i="1"/>
  <c r="BO399" i="1" s="1"/>
  <c r="BA399" i="1"/>
  <c r="BN399" i="1" s="1"/>
  <c r="AZ399" i="1"/>
  <c r="BZ399" i="1" s="1"/>
  <c r="AY399" i="1"/>
  <c r="BY399" i="1" s="1"/>
  <c r="AX399" i="1"/>
  <c r="AW399" i="1"/>
  <c r="AV399" i="1"/>
  <c r="BW399" i="1" s="1"/>
  <c r="BM398" i="1"/>
  <c r="BV398" i="1" s="1"/>
  <c r="BL398" i="1"/>
  <c r="BT398" i="1" s="1"/>
  <c r="BK398" i="1"/>
  <c r="BJ398" i="1"/>
  <c r="BI398" i="1"/>
  <c r="CB398" i="1" s="1"/>
  <c r="BH398" i="1"/>
  <c r="BG398" i="1"/>
  <c r="BF398" i="1"/>
  <c r="BS398" i="1" s="1"/>
  <c r="BE398" i="1"/>
  <c r="BR398" i="1" s="1"/>
  <c r="BD398" i="1"/>
  <c r="BQ398" i="1" s="1"/>
  <c r="BC398" i="1"/>
  <c r="BP398" i="1" s="1"/>
  <c r="BB398" i="1"/>
  <c r="BO398" i="1" s="1"/>
  <c r="BA398" i="1"/>
  <c r="BN398" i="1" s="1"/>
  <c r="AZ398" i="1"/>
  <c r="BZ398" i="1" s="1"/>
  <c r="AY398" i="1"/>
  <c r="BY398" i="1" s="1"/>
  <c r="AX398" i="1"/>
  <c r="AW398" i="1"/>
  <c r="AV398" i="1"/>
  <c r="BM397" i="1"/>
  <c r="BV397" i="1" s="1"/>
  <c r="BL397" i="1"/>
  <c r="BT397" i="1" s="1"/>
  <c r="BK397" i="1"/>
  <c r="BJ397" i="1"/>
  <c r="BI397" i="1"/>
  <c r="CB397" i="1" s="1"/>
  <c r="BH397" i="1"/>
  <c r="BG397" i="1"/>
  <c r="BF397" i="1"/>
  <c r="BS397" i="1" s="1"/>
  <c r="BE397" i="1"/>
  <c r="BR397" i="1" s="1"/>
  <c r="BD397" i="1"/>
  <c r="BQ397" i="1" s="1"/>
  <c r="BC397" i="1"/>
  <c r="BP397" i="1" s="1"/>
  <c r="BB397" i="1"/>
  <c r="BO397" i="1" s="1"/>
  <c r="BA397" i="1"/>
  <c r="BN397" i="1" s="1"/>
  <c r="AZ397" i="1"/>
  <c r="BZ397" i="1" s="1"/>
  <c r="AY397" i="1"/>
  <c r="BY397" i="1" s="1"/>
  <c r="AX397" i="1"/>
  <c r="AW397" i="1"/>
  <c r="AV397" i="1"/>
  <c r="BW397" i="1" s="1"/>
  <c r="BM396" i="1"/>
  <c r="BV396" i="1" s="1"/>
  <c r="BL396" i="1"/>
  <c r="BT396" i="1" s="1"/>
  <c r="BK396" i="1"/>
  <c r="BJ396" i="1"/>
  <c r="BI396" i="1"/>
  <c r="CB396" i="1" s="1"/>
  <c r="BH396" i="1"/>
  <c r="BG396" i="1"/>
  <c r="BF396" i="1"/>
  <c r="BS396" i="1" s="1"/>
  <c r="BE396" i="1"/>
  <c r="BR396" i="1" s="1"/>
  <c r="BD396" i="1"/>
  <c r="BQ396" i="1" s="1"/>
  <c r="BC396" i="1"/>
  <c r="BP396" i="1" s="1"/>
  <c r="BB396" i="1"/>
  <c r="BO396" i="1" s="1"/>
  <c r="BA396" i="1"/>
  <c r="BN396" i="1" s="1"/>
  <c r="AZ396" i="1"/>
  <c r="BZ396" i="1" s="1"/>
  <c r="AY396" i="1"/>
  <c r="BY396" i="1" s="1"/>
  <c r="AX396" i="1"/>
  <c r="AW396" i="1"/>
  <c r="AV396" i="1"/>
  <c r="BW396" i="1" s="1"/>
  <c r="BM395" i="1"/>
  <c r="BV395" i="1" s="1"/>
  <c r="BL395" i="1"/>
  <c r="BT395" i="1" s="1"/>
  <c r="BK395" i="1"/>
  <c r="BJ395" i="1"/>
  <c r="BI395" i="1"/>
  <c r="CB395" i="1" s="1"/>
  <c r="BH395" i="1"/>
  <c r="BG395" i="1"/>
  <c r="BF395" i="1"/>
  <c r="BS395" i="1" s="1"/>
  <c r="BE395" i="1"/>
  <c r="BR395" i="1" s="1"/>
  <c r="BD395" i="1"/>
  <c r="BQ395" i="1" s="1"/>
  <c r="BC395" i="1"/>
  <c r="BP395" i="1" s="1"/>
  <c r="BB395" i="1"/>
  <c r="BO395" i="1" s="1"/>
  <c r="BA395" i="1"/>
  <c r="BN395" i="1" s="1"/>
  <c r="AZ395" i="1"/>
  <c r="BZ395" i="1" s="1"/>
  <c r="AY395" i="1"/>
  <c r="BY395" i="1" s="1"/>
  <c r="AX395" i="1"/>
  <c r="AW395" i="1"/>
  <c r="AV395" i="1"/>
  <c r="BW395" i="1" s="1"/>
  <c r="BM394" i="1"/>
  <c r="BV394" i="1" s="1"/>
  <c r="BL394" i="1"/>
  <c r="BT394" i="1" s="1"/>
  <c r="BK394" i="1"/>
  <c r="BJ394" i="1"/>
  <c r="BI394" i="1"/>
  <c r="CB394" i="1" s="1"/>
  <c r="BH394" i="1"/>
  <c r="BG394" i="1"/>
  <c r="BF394" i="1"/>
  <c r="BS394" i="1" s="1"/>
  <c r="BE394" i="1"/>
  <c r="BR394" i="1" s="1"/>
  <c r="BD394" i="1"/>
  <c r="BQ394" i="1" s="1"/>
  <c r="BC394" i="1"/>
  <c r="BP394" i="1" s="1"/>
  <c r="BB394" i="1"/>
  <c r="BO394" i="1" s="1"/>
  <c r="BA394" i="1"/>
  <c r="BN394" i="1" s="1"/>
  <c r="AZ394" i="1"/>
  <c r="BZ394" i="1" s="1"/>
  <c r="AY394" i="1"/>
  <c r="BY394" i="1" s="1"/>
  <c r="AX394" i="1"/>
  <c r="AW394" i="1"/>
  <c r="AV394" i="1"/>
  <c r="BW394" i="1" s="1"/>
  <c r="BM393" i="1"/>
  <c r="BV393" i="1" s="1"/>
  <c r="BL393" i="1"/>
  <c r="BT393" i="1" s="1"/>
  <c r="BK393" i="1"/>
  <c r="BJ393" i="1"/>
  <c r="BI393" i="1"/>
  <c r="CB393" i="1" s="1"/>
  <c r="BH393" i="1"/>
  <c r="BG393" i="1"/>
  <c r="BF393" i="1"/>
  <c r="BS393" i="1" s="1"/>
  <c r="BE393" i="1"/>
  <c r="BR393" i="1" s="1"/>
  <c r="BD393" i="1"/>
  <c r="BQ393" i="1" s="1"/>
  <c r="BC393" i="1"/>
  <c r="BP393" i="1" s="1"/>
  <c r="BB393" i="1"/>
  <c r="BO393" i="1" s="1"/>
  <c r="BA393" i="1"/>
  <c r="BN393" i="1" s="1"/>
  <c r="AZ393" i="1"/>
  <c r="BZ393" i="1" s="1"/>
  <c r="AY393" i="1"/>
  <c r="BY393" i="1" s="1"/>
  <c r="AX393" i="1"/>
  <c r="AW393" i="1"/>
  <c r="AV393" i="1"/>
  <c r="BM392" i="1"/>
  <c r="BV392" i="1" s="1"/>
  <c r="BL392" i="1"/>
  <c r="BT392" i="1" s="1"/>
  <c r="BK392" i="1"/>
  <c r="BJ392" i="1"/>
  <c r="BI392" i="1"/>
  <c r="CB392" i="1" s="1"/>
  <c r="BH392" i="1"/>
  <c r="BG392" i="1"/>
  <c r="BF392" i="1"/>
  <c r="BS392" i="1" s="1"/>
  <c r="BE392" i="1"/>
  <c r="BR392" i="1" s="1"/>
  <c r="BD392" i="1"/>
  <c r="BQ392" i="1" s="1"/>
  <c r="BC392" i="1"/>
  <c r="BP392" i="1" s="1"/>
  <c r="BB392" i="1"/>
  <c r="BO392" i="1" s="1"/>
  <c r="BA392" i="1"/>
  <c r="BN392" i="1" s="1"/>
  <c r="AZ392" i="1"/>
  <c r="BZ392" i="1" s="1"/>
  <c r="AY392" i="1"/>
  <c r="BY392" i="1" s="1"/>
  <c r="AX392" i="1"/>
  <c r="AW392" i="1"/>
  <c r="AV392" i="1"/>
  <c r="BW392" i="1" s="1"/>
  <c r="BM391" i="1"/>
  <c r="BV391" i="1" s="1"/>
  <c r="BL391" i="1"/>
  <c r="BT391" i="1" s="1"/>
  <c r="BK391" i="1"/>
  <c r="BJ391" i="1"/>
  <c r="BI391" i="1"/>
  <c r="CB391" i="1" s="1"/>
  <c r="BH391" i="1"/>
  <c r="BG391" i="1"/>
  <c r="BF391" i="1"/>
  <c r="BS391" i="1" s="1"/>
  <c r="BE391" i="1"/>
  <c r="BR391" i="1" s="1"/>
  <c r="BD391" i="1"/>
  <c r="BQ391" i="1" s="1"/>
  <c r="BC391" i="1"/>
  <c r="BP391" i="1" s="1"/>
  <c r="BB391" i="1"/>
  <c r="BO391" i="1" s="1"/>
  <c r="BA391" i="1"/>
  <c r="BN391" i="1" s="1"/>
  <c r="AZ391" i="1"/>
  <c r="BZ391" i="1" s="1"/>
  <c r="AY391" i="1"/>
  <c r="BY391" i="1" s="1"/>
  <c r="AX391" i="1"/>
  <c r="AW391" i="1"/>
  <c r="AV391" i="1"/>
  <c r="BW391" i="1" s="1"/>
  <c r="BM390" i="1"/>
  <c r="BV390" i="1" s="1"/>
  <c r="BL390" i="1"/>
  <c r="BT390" i="1" s="1"/>
  <c r="BK390" i="1"/>
  <c r="BJ390" i="1"/>
  <c r="BI390" i="1"/>
  <c r="CB390" i="1" s="1"/>
  <c r="BH390" i="1"/>
  <c r="BG390" i="1"/>
  <c r="BF390" i="1"/>
  <c r="BS390" i="1" s="1"/>
  <c r="BE390" i="1"/>
  <c r="BR390" i="1" s="1"/>
  <c r="BD390" i="1"/>
  <c r="BQ390" i="1" s="1"/>
  <c r="BC390" i="1"/>
  <c r="BP390" i="1" s="1"/>
  <c r="BB390" i="1"/>
  <c r="BO390" i="1" s="1"/>
  <c r="BA390" i="1"/>
  <c r="BN390" i="1" s="1"/>
  <c r="AZ390" i="1"/>
  <c r="BZ390" i="1" s="1"/>
  <c r="AY390" i="1"/>
  <c r="BY390" i="1" s="1"/>
  <c r="AX390" i="1"/>
  <c r="AW390" i="1"/>
  <c r="AV390" i="1"/>
  <c r="BW390" i="1" s="1"/>
  <c r="BM389" i="1"/>
  <c r="BV389" i="1" s="1"/>
  <c r="BL389" i="1"/>
  <c r="BT389" i="1" s="1"/>
  <c r="BK389" i="1"/>
  <c r="BJ389" i="1"/>
  <c r="BI389" i="1"/>
  <c r="CB389" i="1" s="1"/>
  <c r="BH389" i="1"/>
  <c r="BG389" i="1"/>
  <c r="BF389" i="1"/>
  <c r="BS389" i="1" s="1"/>
  <c r="BE389" i="1"/>
  <c r="BR389" i="1" s="1"/>
  <c r="BD389" i="1"/>
  <c r="BQ389" i="1" s="1"/>
  <c r="BC389" i="1"/>
  <c r="BP389" i="1" s="1"/>
  <c r="BB389" i="1"/>
  <c r="BO389" i="1" s="1"/>
  <c r="BA389" i="1"/>
  <c r="BN389" i="1" s="1"/>
  <c r="AZ389" i="1"/>
  <c r="BZ389" i="1" s="1"/>
  <c r="AY389" i="1"/>
  <c r="BY389" i="1" s="1"/>
  <c r="AX389" i="1"/>
  <c r="AW389" i="1"/>
  <c r="AV389" i="1"/>
  <c r="BW389" i="1" s="1"/>
  <c r="BM388" i="1"/>
  <c r="BV388" i="1" s="1"/>
  <c r="BL388" i="1"/>
  <c r="BT388" i="1" s="1"/>
  <c r="BK388" i="1"/>
  <c r="BJ388" i="1"/>
  <c r="BI388" i="1"/>
  <c r="CB388" i="1" s="1"/>
  <c r="BH388" i="1"/>
  <c r="BG388" i="1"/>
  <c r="BF388" i="1"/>
  <c r="BS388" i="1" s="1"/>
  <c r="BE388" i="1"/>
  <c r="BR388" i="1" s="1"/>
  <c r="BD388" i="1"/>
  <c r="BQ388" i="1" s="1"/>
  <c r="BC388" i="1"/>
  <c r="BP388" i="1" s="1"/>
  <c r="BB388" i="1"/>
  <c r="BO388" i="1" s="1"/>
  <c r="BA388" i="1"/>
  <c r="BN388" i="1" s="1"/>
  <c r="AZ388" i="1"/>
  <c r="BZ388" i="1" s="1"/>
  <c r="AY388" i="1"/>
  <c r="BY388" i="1" s="1"/>
  <c r="AX388" i="1"/>
  <c r="AW388" i="1"/>
  <c r="AV388" i="1"/>
  <c r="BW388" i="1" s="1"/>
  <c r="BM387" i="1"/>
  <c r="BV387" i="1" s="1"/>
  <c r="BL387" i="1"/>
  <c r="BT387" i="1" s="1"/>
  <c r="BK387" i="1"/>
  <c r="BJ387" i="1"/>
  <c r="BI387" i="1"/>
  <c r="CB387" i="1" s="1"/>
  <c r="BH387" i="1"/>
  <c r="BG387" i="1"/>
  <c r="BF387" i="1"/>
  <c r="BS387" i="1" s="1"/>
  <c r="BE387" i="1"/>
  <c r="BR387" i="1" s="1"/>
  <c r="BD387" i="1"/>
  <c r="BQ387" i="1" s="1"/>
  <c r="BC387" i="1"/>
  <c r="BP387" i="1" s="1"/>
  <c r="BB387" i="1"/>
  <c r="BO387" i="1" s="1"/>
  <c r="BA387" i="1"/>
  <c r="BN387" i="1" s="1"/>
  <c r="AZ387" i="1"/>
  <c r="BZ387" i="1" s="1"/>
  <c r="AY387" i="1"/>
  <c r="BY387" i="1" s="1"/>
  <c r="AX387" i="1"/>
  <c r="AW387" i="1"/>
  <c r="AV387" i="1"/>
  <c r="BM386" i="1"/>
  <c r="BV386" i="1" s="1"/>
  <c r="BL386" i="1"/>
  <c r="BT386" i="1" s="1"/>
  <c r="BK386" i="1"/>
  <c r="BJ386" i="1"/>
  <c r="BI386" i="1"/>
  <c r="CB386" i="1" s="1"/>
  <c r="BH386" i="1"/>
  <c r="BG386" i="1"/>
  <c r="BF386" i="1"/>
  <c r="BS386" i="1" s="1"/>
  <c r="BE386" i="1"/>
  <c r="BR386" i="1" s="1"/>
  <c r="BD386" i="1"/>
  <c r="BQ386" i="1" s="1"/>
  <c r="BC386" i="1"/>
  <c r="BP386" i="1" s="1"/>
  <c r="BB386" i="1"/>
  <c r="BO386" i="1" s="1"/>
  <c r="BA386" i="1"/>
  <c r="BN386" i="1" s="1"/>
  <c r="AZ386" i="1"/>
  <c r="BZ386" i="1" s="1"/>
  <c r="AY386" i="1"/>
  <c r="BY386" i="1" s="1"/>
  <c r="AX386" i="1"/>
  <c r="AW386" i="1"/>
  <c r="AV386" i="1"/>
  <c r="BW386" i="1" s="1"/>
  <c r="BM385" i="1"/>
  <c r="BV385" i="1" s="1"/>
  <c r="BL385" i="1"/>
  <c r="BT385" i="1" s="1"/>
  <c r="BK385" i="1"/>
  <c r="BJ385" i="1"/>
  <c r="BI385" i="1"/>
  <c r="CB385" i="1" s="1"/>
  <c r="BH385" i="1"/>
  <c r="BG385" i="1"/>
  <c r="BF385" i="1"/>
  <c r="BS385" i="1" s="1"/>
  <c r="BE385" i="1"/>
  <c r="BR385" i="1" s="1"/>
  <c r="BD385" i="1"/>
  <c r="BQ385" i="1" s="1"/>
  <c r="BC385" i="1"/>
  <c r="BP385" i="1" s="1"/>
  <c r="BB385" i="1"/>
  <c r="BO385" i="1" s="1"/>
  <c r="BA385" i="1"/>
  <c r="BN385" i="1" s="1"/>
  <c r="AZ385" i="1"/>
  <c r="BZ385" i="1" s="1"/>
  <c r="AY385" i="1"/>
  <c r="BY385" i="1" s="1"/>
  <c r="AX385" i="1"/>
  <c r="AW385" i="1"/>
  <c r="AV385" i="1"/>
  <c r="BW385" i="1" s="1"/>
  <c r="BM384" i="1"/>
  <c r="BV384" i="1" s="1"/>
  <c r="BL384" i="1"/>
  <c r="BT384" i="1" s="1"/>
  <c r="BK384" i="1"/>
  <c r="BJ384" i="1"/>
  <c r="BI384" i="1"/>
  <c r="CB384" i="1" s="1"/>
  <c r="BH384" i="1"/>
  <c r="BG384" i="1"/>
  <c r="BF384" i="1"/>
  <c r="BS384" i="1" s="1"/>
  <c r="BE384" i="1"/>
  <c r="BR384" i="1" s="1"/>
  <c r="BD384" i="1"/>
  <c r="BQ384" i="1" s="1"/>
  <c r="BC384" i="1"/>
  <c r="BP384" i="1" s="1"/>
  <c r="BB384" i="1"/>
  <c r="BO384" i="1" s="1"/>
  <c r="BA384" i="1"/>
  <c r="BN384" i="1" s="1"/>
  <c r="AZ384" i="1"/>
  <c r="BZ384" i="1" s="1"/>
  <c r="AY384" i="1"/>
  <c r="BY384" i="1" s="1"/>
  <c r="AX384" i="1"/>
  <c r="AW384" i="1"/>
  <c r="AV384" i="1"/>
  <c r="BW384" i="1" s="1"/>
  <c r="BM383" i="1"/>
  <c r="BV383" i="1" s="1"/>
  <c r="BL383" i="1"/>
  <c r="BT383" i="1" s="1"/>
  <c r="BK383" i="1"/>
  <c r="BJ383" i="1"/>
  <c r="BI383" i="1"/>
  <c r="CB383" i="1" s="1"/>
  <c r="BH383" i="1"/>
  <c r="BG383" i="1"/>
  <c r="BF383" i="1"/>
  <c r="BS383" i="1" s="1"/>
  <c r="BE383" i="1"/>
  <c r="BR383" i="1" s="1"/>
  <c r="BD383" i="1"/>
  <c r="BQ383" i="1" s="1"/>
  <c r="BC383" i="1"/>
  <c r="BP383" i="1" s="1"/>
  <c r="BB383" i="1"/>
  <c r="BO383" i="1" s="1"/>
  <c r="BA383" i="1"/>
  <c r="BN383" i="1" s="1"/>
  <c r="AZ383" i="1"/>
  <c r="BZ383" i="1" s="1"/>
  <c r="AY383" i="1"/>
  <c r="BY383" i="1" s="1"/>
  <c r="AX383" i="1"/>
  <c r="AW383" i="1"/>
  <c r="AV383" i="1"/>
  <c r="BW383" i="1" s="1"/>
  <c r="BM382" i="1"/>
  <c r="BV382" i="1" s="1"/>
  <c r="BL382" i="1"/>
  <c r="BT382" i="1" s="1"/>
  <c r="BK382" i="1"/>
  <c r="BJ382" i="1"/>
  <c r="BI382" i="1"/>
  <c r="CB382" i="1" s="1"/>
  <c r="BH382" i="1"/>
  <c r="BG382" i="1"/>
  <c r="BF382" i="1"/>
  <c r="BS382" i="1" s="1"/>
  <c r="BE382" i="1"/>
  <c r="BR382" i="1" s="1"/>
  <c r="BD382" i="1"/>
  <c r="BQ382" i="1" s="1"/>
  <c r="BC382" i="1"/>
  <c r="BP382" i="1" s="1"/>
  <c r="BB382" i="1"/>
  <c r="BO382" i="1" s="1"/>
  <c r="BA382" i="1"/>
  <c r="BN382" i="1" s="1"/>
  <c r="AZ382" i="1"/>
  <c r="BZ382" i="1" s="1"/>
  <c r="AY382" i="1"/>
  <c r="BY382" i="1" s="1"/>
  <c r="AX382" i="1"/>
  <c r="AW382" i="1"/>
  <c r="AV382" i="1"/>
  <c r="BW382" i="1" s="1"/>
  <c r="BM381" i="1"/>
  <c r="BV381" i="1" s="1"/>
  <c r="BL381" i="1"/>
  <c r="BT381" i="1" s="1"/>
  <c r="BK381" i="1"/>
  <c r="BJ381" i="1"/>
  <c r="BI381" i="1"/>
  <c r="CB381" i="1" s="1"/>
  <c r="BH381" i="1"/>
  <c r="BG381" i="1"/>
  <c r="BF381" i="1"/>
  <c r="BS381" i="1" s="1"/>
  <c r="BE381" i="1"/>
  <c r="BR381" i="1" s="1"/>
  <c r="BD381" i="1"/>
  <c r="BQ381" i="1" s="1"/>
  <c r="BC381" i="1"/>
  <c r="BP381" i="1" s="1"/>
  <c r="BB381" i="1"/>
  <c r="BO381" i="1" s="1"/>
  <c r="BA381" i="1"/>
  <c r="BN381" i="1" s="1"/>
  <c r="AZ381" i="1"/>
  <c r="BZ381" i="1" s="1"/>
  <c r="AY381" i="1"/>
  <c r="BY381" i="1" s="1"/>
  <c r="AX381" i="1"/>
  <c r="AW381" i="1"/>
  <c r="AV381" i="1"/>
  <c r="BW381" i="1" s="1"/>
  <c r="BM380" i="1"/>
  <c r="BV380" i="1" s="1"/>
  <c r="BL380" i="1"/>
  <c r="BT380" i="1" s="1"/>
  <c r="BK380" i="1"/>
  <c r="BJ380" i="1"/>
  <c r="BI380" i="1"/>
  <c r="CB380" i="1" s="1"/>
  <c r="BH380" i="1"/>
  <c r="BG380" i="1"/>
  <c r="BF380" i="1"/>
  <c r="BS380" i="1" s="1"/>
  <c r="BE380" i="1"/>
  <c r="BR380" i="1" s="1"/>
  <c r="BD380" i="1"/>
  <c r="BQ380" i="1" s="1"/>
  <c r="BC380" i="1"/>
  <c r="BP380" i="1" s="1"/>
  <c r="BB380" i="1"/>
  <c r="BO380" i="1" s="1"/>
  <c r="BA380" i="1"/>
  <c r="BN380" i="1" s="1"/>
  <c r="AZ380" i="1"/>
  <c r="BZ380" i="1" s="1"/>
  <c r="AY380" i="1"/>
  <c r="BY380" i="1" s="1"/>
  <c r="AX380" i="1"/>
  <c r="AW380" i="1"/>
  <c r="AV380" i="1"/>
  <c r="BW380" i="1" s="1"/>
  <c r="BM379" i="1"/>
  <c r="BV379" i="1" s="1"/>
  <c r="BL379" i="1"/>
  <c r="BT379" i="1" s="1"/>
  <c r="BK379" i="1"/>
  <c r="BJ379" i="1"/>
  <c r="BI379" i="1"/>
  <c r="CB379" i="1" s="1"/>
  <c r="BH379" i="1"/>
  <c r="BG379" i="1"/>
  <c r="BF379" i="1"/>
  <c r="BS379" i="1" s="1"/>
  <c r="BE379" i="1"/>
  <c r="BR379" i="1" s="1"/>
  <c r="BD379" i="1"/>
  <c r="BQ379" i="1" s="1"/>
  <c r="BC379" i="1"/>
  <c r="BP379" i="1" s="1"/>
  <c r="BB379" i="1"/>
  <c r="BO379" i="1" s="1"/>
  <c r="BA379" i="1"/>
  <c r="BN379" i="1" s="1"/>
  <c r="AZ379" i="1"/>
  <c r="BZ379" i="1" s="1"/>
  <c r="AY379" i="1"/>
  <c r="BY379" i="1" s="1"/>
  <c r="AX379" i="1"/>
  <c r="AW379" i="1"/>
  <c r="AV379" i="1"/>
  <c r="BM378" i="1"/>
  <c r="BV378" i="1" s="1"/>
  <c r="BL378" i="1"/>
  <c r="BT378" i="1" s="1"/>
  <c r="BK378" i="1"/>
  <c r="BJ378" i="1"/>
  <c r="BI378" i="1"/>
  <c r="CB378" i="1" s="1"/>
  <c r="BH378" i="1"/>
  <c r="BG378" i="1"/>
  <c r="BF378" i="1"/>
  <c r="BS378" i="1" s="1"/>
  <c r="BE378" i="1"/>
  <c r="BR378" i="1" s="1"/>
  <c r="BD378" i="1"/>
  <c r="BQ378" i="1" s="1"/>
  <c r="BC378" i="1"/>
  <c r="BP378" i="1" s="1"/>
  <c r="BB378" i="1"/>
  <c r="BO378" i="1" s="1"/>
  <c r="BA378" i="1"/>
  <c r="BN378" i="1" s="1"/>
  <c r="AZ378" i="1"/>
  <c r="BZ378" i="1" s="1"/>
  <c r="AY378" i="1"/>
  <c r="BY378" i="1" s="1"/>
  <c r="AX378" i="1"/>
  <c r="AW378" i="1"/>
  <c r="AV378" i="1"/>
  <c r="BW378" i="1" s="1"/>
  <c r="BM377" i="1"/>
  <c r="BV377" i="1" s="1"/>
  <c r="BL377" i="1"/>
  <c r="BT377" i="1" s="1"/>
  <c r="BK377" i="1"/>
  <c r="BJ377" i="1"/>
  <c r="BI377" i="1"/>
  <c r="CB377" i="1" s="1"/>
  <c r="BH377" i="1"/>
  <c r="BG377" i="1"/>
  <c r="BF377" i="1"/>
  <c r="BS377" i="1" s="1"/>
  <c r="BE377" i="1"/>
  <c r="BR377" i="1" s="1"/>
  <c r="BD377" i="1"/>
  <c r="BQ377" i="1" s="1"/>
  <c r="BC377" i="1"/>
  <c r="BP377" i="1" s="1"/>
  <c r="BB377" i="1"/>
  <c r="BO377" i="1" s="1"/>
  <c r="BA377" i="1"/>
  <c r="BN377" i="1" s="1"/>
  <c r="AZ377" i="1"/>
  <c r="BZ377" i="1" s="1"/>
  <c r="AY377" i="1"/>
  <c r="BY377" i="1" s="1"/>
  <c r="AX377" i="1"/>
  <c r="AW377" i="1"/>
  <c r="AV377" i="1"/>
  <c r="BM376" i="1"/>
  <c r="BV376" i="1" s="1"/>
  <c r="BL376" i="1"/>
  <c r="BT376" i="1" s="1"/>
  <c r="BK376" i="1"/>
  <c r="BJ376" i="1"/>
  <c r="BI376" i="1"/>
  <c r="CB376" i="1" s="1"/>
  <c r="BH376" i="1"/>
  <c r="BG376" i="1"/>
  <c r="BF376" i="1"/>
  <c r="BS376" i="1" s="1"/>
  <c r="BE376" i="1"/>
  <c r="BR376" i="1" s="1"/>
  <c r="BD376" i="1"/>
  <c r="BQ376" i="1" s="1"/>
  <c r="BC376" i="1"/>
  <c r="BP376" i="1" s="1"/>
  <c r="BB376" i="1"/>
  <c r="BO376" i="1" s="1"/>
  <c r="BA376" i="1"/>
  <c r="BN376" i="1" s="1"/>
  <c r="AZ376" i="1"/>
  <c r="BZ376" i="1" s="1"/>
  <c r="AY376" i="1"/>
  <c r="BY376" i="1" s="1"/>
  <c r="AX376" i="1"/>
  <c r="AW376" i="1"/>
  <c r="AV376" i="1"/>
  <c r="BW376" i="1" s="1"/>
  <c r="BM375" i="1"/>
  <c r="BV375" i="1" s="1"/>
  <c r="BL375" i="1"/>
  <c r="BT375" i="1" s="1"/>
  <c r="BK375" i="1"/>
  <c r="BJ375" i="1"/>
  <c r="BI375" i="1"/>
  <c r="CB375" i="1" s="1"/>
  <c r="BH375" i="1"/>
  <c r="BG375" i="1"/>
  <c r="BF375" i="1"/>
  <c r="BS375" i="1" s="1"/>
  <c r="BE375" i="1"/>
  <c r="BR375" i="1" s="1"/>
  <c r="BD375" i="1"/>
  <c r="BQ375" i="1" s="1"/>
  <c r="BC375" i="1"/>
  <c r="BP375" i="1" s="1"/>
  <c r="BB375" i="1"/>
  <c r="BO375" i="1" s="1"/>
  <c r="BA375" i="1"/>
  <c r="BN375" i="1" s="1"/>
  <c r="AZ375" i="1"/>
  <c r="BZ375" i="1" s="1"/>
  <c r="AY375" i="1"/>
  <c r="BY375" i="1" s="1"/>
  <c r="AX375" i="1"/>
  <c r="AW375" i="1"/>
  <c r="AV375" i="1"/>
  <c r="BW375" i="1" s="1"/>
  <c r="BM374" i="1"/>
  <c r="BV374" i="1" s="1"/>
  <c r="BL374" i="1"/>
  <c r="BT374" i="1" s="1"/>
  <c r="BK374" i="1"/>
  <c r="BJ374" i="1"/>
  <c r="BI374" i="1"/>
  <c r="CB374" i="1" s="1"/>
  <c r="BH374" i="1"/>
  <c r="BG374" i="1"/>
  <c r="BF374" i="1"/>
  <c r="BS374" i="1" s="1"/>
  <c r="BE374" i="1"/>
  <c r="BR374" i="1" s="1"/>
  <c r="BD374" i="1"/>
  <c r="BQ374" i="1" s="1"/>
  <c r="BC374" i="1"/>
  <c r="BP374" i="1" s="1"/>
  <c r="BB374" i="1"/>
  <c r="BO374" i="1" s="1"/>
  <c r="BA374" i="1"/>
  <c r="BN374" i="1" s="1"/>
  <c r="AZ374" i="1"/>
  <c r="BZ374" i="1" s="1"/>
  <c r="AY374" i="1"/>
  <c r="BY374" i="1" s="1"/>
  <c r="AX374" i="1"/>
  <c r="AW374" i="1"/>
  <c r="AV374" i="1"/>
  <c r="BW374" i="1" s="1"/>
  <c r="BM373" i="1"/>
  <c r="BV373" i="1" s="1"/>
  <c r="BL373" i="1"/>
  <c r="BT373" i="1" s="1"/>
  <c r="BK373" i="1"/>
  <c r="BJ373" i="1"/>
  <c r="BI373" i="1"/>
  <c r="CB373" i="1" s="1"/>
  <c r="BH373" i="1"/>
  <c r="BG373" i="1"/>
  <c r="BF373" i="1"/>
  <c r="BS373" i="1" s="1"/>
  <c r="BE373" i="1"/>
  <c r="BR373" i="1" s="1"/>
  <c r="BD373" i="1"/>
  <c r="BQ373" i="1" s="1"/>
  <c r="BC373" i="1"/>
  <c r="BP373" i="1" s="1"/>
  <c r="BB373" i="1"/>
  <c r="BO373" i="1" s="1"/>
  <c r="BA373" i="1"/>
  <c r="BN373" i="1" s="1"/>
  <c r="AZ373" i="1"/>
  <c r="BZ373" i="1" s="1"/>
  <c r="AY373" i="1"/>
  <c r="BY373" i="1" s="1"/>
  <c r="AX373" i="1"/>
  <c r="AW373" i="1"/>
  <c r="AV373" i="1"/>
  <c r="BW373" i="1" s="1"/>
  <c r="BM372" i="1"/>
  <c r="BV372" i="1" s="1"/>
  <c r="BL372" i="1"/>
  <c r="BT372" i="1" s="1"/>
  <c r="BK372" i="1"/>
  <c r="BJ372" i="1"/>
  <c r="BI372" i="1"/>
  <c r="CB372" i="1" s="1"/>
  <c r="BH372" i="1"/>
  <c r="BG372" i="1"/>
  <c r="BF372" i="1"/>
  <c r="BS372" i="1" s="1"/>
  <c r="BE372" i="1"/>
  <c r="BR372" i="1" s="1"/>
  <c r="BD372" i="1"/>
  <c r="BQ372" i="1" s="1"/>
  <c r="BC372" i="1"/>
  <c r="BP372" i="1" s="1"/>
  <c r="BB372" i="1"/>
  <c r="BO372" i="1" s="1"/>
  <c r="BA372" i="1"/>
  <c r="BN372" i="1" s="1"/>
  <c r="AZ372" i="1"/>
  <c r="BZ372" i="1" s="1"/>
  <c r="AY372" i="1"/>
  <c r="BY372" i="1" s="1"/>
  <c r="AX372" i="1"/>
  <c r="AW372" i="1"/>
  <c r="AV372" i="1"/>
  <c r="BW372" i="1" s="1"/>
  <c r="BM371" i="1"/>
  <c r="BV371" i="1" s="1"/>
  <c r="BL371" i="1"/>
  <c r="BT371" i="1" s="1"/>
  <c r="BK371" i="1"/>
  <c r="BJ371" i="1"/>
  <c r="BI371" i="1"/>
  <c r="CB371" i="1" s="1"/>
  <c r="BH371" i="1"/>
  <c r="BG371" i="1"/>
  <c r="BF371" i="1"/>
  <c r="BS371" i="1" s="1"/>
  <c r="BE371" i="1"/>
  <c r="BR371" i="1" s="1"/>
  <c r="BD371" i="1"/>
  <c r="BQ371" i="1" s="1"/>
  <c r="BC371" i="1"/>
  <c r="BP371" i="1" s="1"/>
  <c r="BB371" i="1"/>
  <c r="BO371" i="1" s="1"/>
  <c r="BA371" i="1"/>
  <c r="BN371" i="1" s="1"/>
  <c r="AZ371" i="1"/>
  <c r="BZ371" i="1" s="1"/>
  <c r="AY371" i="1"/>
  <c r="BY371" i="1" s="1"/>
  <c r="AX371" i="1"/>
  <c r="AW371" i="1"/>
  <c r="AV371" i="1"/>
  <c r="BW371" i="1" s="1"/>
  <c r="BM370" i="1"/>
  <c r="BV370" i="1" s="1"/>
  <c r="BL370" i="1"/>
  <c r="BT370" i="1" s="1"/>
  <c r="BK370" i="1"/>
  <c r="BJ370" i="1"/>
  <c r="BI370" i="1"/>
  <c r="CB370" i="1" s="1"/>
  <c r="BH370" i="1"/>
  <c r="BG370" i="1"/>
  <c r="BF370" i="1"/>
  <c r="BS370" i="1" s="1"/>
  <c r="BE370" i="1"/>
  <c r="BR370" i="1" s="1"/>
  <c r="BD370" i="1"/>
  <c r="BQ370" i="1" s="1"/>
  <c r="BC370" i="1"/>
  <c r="BP370" i="1" s="1"/>
  <c r="BB370" i="1"/>
  <c r="BO370" i="1" s="1"/>
  <c r="BA370" i="1"/>
  <c r="BN370" i="1" s="1"/>
  <c r="AZ370" i="1"/>
  <c r="BZ370" i="1" s="1"/>
  <c r="AY370" i="1"/>
  <c r="BY370" i="1" s="1"/>
  <c r="AX370" i="1"/>
  <c r="AW370" i="1"/>
  <c r="AV370" i="1"/>
  <c r="BM369" i="1"/>
  <c r="BV369" i="1" s="1"/>
  <c r="BL369" i="1"/>
  <c r="BT369" i="1" s="1"/>
  <c r="BK369" i="1"/>
  <c r="BJ369" i="1"/>
  <c r="BI369" i="1"/>
  <c r="CB369" i="1" s="1"/>
  <c r="BH369" i="1"/>
  <c r="BG369" i="1"/>
  <c r="BF369" i="1"/>
  <c r="BS369" i="1" s="1"/>
  <c r="BE369" i="1"/>
  <c r="BR369" i="1" s="1"/>
  <c r="BD369" i="1"/>
  <c r="BQ369" i="1" s="1"/>
  <c r="BC369" i="1"/>
  <c r="BP369" i="1" s="1"/>
  <c r="BB369" i="1"/>
  <c r="BO369" i="1" s="1"/>
  <c r="BA369" i="1"/>
  <c r="BN369" i="1" s="1"/>
  <c r="AZ369" i="1"/>
  <c r="BZ369" i="1" s="1"/>
  <c r="AY369" i="1"/>
  <c r="BY369" i="1" s="1"/>
  <c r="AX369" i="1"/>
  <c r="AW369" i="1"/>
  <c r="AV369" i="1"/>
  <c r="BW369" i="1" s="1"/>
  <c r="BM368" i="1"/>
  <c r="BV368" i="1" s="1"/>
  <c r="BL368" i="1"/>
  <c r="BT368" i="1" s="1"/>
  <c r="BK368" i="1"/>
  <c r="BJ368" i="1"/>
  <c r="BI368" i="1"/>
  <c r="CB368" i="1" s="1"/>
  <c r="BH368" i="1"/>
  <c r="BG368" i="1"/>
  <c r="BF368" i="1"/>
  <c r="BS368" i="1" s="1"/>
  <c r="BE368" i="1"/>
  <c r="BR368" i="1" s="1"/>
  <c r="BD368" i="1"/>
  <c r="BQ368" i="1" s="1"/>
  <c r="BC368" i="1"/>
  <c r="BP368" i="1" s="1"/>
  <c r="BB368" i="1"/>
  <c r="BO368" i="1" s="1"/>
  <c r="BA368" i="1"/>
  <c r="BN368" i="1" s="1"/>
  <c r="AZ368" i="1"/>
  <c r="BZ368" i="1" s="1"/>
  <c r="AY368" i="1"/>
  <c r="BY368" i="1" s="1"/>
  <c r="AX368" i="1"/>
  <c r="AW368" i="1"/>
  <c r="AV368" i="1"/>
  <c r="BM367" i="1"/>
  <c r="BV367" i="1" s="1"/>
  <c r="BL367" i="1"/>
  <c r="BT367" i="1" s="1"/>
  <c r="BK367" i="1"/>
  <c r="BJ367" i="1"/>
  <c r="BI367" i="1"/>
  <c r="CB367" i="1" s="1"/>
  <c r="BH367" i="1"/>
  <c r="BG367" i="1"/>
  <c r="BF367" i="1"/>
  <c r="BS367" i="1" s="1"/>
  <c r="BE367" i="1"/>
  <c r="BR367" i="1" s="1"/>
  <c r="BD367" i="1"/>
  <c r="BQ367" i="1" s="1"/>
  <c r="BC367" i="1"/>
  <c r="BP367" i="1" s="1"/>
  <c r="BB367" i="1"/>
  <c r="BO367" i="1" s="1"/>
  <c r="BA367" i="1"/>
  <c r="BN367" i="1" s="1"/>
  <c r="AZ367" i="1"/>
  <c r="BZ367" i="1" s="1"/>
  <c r="AY367" i="1"/>
  <c r="BY367" i="1" s="1"/>
  <c r="AX367" i="1"/>
  <c r="AW367" i="1"/>
  <c r="AV367" i="1"/>
  <c r="BW367" i="1" s="1"/>
  <c r="BM366" i="1"/>
  <c r="BV366" i="1" s="1"/>
  <c r="BL366" i="1"/>
  <c r="BT366" i="1" s="1"/>
  <c r="BK366" i="1"/>
  <c r="BJ366" i="1"/>
  <c r="BI366" i="1"/>
  <c r="CB366" i="1" s="1"/>
  <c r="BH366" i="1"/>
  <c r="BG366" i="1"/>
  <c r="BF366" i="1"/>
  <c r="BS366" i="1" s="1"/>
  <c r="BE366" i="1"/>
  <c r="BR366" i="1" s="1"/>
  <c r="BD366" i="1"/>
  <c r="BQ366" i="1" s="1"/>
  <c r="BC366" i="1"/>
  <c r="BP366" i="1" s="1"/>
  <c r="BB366" i="1"/>
  <c r="BO366" i="1" s="1"/>
  <c r="BA366" i="1"/>
  <c r="BN366" i="1" s="1"/>
  <c r="AZ366" i="1"/>
  <c r="BZ366" i="1" s="1"/>
  <c r="AY366" i="1"/>
  <c r="BY366" i="1" s="1"/>
  <c r="AX366" i="1"/>
  <c r="AW366" i="1"/>
  <c r="AV366" i="1"/>
  <c r="BW366" i="1" s="1"/>
  <c r="BM365" i="1"/>
  <c r="BV365" i="1" s="1"/>
  <c r="BL365" i="1"/>
  <c r="BT365" i="1" s="1"/>
  <c r="BK365" i="1"/>
  <c r="BJ365" i="1"/>
  <c r="BI365" i="1"/>
  <c r="CB365" i="1" s="1"/>
  <c r="BH365" i="1"/>
  <c r="BG365" i="1"/>
  <c r="BF365" i="1"/>
  <c r="BS365" i="1" s="1"/>
  <c r="BE365" i="1"/>
  <c r="BR365" i="1" s="1"/>
  <c r="BD365" i="1"/>
  <c r="BQ365" i="1" s="1"/>
  <c r="BC365" i="1"/>
  <c r="BP365" i="1" s="1"/>
  <c r="BB365" i="1"/>
  <c r="BO365" i="1" s="1"/>
  <c r="BA365" i="1"/>
  <c r="BN365" i="1" s="1"/>
  <c r="AZ365" i="1"/>
  <c r="BZ365" i="1" s="1"/>
  <c r="AY365" i="1"/>
  <c r="BY365" i="1" s="1"/>
  <c r="AX365" i="1"/>
  <c r="AW365" i="1"/>
  <c r="AV365" i="1"/>
  <c r="BW365" i="1" s="1"/>
  <c r="BM364" i="1"/>
  <c r="BV364" i="1" s="1"/>
  <c r="BL364" i="1"/>
  <c r="BT364" i="1" s="1"/>
  <c r="BK364" i="1"/>
  <c r="BJ364" i="1"/>
  <c r="BI364" i="1"/>
  <c r="CB364" i="1" s="1"/>
  <c r="BH364" i="1"/>
  <c r="BG364" i="1"/>
  <c r="BF364" i="1"/>
  <c r="BS364" i="1" s="1"/>
  <c r="BE364" i="1"/>
  <c r="BR364" i="1" s="1"/>
  <c r="BD364" i="1"/>
  <c r="BQ364" i="1" s="1"/>
  <c r="BC364" i="1"/>
  <c r="BP364" i="1" s="1"/>
  <c r="BB364" i="1"/>
  <c r="BO364" i="1" s="1"/>
  <c r="BA364" i="1"/>
  <c r="BN364" i="1" s="1"/>
  <c r="AZ364" i="1"/>
  <c r="BZ364" i="1" s="1"/>
  <c r="AY364" i="1"/>
  <c r="BY364" i="1" s="1"/>
  <c r="AX364" i="1"/>
  <c r="AW364" i="1"/>
  <c r="AV364" i="1"/>
  <c r="BW364" i="1" s="1"/>
  <c r="BM363" i="1"/>
  <c r="BV363" i="1" s="1"/>
  <c r="BL363" i="1"/>
  <c r="BT363" i="1" s="1"/>
  <c r="BK363" i="1"/>
  <c r="BJ363" i="1"/>
  <c r="BI363" i="1"/>
  <c r="CB363" i="1" s="1"/>
  <c r="BH363" i="1"/>
  <c r="BG363" i="1"/>
  <c r="BF363" i="1"/>
  <c r="BS363" i="1" s="1"/>
  <c r="BE363" i="1"/>
  <c r="BR363" i="1" s="1"/>
  <c r="BD363" i="1"/>
  <c r="BQ363" i="1" s="1"/>
  <c r="BC363" i="1"/>
  <c r="BP363" i="1" s="1"/>
  <c r="BB363" i="1"/>
  <c r="BO363" i="1" s="1"/>
  <c r="BA363" i="1"/>
  <c r="BN363" i="1" s="1"/>
  <c r="AZ363" i="1"/>
  <c r="BZ363" i="1" s="1"/>
  <c r="AY363" i="1"/>
  <c r="BY363" i="1" s="1"/>
  <c r="AX363" i="1"/>
  <c r="AW363" i="1"/>
  <c r="AV363" i="1"/>
  <c r="BM362" i="1"/>
  <c r="BV362" i="1" s="1"/>
  <c r="BL362" i="1"/>
  <c r="BT362" i="1" s="1"/>
  <c r="BK362" i="1"/>
  <c r="BJ362" i="1"/>
  <c r="BI362" i="1"/>
  <c r="CB362" i="1" s="1"/>
  <c r="BH362" i="1"/>
  <c r="BG362" i="1"/>
  <c r="BF362" i="1"/>
  <c r="BS362" i="1" s="1"/>
  <c r="BE362" i="1"/>
  <c r="BR362" i="1" s="1"/>
  <c r="BD362" i="1"/>
  <c r="BQ362" i="1" s="1"/>
  <c r="BC362" i="1"/>
  <c r="BP362" i="1" s="1"/>
  <c r="BB362" i="1"/>
  <c r="BO362" i="1" s="1"/>
  <c r="BA362" i="1"/>
  <c r="BN362" i="1" s="1"/>
  <c r="AZ362" i="1"/>
  <c r="BZ362" i="1" s="1"/>
  <c r="AY362" i="1"/>
  <c r="BY362" i="1" s="1"/>
  <c r="AX362" i="1"/>
  <c r="AW362" i="1"/>
  <c r="AV362" i="1"/>
  <c r="BW362" i="1" s="1"/>
  <c r="BM361" i="1"/>
  <c r="BV361" i="1" s="1"/>
  <c r="BL361" i="1"/>
  <c r="BT361" i="1" s="1"/>
  <c r="BK361" i="1"/>
  <c r="BJ361" i="1"/>
  <c r="BI361" i="1"/>
  <c r="CB361" i="1" s="1"/>
  <c r="BH361" i="1"/>
  <c r="BG361" i="1"/>
  <c r="BF361" i="1"/>
  <c r="BS361" i="1" s="1"/>
  <c r="BE361" i="1"/>
  <c r="BR361" i="1" s="1"/>
  <c r="BD361" i="1"/>
  <c r="BQ361" i="1" s="1"/>
  <c r="BC361" i="1"/>
  <c r="BP361" i="1" s="1"/>
  <c r="BB361" i="1"/>
  <c r="BO361" i="1" s="1"/>
  <c r="BA361" i="1"/>
  <c r="BN361" i="1" s="1"/>
  <c r="AZ361" i="1"/>
  <c r="BZ361" i="1" s="1"/>
  <c r="AY361" i="1"/>
  <c r="BY361" i="1" s="1"/>
  <c r="AX361" i="1"/>
  <c r="AW361" i="1"/>
  <c r="AV361" i="1"/>
  <c r="BW361" i="1" s="1"/>
  <c r="BM360" i="1"/>
  <c r="BV360" i="1" s="1"/>
  <c r="BL360" i="1"/>
  <c r="BT360" i="1" s="1"/>
  <c r="BK360" i="1"/>
  <c r="BJ360" i="1"/>
  <c r="BI360" i="1"/>
  <c r="CB360" i="1" s="1"/>
  <c r="BH360" i="1"/>
  <c r="BG360" i="1"/>
  <c r="BF360" i="1"/>
  <c r="BS360" i="1" s="1"/>
  <c r="BE360" i="1"/>
  <c r="BR360" i="1" s="1"/>
  <c r="BD360" i="1"/>
  <c r="BQ360" i="1" s="1"/>
  <c r="BC360" i="1"/>
  <c r="BP360" i="1" s="1"/>
  <c r="BB360" i="1"/>
  <c r="BO360" i="1" s="1"/>
  <c r="BA360" i="1"/>
  <c r="BN360" i="1" s="1"/>
  <c r="AZ360" i="1"/>
  <c r="BZ360" i="1" s="1"/>
  <c r="AY360" i="1"/>
  <c r="BY360" i="1" s="1"/>
  <c r="AX360" i="1"/>
  <c r="AW360" i="1"/>
  <c r="AV360" i="1"/>
  <c r="BW360" i="1" s="1"/>
  <c r="BM359" i="1"/>
  <c r="BV359" i="1" s="1"/>
  <c r="BL359" i="1"/>
  <c r="BT359" i="1" s="1"/>
  <c r="BK359" i="1"/>
  <c r="BJ359" i="1"/>
  <c r="BI359" i="1"/>
  <c r="CB359" i="1" s="1"/>
  <c r="BH359" i="1"/>
  <c r="BG359" i="1"/>
  <c r="BF359" i="1"/>
  <c r="BS359" i="1" s="1"/>
  <c r="BE359" i="1"/>
  <c r="BR359" i="1" s="1"/>
  <c r="BD359" i="1"/>
  <c r="BQ359" i="1" s="1"/>
  <c r="BC359" i="1"/>
  <c r="BP359" i="1" s="1"/>
  <c r="BB359" i="1"/>
  <c r="BO359" i="1" s="1"/>
  <c r="BA359" i="1"/>
  <c r="BN359" i="1" s="1"/>
  <c r="AZ359" i="1"/>
  <c r="BZ359" i="1" s="1"/>
  <c r="AY359" i="1"/>
  <c r="BY359" i="1" s="1"/>
  <c r="AX359" i="1"/>
  <c r="AW359" i="1"/>
  <c r="AV359" i="1"/>
  <c r="BW359" i="1" s="1"/>
  <c r="BM358" i="1"/>
  <c r="BV358" i="1" s="1"/>
  <c r="BL358" i="1"/>
  <c r="BT358" i="1" s="1"/>
  <c r="BK358" i="1"/>
  <c r="BJ358" i="1"/>
  <c r="BI358" i="1"/>
  <c r="CB358" i="1" s="1"/>
  <c r="BH358" i="1"/>
  <c r="BG358" i="1"/>
  <c r="BF358" i="1"/>
  <c r="BS358" i="1" s="1"/>
  <c r="BE358" i="1"/>
  <c r="BR358" i="1" s="1"/>
  <c r="BD358" i="1"/>
  <c r="BQ358" i="1" s="1"/>
  <c r="BC358" i="1"/>
  <c r="BP358" i="1" s="1"/>
  <c r="BB358" i="1"/>
  <c r="BO358" i="1" s="1"/>
  <c r="BA358" i="1"/>
  <c r="BN358" i="1" s="1"/>
  <c r="AZ358" i="1"/>
  <c r="BZ358" i="1" s="1"/>
  <c r="AY358" i="1"/>
  <c r="BY358" i="1" s="1"/>
  <c r="AX358" i="1"/>
  <c r="AW358" i="1"/>
  <c r="AV358" i="1"/>
  <c r="BW358" i="1" s="1"/>
  <c r="BM357" i="1"/>
  <c r="BV357" i="1" s="1"/>
  <c r="BL357" i="1"/>
  <c r="BT357" i="1" s="1"/>
  <c r="BK357" i="1"/>
  <c r="BJ357" i="1"/>
  <c r="BI357" i="1"/>
  <c r="CB357" i="1" s="1"/>
  <c r="BH357" i="1"/>
  <c r="BG357" i="1"/>
  <c r="BF357" i="1"/>
  <c r="BS357" i="1" s="1"/>
  <c r="BE357" i="1"/>
  <c r="BR357" i="1" s="1"/>
  <c r="BD357" i="1"/>
  <c r="BQ357" i="1" s="1"/>
  <c r="BC357" i="1"/>
  <c r="BP357" i="1" s="1"/>
  <c r="BB357" i="1"/>
  <c r="BO357" i="1" s="1"/>
  <c r="BA357" i="1"/>
  <c r="BN357" i="1" s="1"/>
  <c r="AZ357" i="1"/>
  <c r="BZ357" i="1" s="1"/>
  <c r="AY357" i="1"/>
  <c r="BY357" i="1" s="1"/>
  <c r="AX357" i="1"/>
  <c r="AW357" i="1"/>
  <c r="AV357" i="1"/>
  <c r="BM356" i="1"/>
  <c r="BV356" i="1" s="1"/>
  <c r="BL356" i="1"/>
  <c r="BT356" i="1" s="1"/>
  <c r="BK356" i="1"/>
  <c r="BJ356" i="1"/>
  <c r="BI356" i="1"/>
  <c r="CB356" i="1" s="1"/>
  <c r="BH356" i="1"/>
  <c r="BG356" i="1"/>
  <c r="BF356" i="1"/>
  <c r="BS356" i="1" s="1"/>
  <c r="BE356" i="1"/>
  <c r="BR356" i="1" s="1"/>
  <c r="BD356" i="1"/>
  <c r="BQ356" i="1" s="1"/>
  <c r="BC356" i="1"/>
  <c r="BP356" i="1" s="1"/>
  <c r="BB356" i="1"/>
  <c r="BO356" i="1" s="1"/>
  <c r="BA356" i="1"/>
  <c r="BN356" i="1" s="1"/>
  <c r="AZ356" i="1"/>
  <c r="BZ356" i="1" s="1"/>
  <c r="AY356" i="1"/>
  <c r="BY356" i="1" s="1"/>
  <c r="AX356" i="1"/>
  <c r="AW356" i="1"/>
  <c r="AV356" i="1"/>
  <c r="BM355" i="1"/>
  <c r="BV355" i="1" s="1"/>
  <c r="BL355" i="1"/>
  <c r="BT355" i="1" s="1"/>
  <c r="BK355" i="1"/>
  <c r="BJ355" i="1"/>
  <c r="BI355" i="1"/>
  <c r="CB355" i="1" s="1"/>
  <c r="BH355" i="1"/>
  <c r="BG355" i="1"/>
  <c r="BF355" i="1"/>
  <c r="BS355" i="1" s="1"/>
  <c r="BE355" i="1"/>
  <c r="BR355" i="1" s="1"/>
  <c r="BD355" i="1"/>
  <c r="BQ355" i="1" s="1"/>
  <c r="BC355" i="1"/>
  <c r="BP355" i="1" s="1"/>
  <c r="BB355" i="1"/>
  <c r="BO355" i="1" s="1"/>
  <c r="BA355" i="1"/>
  <c r="BN355" i="1" s="1"/>
  <c r="AZ355" i="1"/>
  <c r="BZ355" i="1" s="1"/>
  <c r="AY355" i="1"/>
  <c r="BY355" i="1" s="1"/>
  <c r="AX355" i="1"/>
  <c r="AW355" i="1"/>
  <c r="AV355" i="1"/>
  <c r="BW355" i="1" s="1"/>
  <c r="BM354" i="1"/>
  <c r="BV354" i="1" s="1"/>
  <c r="BL354" i="1"/>
  <c r="BT354" i="1" s="1"/>
  <c r="BK354" i="1"/>
  <c r="BJ354" i="1"/>
  <c r="BI354" i="1"/>
  <c r="CB354" i="1" s="1"/>
  <c r="BH354" i="1"/>
  <c r="BG354" i="1"/>
  <c r="BF354" i="1"/>
  <c r="BS354" i="1" s="1"/>
  <c r="BE354" i="1"/>
  <c r="BR354" i="1" s="1"/>
  <c r="BD354" i="1"/>
  <c r="BQ354" i="1" s="1"/>
  <c r="BC354" i="1"/>
  <c r="BP354" i="1" s="1"/>
  <c r="BB354" i="1"/>
  <c r="BO354" i="1" s="1"/>
  <c r="BA354" i="1"/>
  <c r="BN354" i="1" s="1"/>
  <c r="AZ354" i="1"/>
  <c r="BZ354" i="1" s="1"/>
  <c r="AY354" i="1"/>
  <c r="BY354" i="1" s="1"/>
  <c r="AX354" i="1"/>
  <c r="AW354" i="1"/>
  <c r="AV354" i="1"/>
  <c r="BW354" i="1" s="1"/>
  <c r="BM353" i="1"/>
  <c r="BV353" i="1" s="1"/>
  <c r="BL353" i="1"/>
  <c r="BT353" i="1" s="1"/>
  <c r="BK353" i="1"/>
  <c r="BJ353" i="1"/>
  <c r="BI353" i="1"/>
  <c r="CB353" i="1" s="1"/>
  <c r="BH353" i="1"/>
  <c r="BG353" i="1"/>
  <c r="BF353" i="1"/>
  <c r="BS353" i="1" s="1"/>
  <c r="BE353" i="1"/>
  <c r="BR353" i="1" s="1"/>
  <c r="BD353" i="1"/>
  <c r="BQ353" i="1" s="1"/>
  <c r="BC353" i="1"/>
  <c r="BP353" i="1" s="1"/>
  <c r="BB353" i="1"/>
  <c r="BO353" i="1" s="1"/>
  <c r="BA353" i="1"/>
  <c r="BN353" i="1" s="1"/>
  <c r="AZ353" i="1"/>
  <c r="BZ353" i="1" s="1"/>
  <c r="AY353" i="1"/>
  <c r="BY353" i="1" s="1"/>
  <c r="AX353" i="1"/>
  <c r="AW353" i="1"/>
  <c r="AV353" i="1"/>
  <c r="BM352" i="1"/>
  <c r="BV352" i="1" s="1"/>
  <c r="BL352" i="1"/>
  <c r="BT352" i="1" s="1"/>
  <c r="BK352" i="1"/>
  <c r="BJ352" i="1"/>
  <c r="BI352" i="1"/>
  <c r="CB352" i="1" s="1"/>
  <c r="BH352" i="1"/>
  <c r="BG352" i="1"/>
  <c r="BF352" i="1"/>
  <c r="BS352" i="1" s="1"/>
  <c r="BE352" i="1"/>
  <c r="BR352" i="1" s="1"/>
  <c r="BD352" i="1"/>
  <c r="BQ352" i="1" s="1"/>
  <c r="BC352" i="1"/>
  <c r="BP352" i="1" s="1"/>
  <c r="BB352" i="1"/>
  <c r="BO352" i="1" s="1"/>
  <c r="BA352" i="1"/>
  <c r="BN352" i="1" s="1"/>
  <c r="AZ352" i="1"/>
  <c r="BZ352" i="1" s="1"/>
  <c r="AY352" i="1"/>
  <c r="BY352" i="1" s="1"/>
  <c r="AX352" i="1"/>
  <c r="AW352" i="1"/>
  <c r="AV352" i="1"/>
  <c r="BW352" i="1" s="1"/>
  <c r="BM351" i="1"/>
  <c r="BV351" i="1" s="1"/>
  <c r="BL351" i="1"/>
  <c r="BT351" i="1" s="1"/>
  <c r="BK351" i="1"/>
  <c r="BJ351" i="1"/>
  <c r="BI351" i="1"/>
  <c r="CB351" i="1" s="1"/>
  <c r="BH351" i="1"/>
  <c r="BG351" i="1"/>
  <c r="BF351" i="1"/>
  <c r="BS351" i="1" s="1"/>
  <c r="BE351" i="1"/>
  <c r="BR351" i="1" s="1"/>
  <c r="BD351" i="1"/>
  <c r="BQ351" i="1" s="1"/>
  <c r="BC351" i="1"/>
  <c r="BP351" i="1" s="1"/>
  <c r="BB351" i="1"/>
  <c r="BO351" i="1" s="1"/>
  <c r="BA351" i="1"/>
  <c r="BN351" i="1" s="1"/>
  <c r="AZ351" i="1"/>
  <c r="BZ351" i="1" s="1"/>
  <c r="AY351" i="1"/>
  <c r="BY351" i="1" s="1"/>
  <c r="AX351" i="1"/>
  <c r="AW351" i="1"/>
  <c r="AV351" i="1"/>
  <c r="BM350" i="1"/>
  <c r="BV350" i="1" s="1"/>
  <c r="BL350" i="1"/>
  <c r="BT350" i="1" s="1"/>
  <c r="BK350" i="1"/>
  <c r="BJ350" i="1"/>
  <c r="BI350" i="1"/>
  <c r="CB350" i="1" s="1"/>
  <c r="BH350" i="1"/>
  <c r="BG350" i="1"/>
  <c r="BF350" i="1"/>
  <c r="BS350" i="1" s="1"/>
  <c r="BE350" i="1"/>
  <c r="BR350" i="1" s="1"/>
  <c r="BD350" i="1"/>
  <c r="BQ350" i="1" s="1"/>
  <c r="BC350" i="1"/>
  <c r="BP350" i="1" s="1"/>
  <c r="BB350" i="1"/>
  <c r="BO350" i="1" s="1"/>
  <c r="BA350" i="1"/>
  <c r="BN350" i="1" s="1"/>
  <c r="AZ350" i="1"/>
  <c r="BZ350" i="1" s="1"/>
  <c r="AY350" i="1"/>
  <c r="BY350" i="1" s="1"/>
  <c r="AX350" i="1"/>
  <c r="AW350" i="1"/>
  <c r="AV350" i="1"/>
  <c r="BW350" i="1" s="1"/>
  <c r="BM349" i="1"/>
  <c r="BV349" i="1" s="1"/>
  <c r="BL349" i="1"/>
  <c r="BT349" i="1" s="1"/>
  <c r="BK349" i="1"/>
  <c r="BJ349" i="1"/>
  <c r="BI349" i="1"/>
  <c r="CB349" i="1" s="1"/>
  <c r="BH349" i="1"/>
  <c r="BG349" i="1"/>
  <c r="BF349" i="1"/>
  <c r="BS349" i="1" s="1"/>
  <c r="BE349" i="1"/>
  <c r="BR349" i="1" s="1"/>
  <c r="BD349" i="1"/>
  <c r="BQ349" i="1" s="1"/>
  <c r="BC349" i="1"/>
  <c r="BP349" i="1" s="1"/>
  <c r="BB349" i="1"/>
  <c r="BO349" i="1" s="1"/>
  <c r="BA349" i="1"/>
  <c r="BN349" i="1" s="1"/>
  <c r="AZ349" i="1"/>
  <c r="BZ349" i="1" s="1"/>
  <c r="AY349" i="1"/>
  <c r="BY349" i="1" s="1"/>
  <c r="AX349" i="1"/>
  <c r="AW349" i="1"/>
  <c r="AV349" i="1"/>
  <c r="BW349" i="1" s="1"/>
  <c r="BM348" i="1"/>
  <c r="BV348" i="1" s="1"/>
  <c r="BL348" i="1"/>
  <c r="BT348" i="1" s="1"/>
  <c r="BK348" i="1"/>
  <c r="BJ348" i="1"/>
  <c r="BI348" i="1"/>
  <c r="CB348" i="1" s="1"/>
  <c r="BH348" i="1"/>
  <c r="BG348" i="1"/>
  <c r="BF348" i="1"/>
  <c r="BS348" i="1" s="1"/>
  <c r="BE348" i="1"/>
  <c r="BR348" i="1" s="1"/>
  <c r="BD348" i="1"/>
  <c r="BQ348" i="1" s="1"/>
  <c r="BC348" i="1"/>
  <c r="BP348" i="1" s="1"/>
  <c r="BB348" i="1"/>
  <c r="BO348" i="1" s="1"/>
  <c r="BA348" i="1"/>
  <c r="BN348" i="1" s="1"/>
  <c r="AZ348" i="1"/>
  <c r="BZ348" i="1" s="1"/>
  <c r="AY348" i="1"/>
  <c r="BY348" i="1" s="1"/>
  <c r="AX348" i="1"/>
  <c r="AW348" i="1"/>
  <c r="AV348" i="1"/>
  <c r="BM347" i="1"/>
  <c r="BV347" i="1" s="1"/>
  <c r="BL347" i="1"/>
  <c r="BT347" i="1" s="1"/>
  <c r="BK347" i="1"/>
  <c r="BJ347" i="1"/>
  <c r="BI347" i="1"/>
  <c r="CB347" i="1" s="1"/>
  <c r="BH347" i="1"/>
  <c r="BG347" i="1"/>
  <c r="BF347" i="1"/>
  <c r="BS347" i="1" s="1"/>
  <c r="BE347" i="1"/>
  <c r="BR347" i="1" s="1"/>
  <c r="BD347" i="1"/>
  <c r="BQ347" i="1" s="1"/>
  <c r="BC347" i="1"/>
  <c r="BP347" i="1" s="1"/>
  <c r="BB347" i="1"/>
  <c r="BO347" i="1" s="1"/>
  <c r="BA347" i="1"/>
  <c r="BN347" i="1" s="1"/>
  <c r="AZ347" i="1"/>
  <c r="BZ347" i="1" s="1"/>
  <c r="AY347" i="1"/>
  <c r="BY347" i="1" s="1"/>
  <c r="AX347" i="1"/>
  <c r="AW347" i="1"/>
  <c r="AV347" i="1"/>
  <c r="BW347" i="1" s="1"/>
  <c r="BM346" i="1"/>
  <c r="BV346" i="1" s="1"/>
  <c r="BL346" i="1"/>
  <c r="BT346" i="1" s="1"/>
  <c r="BK346" i="1"/>
  <c r="BJ346" i="1"/>
  <c r="BI346" i="1"/>
  <c r="CB346" i="1" s="1"/>
  <c r="BH346" i="1"/>
  <c r="BG346" i="1"/>
  <c r="BF346" i="1"/>
  <c r="BS346" i="1" s="1"/>
  <c r="BE346" i="1"/>
  <c r="BR346" i="1" s="1"/>
  <c r="BD346" i="1"/>
  <c r="BQ346" i="1" s="1"/>
  <c r="BC346" i="1"/>
  <c r="BP346" i="1" s="1"/>
  <c r="BB346" i="1"/>
  <c r="BO346" i="1" s="1"/>
  <c r="BA346" i="1"/>
  <c r="BN346" i="1" s="1"/>
  <c r="AZ346" i="1"/>
  <c r="BZ346" i="1" s="1"/>
  <c r="AY346" i="1"/>
  <c r="BY346" i="1" s="1"/>
  <c r="AX346" i="1"/>
  <c r="AW346" i="1"/>
  <c r="AV346" i="1"/>
  <c r="BM345" i="1"/>
  <c r="BV345" i="1" s="1"/>
  <c r="BL345" i="1"/>
  <c r="BT345" i="1" s="1"/>
  <c r="BK345" i="1"/>
  <c r="BJ345" i="1"/>
  <c r="BI345" i="1"/>
  <c r="CB345" i="1" s="1"/>
  <c r="BH345" i="1"/>
  <c r="BG345" i="1"/>
  <c r="BF345" i="1"/>
  <c r="BS345" i="1" s="1"/>
  <c r="BE345" i="1"/>
  <c r="BR345" i="1" s="1"/>
  <c r="BD345" i="1"/>
  <c r="BQ345" i="1" s="1"/>
  <c r="BC345" i="1"/>
  <c r="BP345" i="1" s="1"/>
  <c r="BB345" i="1"/>
  <c r="BO345" i="1" s="1"/>
  <c r="BA345" i="1"/>
  <c r="BN345" i="1" s="1"/>
  <c r="AZ345" i="1"/>
  <c r="BZ345" i="1" s="1"/>
  <c r="AY345" i="1"/>
  <c r="BY345" i="1" s="1"/>
  <c r="AX345" i="1"/>
  <c r="AW345" i="1"/>
  <c r="AV345" i="1"/>
  <c r="BW345" i="1" s="1"/>
  <c r="BM344" i="1"/>
  <c r="BV344" i="1" s="1"/>
  <c r="BL344" i="1"/>
  <c r="BT344" i="1" s="1"/>
  <c r="BK344" i="1"/>
  <c r="BJ344" i="1"/>
  <c r="BI344" i="1"/>
  <c r="CB344" i="1" s="1"/>
  <c r="BH344" i="1"/>
  <c r="BG344" i="1"/>
  <c r="BF344" i="1"/>
  <c r="BS344" i="1" s="1"/>
  <c r="BE344" i="1"/>
  <c r="BR344" i="1" s="1"/>
  <c r="BD344" i="1"/>
  <c r="BQ344" i="1" s="1"/>
  <c r="BC344" i="1"/>
  <c r="BP344" i="1" s="1"/>
  <c r="BB344" i="1"/>
  <c r="BO344" i="1" s="1"/>
  <c r="BA344" i="1"/>
  <c r="BN344" i="1" s="1"/>
  <c r="AZ344" i="1"/>
  <c r="BZ344" i="1" s="1"/>
  <c r="AY344" i="1"/>
  <c r="BY344" i="1" s="1"/>
  <c r="AX344" i="1"/>
  <c r="AW344" i="1"/>
  <c r="AV344" i="1"/>
  <c r="BM343" i="1"/>
  <c r="BV343" i="1" s="1"/>
  <c r="BL343" i="1"/>
  <c r="BT343" i="1" s="1"/>
  <c r="BK343" i="1"/>
  <c r="BJ343" i="1"/>
  <c r="BI343" i="1"/>
  <c r="CB343" i="1" s="1"/>
  <c r="BH343" i="1"/>
  <c r="BG343" i="1"/>
  <c r="BF343" i="1"/>
  <c r="BS343" i="1" s="1"/>
  <c r="BE343" i="1"/>
  <c r="BR343" i="1" s="1"/>
  <c r="BD343" i="1"/>
  <c r="BQ343" i="1" s="1"/>
  <c r="BC343" i="1"/>
  <c r="BP343" i="1" s="1"/>
  <c r="BB343" i="1"/>
  <c r="BO343" i="1" s="1"/>
  <c r="BA343" i="1"/>
  <c r="BN343" i="1" s="1"/>
  <c r="AZ343" i="1"/>
  <c r="BZ343" i="1" s="1"/>
  <c r="AY343" i="1"/>
  <c r="BY343" i="1" s="1"/>
  <c r="AX343" i="1"/>
  <c r="AW343" i="1"/>
  <c r="AV343" i="1"/>
  <c r="BW343" i="1" s="1"/>
  <c r="BM342" i="1"/>
  <c r="BV342" i="1" s="1"/>
  <c r="BL342" i="1"/>
  <c r="BT342" i="1" s="1"/>
  <c r="BK342" i="1"/>
  <c r="BJ342" i="1"/>
  <c r="BI342" i="1"/>
  <c r="CB342" i="1" s="1"/>
  <c r="BH342" i="1"/>
  <c r="BG342" i="1"/>
  <c r="BF342" i="1"/>
  <c r="BS342" i="1" s="1"/>
  <c r="BE342" i="1"/>
  <c r="BR342" i="1" s="1"/>
  <c r="BD342" i="1"/>
  <c r="BQ342" i="1" s="1"/>
  <c r="BC342" i="1"/>
  <c r="BP342" i="1" s="1"/>
  <c r="BB342" i="1"/>
  <c r="BO342" i="1" s="1"/>
  <c r="BA342" i="1"/>
  <c r="BN342" i="1" s="1"/>
  <c r="AZ342" i="1"/>
  <c r="BZ342" i="1" s="1"/>
  <c r="AY342" i="1"/>
  <c r="BY342" i="1" s="1"/>
  <c r="AX342" i="1"/>
  <c r="AW342" i="1"/>
  <c r="AV342" i="1"/>
  <c r="BW342" i="1" s="1"/>
  <c r="BM341" i="1"/>
  <c r="BV341" i="1" s="1"/>
  <c r="BL341" i="1"/>
  <c r="BT341" i="1" s="1"/>
  <c r="BK341" i="1"/>
  <c r="BJ341" i="1"/>
  <c r="BI341" i="1"/>
  <c r="CB341" i="1" s="1"/>
  <c r="BH341" i="1"/>
  <c r="BG341" i="1"/>
  <c r="BF341" i="1"/>
  <c r="BS341" i="1" s="1"/>
  <c r="BE341" i="1"/>
  <c r="BR341" i="1" s="1"/>
  <c r="BD341" i="1"/>
  <c r="BQ341" i="1" s="1"/>
  <c r="BC341" i="1"/>
  <c r="BP341" i="1" s="1"/>
  <c r="BB341" i="1"/>
  <c r="BO341" i="1" s="1"/>
  <c r="BA341" i="1"/>
  <c r="BN341" i="1" s="1"/>
  <c r="AZ341" i="1"/>
  <c r="BZ341" i="1" s="1"/>
  <c r="AY341" i="1"/>
  <c r="BY341" i="1" s="1"/>
  <c r="AX341" i="1"/>
  <c r="AW341" i="1"/>
  <c r="AV341" i="1"/>
  <c r="BM340" i="1"/>
  <c r="BV340" i="1" s="1"/>
  <c r="BL340" i="1"/>
  <c r="BT340" i="1" s="1"/>
  <c r="BK340" i="1"/>
  <c r="BJ340" i="1"/>
  <c r="BI340" i="1"/>
  <c r="CB340" i="1" s="1"/>
  <c r="BH340" i="1"/>
  <c r="BG340" i="1"/>
  <c r="BF340" i="1"/>
  <c r="BS340" i="1" s="1"/>
  <c r="BE340" i="1"/>
  <c r="BR340" i="1" s="1"/>
  <c r="BD340" i="1"/>
  <c r="BQ340" i="1" s="1"/>
  <c r="BC340" i="1"/>
  <c r="BP340" i="1" s="1"/>
  <c r="BB340" i="1"/>
  <c r="BO340" i="1" s="1"/>
  <c r="BA340" i="1"/>
  <c r="BN340" i="1" s="1"/>
  <c r="AZ340" i="1"/>
  <c r="BZ340" i="1" s="1"/>
  <c r="AY340" i="1"/>
  <c r="BY340" i="1" s="1"/>
  <c r="AX340" i="1"/>
  <c r="AW340" i="1"/>
  <c r="AV340" i="1"/>
  <c r="BW340" i="1" s="1"/>
  <c r="BM339" i="1"/>
  <c r="BV339" i="1" s="1"/>
  <c r="BL339" i="1"/>
  <c r="BT339" i="1" s="1"/>
  <c r="BK339" i="1"/>
  <c r="BJ339" i="1"/>
  <c r="BI339" i="1"/>
  <c r="CB339" i="1" s="1"/>
  <c r="BH339" i="1"/>
  <c r="BG339" i="1"/>
  <c r="BF339" i="1"/>
  <c r="BS339" i="1" s="1"/>
  <c r="BE339" i="1"/>
  <c r="BR339" i="1" s="1"/>
  <c r="BD339" i="1"/>
  <c r="BQ339" i="1" s="1"/>
  <c r="BC339" i="1"/>
  <c r="BP339" i="1" s="1"/>
  <c r="BB339" i="1"/>
  <c r="BO339" i="1" s="1"/>
  <c r="BA339" i="1"/>
  <c r="BN339" i="1" s="1"/>
  <c r="AZ339" i="1"/>
  <c r="BZ339" i="1" s="1"/>
  <c r="AY339" i="1"/>
  <c r="BY339" i="1" s="1"/>
  <c r="AX339" i="1"/>
  <c r="AW339" i="1"/>
  <c r="AV339" i="1"/>
  <c r="BM338" i="1"/>
  <c r="BV338" i="1" s="1"/>
  <c r="BL338" i="1"/>
  <c r="BT338" i="1" s="1"/>
  <c r="BK338" i="1"/>
  <c r="BJ338" i="1"/>
  <c r="BI338" i="1"/>
  <c r="CB338" i="1" s="1"/>
  <c r="BH338" i="1"/>
  <c r="BG338" i="1"/>
  <c r="BF338" i="1"/>
  <c r="BS338" i="1" s="1"/>
  <c r="BE338" i="1"/>
  <c r="BR338" i="1" s="1"/>
  <c r="BD338" i="1"/>
  <c r="BQ338" i="1" s="1"/>
  <c r="BC338" i="1"/>
  <c r="BP338" i="1" s="1"/>
  <c r="BB338" i="1"/>
  <c r="BO338" i="1" s="1"/>
  <c r="BA338" i="1"/>
  <c r="BN338" i="1" s="1"/>
  <c r="AZ338" i="1"/>
  <c r="BZ338" i="1" s="1"/>
  <c r="AY338" i="1"/>
  <c r="BY338" i="1" s="1"/>
  <c r="AX338" i="1"/>
  <c r="AW338" i="1"/>
  <c r="AV338" i="1"/>
  <c r="BW338" i="1" s="1"/>
  <c r="BM337" i="1"/>
  <c r="BV337" i="1" s="1"/>
  <c r="BL337" i="1"/>
  <c r="BT337" i="1" s="1"/>
  <c r="BK337" i="1"/>
  <c r="BJ337" i="1"/>
  <c r="BI337" i="1"/>
  <c r="CB337" i="1" s="1"/>
  <c r="BH337" i="1"/>
  <c r="BG337" i="1"/>
  <c r="BF337" i="1"/>
  <c r="BS337" i="1" s="1"/>
  <c r="BE337" i="1"/>
  <c r="BR337" i="1" s="1"/>
  <c r="BD337" i="1"/>
  <c r="BQ337" i="1" s="1"/>
  <c r="BC337" i="1"/>
  <c r="BP337" i="1" s="1"/>
  <c r="BB337" i="1"/>
  <c r="BO337" i="1" s="1"/>
  <c r="BA337" i="1"/>
  <c r="BN337" i="1" s="1"/>
  <c r="AZ337" i="1"/>
  <c r="BZ337" i="1" s="1"/>
  <c r="AY337" i="1"/>
  <c r="BY337" i="1" s="1"/>
  <c r="AX337" i="1"/>
  <c r="AW337" i="1"/>
  <c r="AV337" i="1"/>
  <c r="BW337" i="1" s="1"/>
  <c r="BM336" i="1"/>
  <c r="BV336" i="1" s="1"/>
  <c r="BL336" i="1"/>
  <c r="BT336" i="1" s="1"/>
  <c r="BK336" i="1"/>
  <c r="BJ336" i="1"/>
  <c r="BI336" i="1"/>
  <c r="CB336" i="1" s="1"/>
  <c r="BH336" i="1"/>
  <c r="BG336" i="1"/>
  <c r="BF336" i="1"/>
  <c r="BS336" i="1" s="1"/>
  <c r="BE336" i="1"/>
  <c r="BR336" i="1" s="1"/>
  <c r="BD336" i="1"/>
  <c r="BQ336" i="1" s="1"/>
  <c r="BC336" i="1"/>
  <c r="BP336" i="1" s="1"/>
  <c r="BB336" i="1"/>
  <c r="BO336" i="1" s="1"/>
  <c r="BA336" i="1"/>
  <c r="BN336" i="1" s="1"/>
  <c r="AZ336" i="1"/>
  <c r="BZ336" i="1" s="1"/>
  <c r="AY336" i="1"/>
  <c r="BY336" i="1" s="1"/>
  <c r="AX336" i="1"/>
  <c r="AW336" i="1"/>
  <c r="AV336" i="1"/>
  <c r="BW336" i="1" s="1"/>
  <c r="BM335" i="1"/>
  <c r="BV335" i="1" s="1"/>
  <c r="BL335" i="1"/>
  <c r="BT335" i="1" s="1"/>
  <c r="BK335" i="1"/>
  <c r="BJ335" i="1"/>
  <c r="BI335" i="1"/>
  <c r="CB335" i="1" s="1"/>
  <c r="BH335" i="1"/>
  <c r="BG335" i="1"/>
  <c r="BF335" i="1"/>
  <c r="BS335" i="1" s="1"/>
  <c r="BE335" i="1"/>
  <c r="BR335" i="1" s="1"/>
  <c r="BD335" i="1"/>
  <c r="BQ335" i="1" s="1"/>
  <c r="BC335" i="1"/>
  <c r="BP335" i="1" s="1"/>
  <c r="BB335" i="1"/>
  <c r="BO335" i="1" s="1"/>
  <c r="BA335" i="1"/>
  <c r="BN335" i="1" s="1"/>
  <c r="AZ335" i="1"/>
  <c r="BZ335" i="1" s="1"/>
  <c r="AY335" i="1"/>
  <c r="BY335" i="1" s="1"/>
  <c r="AX335" i="1"/>
  <c r="AW335" i="1"/>
  <c r="AV335" i="1"/>
  <c r="BW335" i="1" s="1"/>
  <c r="BM334" i="1"/>
  <c r="BV334" i="1" s="1"/>
  <c r="BL334" i="1"/>
  <c r="BT334" i="1" s="1"/>
  <c r="BK334" i="1"/>
  <c r="BJ334" i="1"/>
  <c r="BI334" i="1"/>
  <c r="CB334" i="1" s="1"/>
  <c r="BH334" i="1"/>
  <c r="BG334" i="1"/>
  <c r="BF334" i="1"/>
  <c r="BS334" i="1" s="1"/>
  <c r="BE334" i="1"/>
  <c r="BR334" i="1" s="1"/>
  <c r="BD334" i="1"/>
  <c r="BQ334" i="1" s="1"/>
  <c r="BC334" i="1"/>
  <c r="BP334" i="1" s="1"/>
  <c r="BB334" i="1"/>
  <c r="BO334" i="1" s="1"/>
  <c r="BA334" i="1"/>
  <c r="BN334" i="1" s="1"/>
  <c r="AZ334" i="1"/>
  <c r="BZ334" i="1" s="1"/>
  <c r="AY334" i="1"/>
  <c r="BY334" i="1" s="1"/>
  <c r="AX334" i="1"/>
  <c r="AW334" i="1"/>
  <c r="AV334" i="1"/>
  <c r="BW334" i="1" s="1"/>
  <c r="BM333" i="1"/>
  <c r="BV333" i="1" s="1"/>
  <c r="BL333" i="1"/>
  <c r="BT333" i="1" s="1"/>
  <c r="BK333" i="1"/>
  <c r="BJ333" i="1"/>
  <c r="BI333" i="1"/>
  <c r="CB333" i="1" s="1"/>
  <c r="BH333" i="1"/>
  <c r="BG333" i="1"/>
  <c r="BF333" i="1"/>
  <c r="BS333" i="1" s="1"/>
  <c r="BE333" i="1"/>
  <c r="BR333" i="1" s="1"/>
  <c r="BD333" i="1"/>
  <c r="BQ333" i="1" s="1"/>
  <c r="BC333" i="1"/>
  <c r="BP333" i="1" s="1"/>
  <c r="BB333" i="1"/>
  <c r="BO333" i="1" s="1"/>
  <c r="BA333" i="1"/>
  <c r="BN333" i="1" s="1"/>
  <c r="AZ333" i="1"/>
  <c r="BZ333" i="1" s="1"/>
  <c r="AY333" i="1"/>
  <c r="BY333" i="1" s="1"/>
  <c r="AX333" i="1"/>
  <c r="AW333" i="1"/>
  <c r="AV333" i="1"/>
  <c r="BW333" i="1" s="1"/>
  <c r="BM332" i="1"/>
  <c r="BV332" i="1" s="1"/>
  <c r="BL332" i="1"/>
  <c r="BT332" i="1" s="1"/>
  <c r="BK332" i="1"/>
  <c r="BJ332" i="1"/>
  <c r="BI332" i="1"/>
  <c r="CB332" i="1" s="1"/>
  <c r="BH332" i="1"/>
  <c r="BG332" i="1"/>
  <c r="BF332" i="1"/>
  <c r="BS332" i="1" s="1"/>
  <c r="BE332" i="1"/>
  <c r="BR332" i="1" s="1"/>
  <c r="BD332" i="1"/>
  <c r="BQ332" i="1" s="1"/>
  <c r="BC332" i="1"/>
  <c r="BP332" i="1" s="1"/>
  <c r="BB332" i="1"/>
  <c r="BO332" i="1" s="1"/>
  <c r="BA332" i="1"/>
  <c r="BN332" i="1" s="1"/>
  <c r="AZ332" i="1"/>
  <c r="BZ332" i="1" s="1"/>
  <c r="AY332" i="1"/>
  <c r="BY332" i="1" s="1"/>
  <c r="AX332" i="1"/>
  <c r="AW332" i="1"/>
  <c r="AV332" i="1"/>
  <c r="BM331" i="1"/>
  <c r="BV331" i="1" s="1"/>
  <c r="BL331" i="1"/>
  <c r="BT331" i="1" s="1"/>
  <c r="BK331" i="1"/>
  <c r="BJ331" i="1"/>
  <c r="BI331" i="1"/>
  <c r="CB331" i="1" s="1"/>
  <c r="BH331" i="1"/>
  <c r="BG331" i="1"/>
  <c r="BF331" i="1"/>
  <c r="BS331" i="1" s="1"/>
  <c r="BE331" i="1"/>
  <c r="BR331" i="1" s="1"/>
  <c r="BD331" i="1"/>
  <c r="BQ331" i="1" s="1"/>
  <c r="BC331" i="1"/>
  <c r="BP331" i="1" s="1"/>
  <c r="BB331" i="1"/>
  <c r="BO331" i="1" s="1"/>
  <c r="BA331" i="1"/>
  <c r="BN331" i="1" s="1"/>
  <c r="AZ331" i="1"/>
  <c r="BZ331" i="1" s="1"/>
  <c r="AY331" i="1"/>
  <c r="BY331" i="1" s="1"/>
  <c r="AX331" i="1"/>
  <c r="AW331" i="1"/>
  <c r="AV331" i="1"/>
  <c r="BW331" i="1" s="1"/>
  <c r="BM330" i="1"/>
  <c r="BV330" i="1" s="1"/>
  <c r="BL330" i="1"/>
  <c r="BT330" i="1" s="1"/>
  <c r="BK330" i="1"/>
  <c r="BJ330" i="1"/>
  <c r="BI330" i="1"/>
  <c r="CB330" i="1" s="1"/>
  <c r="BH330" i="1"/>
  <c r="BG330" i="1"/>
  <c r="BF330" i="1"/>
  <c r="BS330" i="1" s="1"/>
  <c r="BE330" i="1"/>
  <c r="BR330" i="1" s="1"/>
  <c r="BD330" i="1"/>
  <c r="BQ330" i="1" s="1"/>
  <c r="BC330" i="1"/>
  <c r="BP330" i="1" s="1"/>
  <c r="BB330" i="1"/>
  <c r="BO330" i="1" s="1"/>
  <c r="BA330" i="1"/>
  <c r="BN330" i="1" s="1"/>
  <c r="AZ330" i="1"/>
  <c r="BZ330" i="1" s="1"/>
  <c r="AY330" i="1"/>
  <c r="BY330" i="1" s="1"/>
  <c r="AX330" i="1"/>
  <c r="AW330" i="1"/>
  <c r="AV330" i="1"/>
  <c r="BM329" i="1"/>
  <c r="BV329" i="1" s="1"/>
  <c r="BL329" i="1"/>
  <c r="BT329" i="1" s="1"/>
  <c r="BK329" i="1"/>
  <c r="BJ329" i="1"/>
  <c r="BI329" i="1"/>
  <c r="CB329" i="1" s="1"/>
  <c r="BH329" i="1"/>
  <c r="BG329" i="1"/>
  <c r="BF329" i="1"/>
  <c r="BS329" i="1" s="1"/>
  <c r="BE329" i="1"/>
  <c r="BR329" i="1" s="1"/>
  <c r="BD329" i="1"/>
  <c r="BQ329" i="1" s="1"/>
  <c r="BC329" i="1"/>
  <c r="BP329" i="1" s="1"/>
  <c r="BB329" i="1"/>
  <c r="BO329" i="1" s="1"/>
  <c r="BA329" i="1"/>
  <c r="BN329" i="1" s="1"/>
  <c r="AZ329" i="1"/>
  <c r="BZ329" i="1" s="1"/>
  <c r="AY329" i="1"/>
  <c r="BY329" i="1" s="1"/>
  <c r="AX329" i="1"/>
  <c r="AW329" i="1"/>
  <c r="AV329" i="1"/>
  <c r="BW329" i="1" s="1"/>
  <c r="BM328" i="1"/>
  <c r="BV328" i="1" s="1"/>
  <c r="BL328" i="1"/>
  <c r="BT328" i="1" s="1"/>
  <c r="BK328" i="1"/>
  <c r="BJ328" i="1"/>
  <c r="BI328" i="1"/>
  <c r="CB328" i="1" s="1"/>
  <c r="BH328" i="1"/>
  <c r="BG328" i="1"/>
  <c r="BF328" i="1"/>
  <c r="BS328" i="1" s="1"/>
  <c r="BE328" i="1"/>
  <c r="BR328" i="1" s="1"/>
  <c r="BD328" i="1"/>
  <c r="BQ328" i="1" s="1"/>
  <c r="BC328" i="1"/>
  <c r="BP328" i="1" s="1"/>
  <c r="BB328" i="1"/>
  <c r="BO328" i="1" s="1"/>
  <c r="BA328" i="1"/>
  <c r="BN328" i="1" s="1"/>
  <c r="AZ328" i="1"/>
  <c r="BZ328" i="1" s="1"/>
  <c r="AY328" i="1"/>
  <c r="BY328" i="1" s="1"/>
  <c r="AX328" i="1"/>
  <c r="AW328" i="1"/>
  <c r="AV328" i="1"/>
  <c r="BW328" i="1" s="1"/>
  <c r="BM327" i="1"/>
  <c r="BV327" i="1" s="1"/>
  <c r="BL327" i="1"/>
  <c r="BT327" i="1" s="1"/>
  <c r="BK327" i="1"/>
  <c r="BJ327" i="1"/>
  <c r="BI327" i="1"/>
  <c r="CB327" i="1" s="1"/>
  <c r="BH327" i="1"/>
  <c r="BG327" i="1"/>
  <c r="BF327" i="1"/>
  <c r="BS327" i="1" s="1"/>
  <c r="BE327" i="1"/>
  <c r="BR327" i="1" s="1"/>
  <c r="BD327" i="1"/>
  <c r="BQ327" i="1" s="1"/>
  <c r="BC327" i="1"/>
  <c r="BP327" i="1" s="1"/>
  <c r="BB327" i="1"/>
  <c r="BO327" i="1" s="1"/>
  <c r="BA327" i="1"/>
  <c r="BN327" i="1" s="1"/>
  <c r="AZ327" i="1"/>
  <c r="BZ327" i="1" s="1"/>
  <c r="AY327" i="1"/>
  <c r="BY327" i="1" s="1"/>
  <c r="AX327" i="1"/>
  <c r="AW327" i="1"/>
  <c r="AV327" i="1"/>
  <c r="BW327" i="1" s="1"/>
  <c r="BM326" i="1"/>
  <c r="BV326" i="1" s="1"/>
  <c r="BL326" i="1"/>
  <c r="BT326" i="1" s="1"/>
  <c r="BK326" i="1"/>
  <c r="BJ326" i="1"/>
  <c r="BI326" i="1"/>
  <c r="CB326" i="1" s="1"/>
  <c r="BH326" i="1"/>
  <c r="BG326" i="1"/>
  <c r="BF326" i="1"/>
  <c r="BS326" i="1" s="1"/>
  <c r="BE326" i="1"/>
  <c r="BR326" i="1" s="1"/>
  <c r="BD326" i="1"/>
  <c r="BQ326" i="1" s="1"/>
  <c r="BC326" i="1"/>
  <c r="BP326" i="1" s="1"/>
  <c r="BB326" i="1"/>
  <c r="BO326" i="1" s="1"/>
  <c r="BA326" i="1"/>
  <c r="BN326" i="1" s="1"/>
  <c r="AZ326" i="1"/>
  <c r="BZ326" i="1" s="1"/>
  <c r="AY326" i="1"/>
  <c r="BY326" i="1" s="1"/>
  <c r="AX326" i="1"/>
  <c r="AW326" i="1"/>
  <c r="AV326" i="1"/>
  <c r="BW326" i="1" s="1"/>
  <c r="BM325" i="1"/>
  <c r="BV325" i="1" s="1"/>
  <c r="BL325" i="1"/>
  <c r="BT325" i="1" s="1"/>
  <c r="BK325" i="1"/>
  <c r="BJ325" i="1"/>
  <c r="BI325" i="1"/>
  <c r="CB325" i="1" s="1"/>
  <c r="BH325" i="1"/>
  <c r="BG325" i="1"/>
  <c r="BF325" i="1"/>
  <c r="BS325" i="1" s="1"/>
  <c r="BE325" i="1"/>
  <c r="BR325" i="1" s="1"/>
  <c r="BD325" i="1"/>
  <c r="BQ325" i="1" s="1"/>
  <c r="BC325" i="1"/>
  <c r="BP325" i="1" s="1"/>
  <c r="BB325" i="1"/>
  <c r="BO325" i="1" s="1"/>
  <c r="BA325" i="1"/>
  <c r="BN325" i="1" s="1"/>
  <c r="AZ325" i="1"/>
  <c r="BZ325" i="1" s="1"/>
  <c r="AY325" i="1"/>
  <c r="BY325" i="1" s="1"/>
  <c r="AX325" i="1"/>
  <c r="AW325" i="1"/>
  <c r="AV325" i="1"/>
  <c r="BW325" i="1" s="1"/>
  <c r="BM324" i="1"/>
  <c r="BV324" i="1" s="1"/>
  <c r="BL324" i="1"/>
  <c r="BT324" i="1" s="1"/>
  <c r="BK324" i="1"/>
  <c r="BJ324" i="1"/>
  <c r="BI324" i="1"/>
  <c r="CB324" i="1" s="1"/>
  <c r="BH324" i="1"/>
  <c r="BG324" i="1"/>
  <c r="BF324" i="1"/>
  <c r="BS324" i="1" s="1"/>
  <c r="BE324" i="1"/>
  <c r="BR324" i="1" s="1"/>
  <c r="BD324" i="1"/>
  <c r="BQ324" i="1" s="1"/>
  <c r="BC324" i="1"/>
  <c r="BP324" i="1" s="1"/>
  <c r="BB324" i="1"/>
  <c r="BO324" i="1" s="1"/>
  <c r="BA324" i="1"/>
  <c r="BN324" i="1" s="1"/>
  <c r="AZ324" i="1"/>
  <c r="BZ324" i="1" s="1"/>
  <c r="AY324" i="1"/>
  <c r="BY324" i="1" s="1"/>
  <c r="AX324" i="1"/>
  <c r="AW324" i="1"/>
  <c r="AV324" i="1"/>
  <c r="BM323" i="1"/>
  <c r="BV323" i="1" s="1"/>
  <c r="BL323" i="1"/>
  <c r="BT323" i="1" s="1"/>
  <c r="BK323" i="1"/>
  <c r="BJ323" i="1"/>
  <c r="BI323" i="1"/>
  <c r="CB323" i="1" s="1"/>
  <c r="BH323" i="1"/>
  <c r="BG323" i="1"/>
  <c r="BF323" i="1"/>
  <c r="BS323" i="1" s="1"/>
  <c r="BE323" i="1"/>
  <c r="BR323" i="1" s="1"/>
  <c r="BD323" i="1"/>
  <c r="BQ323" i="1" s="1"/>
  <c r="BC323" i="1"/>
  <c r="BP323" i="1" s="1"/>
  <c r="BB323" i="1"/>
  <c r="BO323" i="1" s="1"/>
  <c r="BA323" i="1"/>
  <c r="BN323" i="1" s="1"/>
  <c r="AZ323" i="1"/>
  <c r="BZ323" i="1" s="1"/>
  <c r="AY323" i="1"/>
  <c r="BY323" i="1" s="1"/>
  <c r="AX323" i="1"/>
  <c r="AW323" i="1"/>
  <c r="AV323" i="1"/>
  <c r="BM322" i="1"/>
  <c r="BV322" i="1" s="1"/>
  <c r="BL322" i="1"/>
  <c r="BT322" i="1" s="1"/>
  <c r="BK322" i="1"/>
  <c r="BJ322" i="1"/>
  <c r="BI322" i="1"/>
  <c r="CB322" i="1" s="1"/>
  <c r="BH322" i="1"/>
  <c r="BG322" i="1"/>
  <c r="BF322" i="1"/>
  <c r="BS322" i="1" s="1"/>
  <c r="BE322" i="1"/>
  <c r="BR322" i="1" s="1"/>
  <c r="BD322" i="1"/>
  <c r="BQ322" i="1" s="1"/>
  <c r="BC322" i="1"/>
  <c r="BP322" i="1" s="1"/>
  <c r="BB322" i="1"/>
  <c r="BO322" i="1" s="1"/>
  <c r="BA322" i="1"/>
  <c r="BN322" i="1" s="1"/>
  <c r="AZ322" i="1"/>
  <c r="BZ322" i="1" s="1"/>
  <c r="AY322" i="1"/>
  <c r="BY322" i="1" s="1"/>
  <c r="AX322" i="1"/>
  <c r="AW322" i="1"/>
  <c r="AV322" i="1"/>
  <c r="BW322" i="1" s="1"/>
  <c r="BM321" i="1"/>
  <c r="BV321" i="1" s="1"/>
  <c r="BL321" i="1"/>
  <c r="BT321" i="1" s="1"/>
  <c r="BK321" i="1"/>
  <c r="BJ321" i="1"/>
  <c r="BI321" i="1"/>
  <c r="CB321" i="1" s="1"/>
  <c r="BH321" i="1"/>
  <c r="BG321" i="1"/>
  <c r="BF321" i="1"/>
  <c r="BS321" i="1" s="1"/>
  <c r="BE321" i="1"/>
  <c r="BR321" i="1" s="1"/>
  <c r="BD321" i="1"/>
  <c r="BQ321" i="1" s="1"/>
  <c r="BC321" i="1"/>
  <c r="BP321" i="1" s="1"/>
  <c r="BB321" i="1"/>
  <c r="BO321" i="1" s="1"/>
  <c r="BA321" i="1"/>
  <c r="BN321" i="1" s="1"/>
  <c r="AZ321" i="1"/>
  <c r="BZ321" i="1" s="1"/>
  <c r="AY321" i="1"/>
  <c r="BY321" i="1" s="1"/>
  <c r="AX321" i="1"/>
  <c r="AW321" i="1"/>
  <c r="AV321" i="1"/>
  <c r="BW321" i="1" s="1"/>
  <c r="BM320" i="1"/>
  <c r="BV320" i="1" s="1"/>
  <c r="BL320" i="1"/>
  <c r="BT320" i="1" s="1"/>
  <c r="BK320" i="1"/>
  <c r="BJ320" i="1"/>
  <c r="BI320" i="1"/>
  <c r="CB320" i="1" s="1"/>
  <c r="BH320" i="1"/>
  <c r="BG320" i="1"/>
  <c r="BF320" i="1"/>
  <c r="BS320" i="1" s="1"/>
  <c r="BE320" i="1"/>
  <c r="BR320" i="1" s="1"/>
  <c r="BD320" i="1"/>
  <c r="BQ320" i="1" s="1"/>
  <c r="BC320" i="1"/>
  <c r="BP320" i="1" s="1"/>
  <c r="BB320" i="1"/>
  <c r="BO320" i="1" s="1"/>
  <c r="BA320" i="1"/>
  <c r="BN320" i="1" s="1"/>
  <c r="AZ320" i="1"/>
  <c r="BZ320" i="1" s="1"/>
  <c r="AY320" i="1"/>
  <c r="BY320" i="1" s="1"/>
  <c r="AX320" i="1"/>
  <c r="AW320" i="1"/>
  <c r="AV320" i="1"/>
  <c r="BW320" i="1" s="1"/>
  <c r="BM319" i="1"/>
  <c r="BV319" i="1" s="1"/>
  <c r="BL319" i="1"/>
  <c r="BT319" i="1" s="1"/>
  <c r="BK319" i="1"/>
  <c r="BJ319" i="1"/>
  <c r="BI319" i="1"/>
  <c r="CB319" i="1" s="1"/>
  <c r="BH319" i="1"/>
  <c r="BG319" i="1"/>
  <c r="BF319" i="1"/>
  <c r="BS319" i="1" s="1"/>
  <c r="BE319" i="1"/>
  <c r="BR319" i="1" s="1"/>
  <c r="BD319" i="1"/>
  <c r="BQ319" i="1" s="1"/>
  <c r="BC319" i="1"/>
  <c r="BP319" i="1" s="1"/>
  <c r="BB319" i="1"/>
  <c r="BO319" i="1" s="1"/>
  <c r="BA319" i="1"/>
  <c r="BN319" i="1" s="1"/>
  <c r="AZ319" i="1"/>
  <c r="BZ319" i="1" s="1"/>
  <c r="AY319" i="1"/>
  <c r="BY319" i="1" s="1"/>
  <c r="AX319" i="1"/>
  <c r="AW319" i="1"/>
  <c r="AV319" i="1"/>
  <c r="BW319" i="1" s="1"/>
  <c r="BM318" i="1"/>
  <c r="BV318" i="1" s="1"/>
  <c r="BL318" i="1"/>
  <c r="BT318" i="1" s="1"/>
  <c r="BK318" i="1"/>
  <c r="BJ318" i="1"/>
  <c r="BI318" i="1"/>
  <c r="CB318" i="1" s="1"/>
  <c r="BH318" i="1"/>
  <c r="BG318" i="1"/>
  <c r="BF318" i="1"/>
  <c r="BS318" i="1" s="1"/>
  <c r="BE318" i="1"/>
  <c r="BR318" i="1" s="1"/>
  <c r="BD318" i="1"/>
  <c r="BQ318" i="1" s="1"/>
  <c r="BC318" i="1"/>
  <c r="BP318" i="1" s="1"/>
  <c r="BB318" i="1"/>
  <c r="BO318" i="1" s="1"/>
  <c r="BA318" i="1"/>
  <c r="BN318" i="1" s="1"/>
  <c r="AZ318" i="1"/>
  <c r="BZ318" i="1" s="1"/>
  <c r="AY318" i="1"/>
  <c r="BY318" i="1" s="1"/>
  <c r="AX318" i="1"/>
  <c r="AW318" i="1"/>
  <c r="AV318" i="1"/>
  <c r="BW318" i="1" s="1"/>
  <c r="BM317" i="1"/>
  <c r="BV317" i="1" s="1"/>
  <c r="BL317" i="1"/>
  <c r="BT317" i="1" s="1"/>
  <c r="BK317" i="1"/>
  <c r="BJ317" i="1"/>
  <c r="BI317" i="1"/>
  <c r="CB317" i="1" s="1"/>
  <c r="BH317" i="1"/>
  <c r="BG317" i="1"/>
  <c r="BF317" i="1"/>
  <c r="BS317" i="1" s="1"/>
  <c r="BE317" i="1"/>
  <c r="BR317" i="1" s="1"/>
  <c r="BD317" i="1"/>
  <c r="BQ317" i="1" s="1"/>
  <c r="BC317" i="1"/>
  <c r="BP317" i="1" s="1"/>
  <c r="BB317" i="1"/>
  <c r="BO317" i="1" s="1"/>
  <c r="BA317" i="1"/>
  <c r="BN317" i="1" s="1"/>
  <c r="AZ317" i="1"/>
  <c r="BZ317" i="1" s="1"/>
  <c r="AY317" i="1"/>
  <c r="BY317" i="1" s="1"/>
  <c r="AX317" i="1"/>
  <c r="AW317" i="1"/>
  <c r="AV317" i="1"/>
  <c r="BW317" i="1" s="1"/>
  <c r="BM316" i="1"/>
  <c r="BV316" i="1" s="1"/>
  <c r="BL316" i="1"/>
  <c r="BT316" i="1" s="1"/>
  <c r="BK316" i="1"/>
  <c r="BJ316" i="1"/>
  <c r="BI316" i="1"/>
  <c r="CB316" i="1" s="1"/>
  <c r="BH316" i="1"/>
  <c r="BG316" i="1"/>
  <c r="BF316" i="1"/>
  <c r="BS316" i="1" s="1"/>
  <c r="BE316" i="1"/>
  <c r="BR316" i="1" s="1"/>
  <c r="BD316" i="1"/>
  <c r="BQ316" i="1" s="1"/>
  <c r="BC316" i="1"/>
  <c r="BP316" i="1" s="1"/>
  <c r="BB316" i="1"/>
  <c r="BO316" i="1" s="1"/>
  <c r="BA316" i="1"/>
  <c r="BN316" i="1" s="1"/>
  <c r="AZ316" i="1"/>
  <c r="BZ316" i="1" s="1"/>
  <c r="AY316" i="1"/>
  <c r="BY316" i="1" s="1"/>
  <c r="AX316" i="1"/>
  <c r="AW316" i="1"/>
  <c r="AV316" i="1"/>
  <c r="BM315" i="1"/>
  <c r="BV315" i="1" s="1"/>
  <c r="BL315" i="1"/>
  <c r="BT315" i="1" s="1"/>
  <c r="BK315" i="1"/>
  <c r="BJ315" i="1"/>
  <c r="BI315" i="1"/>
  <c r="CB315" i="1" s="1"/>
  <c r="BH315" i="1"/>
  <c r="BG315" i="1"/>
  <c r="BF315" i="1"/>
  <c r="BS315" i="1" s="1"/>
  <c r="BE315" i="1"/>
  <c r="BR315" i="1" s="1"/>
  <c r="BD315" i="1"/>
  <c r="BQ315" i="1" s="1"/>
  <c r="BC315" i="1"/>
  <c r="BP315" i="1" s="1"/>
  <c r="BB315" i="1"/>
  <c r="BO315" i="1" s="1"/>
  <c r="BA315" i="1"/>
  <c r="BN315" i="1" s="1"/>
  <c r="AZ315" i="1"/>
  <c r="BZ315" i="1" s="1"/>
  <c r="AY315" i="1"/>
  <c r="BY315" i="1" s="1"/>
  <c r="AX315" i="1"/>
  <c r="AW315" i="1"/>
  <c r="AV315" i="1"/>
  <c r="BM314" i="1"/>
  <c r="BV314" i="1" s="1"/>
  <c r="BL314" i="1"/>
  <c r="BT314" i="1" s="1"/>
  <c r="BK314" i="1"/>
  <c r="BJ314" i="1"/>
  <c r="BI314" i="1"/>
  <c r="CB314" i="1" s="1"/>
  <c r="BH314" i="1"/>
  <c r="BG314" i="1"/>
  <c r="BF314" i="1"/>
  <c r="BS314" i="1" s="1"/>
  <c r="BE314" i="1"/>
  <c r="BR314" i="1" s="1"/>
  <c r="BD314" i="1"/>
  <c r="BQ314" i="1" s="1"/>
  <c r="BC314" i="1"/>
  <c r="BP314" i="1" s="1"/>
  <c r="BB314" i="1"/>
  <c r="BO314" i="1" s="1"/>
  <c r="BA314" i="1"/>
  <c r="BN314" i="1" s="1"/>
  <c r="AZ314" i="1"/>
  <c r="BZ314" i="1" s="1"/>
  <c r="AY314" i="1"/>
  <c r="BY314" i="1" s="1"/>
  <c r="AX314" i="1"/>
  <c r="AW314" i="1"/>
  <c r="AV314" i="1"/>
  <c r="BW314" i="1" s="1"/>
  <c r="BM313" i="1"/>
  <c r="BV313" i="1" s="1"/>
  <c r="BL313" i="1"/>
  <c r="BT313" i="1" s="1"/>
  <c r="BK313" i="1"/>
  <c r="BJ313" i="1"/>
  <c r="BI313" i="1"/>
  <c r="CB313" i="1" s="1"/>
  <c r="BH313" i="1"/>
  <c r="BG313" i="1"/>
  <c r="BF313" i="1"/>
  <c r="BS313" i="1" s="1"/>
  <c r="BE313" i="1"/>
  <c r="BR313" i="1" s="1"/>
  <c r="BD313" i="1"/>
  <c r="BQ313" i="1" s="1"/>
  <c r="BC313" i="1"/>
  <c r="BP313" i="1" s="1"/>
  <c r="BB313" i="1"/>
  <c r="BO313" i="1" s="1"/>
  <c r="BA313" i="1"/>
  <c r="BN313" i="1" s="1"/>
  <c r="AZ313" i="1"/>
  <c r="BZ313" i="1" s="1"/>
  <c r="AY313" i="1"/>
  <c r="BY313" i="1" s="1"/>
  <c r="AX313" i="1"/>
  <c r="AW313" i="1"/>
  <c r="AV313" i="1"/>
  <c r="BW313" i="1" s="1"/>
  <c r="BM312" i="1"/>
  <c r="BV312" i="1" s="1"/>
  <c r="BL312" i="1"/>
  <c r="BT312" i="1" s="1"/>
  <c r="BK312" i="1"/>
  <c r="BJ312" i="1"/>
  <c r="BI312" i="1"/>
  <c r="CB312" i="1" s="1"/>
  <c r="BH312" i="1"/>
  <c r="BG312" i="1"/>
  <c r="BF312" i="1"/>
  <c r="BS312" i="1" s="1"/>
  <c r="BE312" i="1"/>
  <c r="BR312" i="1" s="1"/>
  <c r="BD312" i="1"/>
  <c r="BQ312" i="1" s="1"/>
  <c r="BC312" i="1"/>
  <c r="BP312" i="1" s="1"/>
  <c r="BB312" i="1"/>
  <c r="BO312" i="1" s="1"/>
  <c r="BA312" i="1"/>
  <c r="BN312" i="1" s="1"/>
  <c r="AZ312" i="1"/>
  <c r="BZ312" i="1" s="1"/>
  <c r="AY312" i="1"/>
  <c r="BY312" i="1" s="1"/>
  <c r="AX312" i="1"/>
  <c r="AW312" i="1"/>
  <c r="AV312" i="1"/>
  <c r="BW312" i="1" s="1"/>
  <c r="BM311" i="1"/>
  <c r="BV311" i="1" s="1"/>
  <c r="BL311" i="1"/>
  <c r="BT311" i="1" s="1"/>
  <c r="BK311" i="1"/>
  <c r="BJ311" i="1"/>
  <c r="BI311" i="1"/>
  <c r="CB311" i="1" s="1"/>
  <c r="BH311" i="1"/>
  <c r="BG311" i="1"/>
  <c r="BF311" i="1"/>
  <c r="BS311" i="1" s="1"/>
  <c r="BE311" i="1"/>
  <c r="BR311" i="1" s="1"/>
  <c r="BD311" i="1"/>
  <c r="BQ311" i="1" s="1"/>
  <c r="BC311" i="1"/>
  <c r="BP311" i="1" s="1"/>
  <c r="BB311" i="1"/>
  <c r="BO311" i="1" s="1"/>
  <c r="BA311" i="1"/>
  <c r="BN311" i="1" s="1"/>
  <c r="AZ311" i="1"/>
  <c r="BZ311" i="1" s="1"/>
  <c r="AY311" i="1"/>
  <c r="BY311" i="1" s="1"/>
  <c r="AX311" i="1"/>
  <c r="AW311" i="1"/>
  <c r="AV311" i="1"/>
  <c r="BW311" i="1" s="1"/>
  <c r="BM310" i="1"/>
  <c r="BV310" i="1" s="1"/>
  <c r="BL310" i="1"/>
  <c r="BT310" i="1" s="1"/>
  <c r="BK310" i="1"/>
  <c r="BJ310" i="1"/>
  <c r="BI310" i="1"/>
  <c r="CB310" i="1" s="1"/>
  <c r="BH310" i="1"/>
  <c r="BG310" i="1"/>
  <c r="BF310" i="1"/>
  <c r="BS310" i="1" s="1"/>
  <c r="BE310" i="1"/>
  <c r="BR310" i="1" s="1"/>
  <c r="BD310" i="1"/>
  <c r="BQ310" i="1" s="1"/>
  <c r="BC310" i="1"/>
  <c r="BP310" i="1" s="1"/>
  <c r="BB310" i="1"/>
  <c r="BO310" i="1" s="1"/>
  <c r="BA310" i="1"/>
  <c r="BN310" i="1" s="1"/>
  <c r="AZ310" i="1"/>
  <c r="BZ310" i="1" s="1"/>
  <c r="AY310" i="1"/>
  <c r="BY310" i="1" s="1"/>
  <c r="AX310" i="1"/>
  <c r="AW310" i="1"/>
  <c r="AV310" i="1"/>
  <c r="BW310" i="1" s="1"/>
  <c r="BM309" i="1"/>
  <c r="BV309" i="1" s="1"/>
  <c r="BL309" i="1"/>
  <c r="BT309" i="1" s="1"/>
  <c r="BK309" i="1"/>
  <c r="BJ309" i="1"/>
  <c r="BI309" i="1"/>
  <c r="CB309" i="1" s="1"/>
  <c r="BH309" i="1"/>
  <c r="BG309" i="1"/>
  <c r="BF309" i="1"/>
  <c r="BS309" i="1" s="1"/>
  <c r="BE309" i="1"/>
  <c r="BR309" i="1" s="1"/>
  <c r="BD309" i="1"/>
  <c r="BQ309" i="1" s="1"/>
  <c r="BC309" i="1"/>
  <c r="BP309" i="1" s="1"/>
  <c r="BB309" i="1"/>
  <c r="BO309" i="1" s="1"/>
  <c r="BA309" i="1"/>
  <c r="BN309" i="1" s="1"/>
  <c r="AZ309" i="1"/>
  <c r="BZ309" i="1" s="1"/>
  <c r="AY309" i="1"/>
  <c r="BY309" i="1" s="1"/>
  <c r="AX309" i="1"/>
  <c r="AW309" i="1"/>
  <c r="AV309" i="1"/>
  <c r="BW309" i="1" s="1"/>
  <c r="BM308" i="1"/>
  <c r="BV308" i="1" s="1"/>
  <c r="BL308" i="1"/>
  <c r="BT308" i="1" s="1"/>
  <c r="BK308" i="1"/>
  <c r="BJ308" i="1"/>
  <c r="BI308" i="1"/>
  <c r="CB308" i="1" s="1"/>
  <c r="BH308" i="1"/>
  <c r="BG308" i="1"/>
  <c r="BF308" i="1"/>
  <c r="BS308" i="1" s="1"/>
  <c r="BE308" i="1"/>
  <c r="BR308" i="1" s="1"/>
  <c r="BD308" i="1"/>
  <c r="BQ308" i="1" s="1"/>
  <c r="BC308" i="1"/>
  <c r="BP308" i="1" s="1"/>
  <c r="BB308" i="1"/>
  <c r="BO308" i="1" s="1"/>
  <c r="BA308" i="1"/>
  <c r="BN308" i="1" s="1"/>
  <c r="AZ308" i="1"/>
  <c r="BZ308" i="1" s="1"/>
  <c r="AY308" i="1"/>
  <c r="BY308" i="1" s="1"/>
  <c r="AX308" i="1"/>
  <c r="AW308" i="1"/>
  <c r="AV308" i="1"/>
  <c r="BW308" i="1" s="1"/>
  <c r="BM307" i="1"/>
  <c r="BV307" i="1" s="1"/>
  <c r="BL307" i="1"/>
  <c r="BT307" i="1" s="1"/>
  <c r="BK307" i="1"/>
  <c r="BJ307" i="1"/>
  <c r="BI307" i="1"/>
  <c r="CB307" i="1" s="1"/>
  <c r="BH307" i="1"/>
  <c r="BG307" i="1"/>
  <c r="BF307" i="1"/>
  <c r="BS307" i="1" s="1"/>
  <c r="BE307" i="1"/>
  <c r="BR307" i="1" s="1"/>
  <c r="BD307" i="1"/>
  <c r="BQ307" i="1" s="1"/>
  <c r="BC307" i="1"/>
  <c r="BP307" i="1" s="1"/>
  <c r="BB307" i="1"/>
  <c r="BO307" i="1" s="1"/>
  <c r="BA307" i="1"/>
  <c r="BN307" i="1" s="1"/>
  <c r="AZ307" i="1"/>
  <c r="BZ307" i="1" s="1"/>
  <c r="AY307" i="1"/>
  <c r="BY307" i="1" s="1"/>
  <c r="AX307" i="1"/>
  <c r="AW307" i="1"/>
  <c r="AV307" i="1"/>
  <c r="BW307" i="1" s="1"/>
  <c r="BM306" i="1"/>
  <c r="BV306" i="1" s="1"/>
  <c r="BL306" i="1"/>
  <c r="BT306" i="1" s="1"/>
  <c r="BK306" i="1"/>
  <c r="BJ306" i="1"/>
  <c r="BI306" i="1"/>
  <c r="CB306" i="1" s="1"/>
  <c r="BH306" i="1"/>
  <c r="BG306" i="1"/>
  <c r="BF306" i="1"/>
  <c r="BS306" i="1" s="1"/>
  <c r="BE306" i="1"/>
  <c r="BR306" i="1" s="1"/>
  <c r="BD306" i="1"/>
  <c r="BQ306" i="1" s="1"/>
  <c r="BC306" i="1"/>
  <c r="BP306" i="1" s="1"/>
  <c r="BB306" i="1"/>
  <c r="BO306" i="1" s="1"/>
  <c r="BA306" i="1"/>
  <c r="BN306" i="1" s="1"/>
  <c r="AZ306" i="1"/>
  <c r="BZ306" i="1" s="1"/>
  <c r="AY306" i="1"/>
  <c r="BY306" i="1" s="1"/>
  <c r="AX306" i="1"/>
  <c r="AW306" i="1"/>
  <c r="AV306" i="1"/>
  <c r="BW306" i="1" s="1"/>
  <c r="BM305" i="1"/>
  <c r="BV305" i="1" s="1"/>
  <c r="BL305" i="1"/>
  <c r="BT305" i="1" s="1"/>
  <c r="BK305" i="1"/>
  <c r="BJ305" i="1"/>
  <c r="BI305" i="1"/>
  <c r="CB305" i="1" s="1"/>
  <c r="BH305" i="1"/>
  <c r="BG305" i="1"/>
  <c r="BF305" i="1"/>
  <c r="BS305" i="1" s="1"/>
  <c r="BE305" i="1"/>
  <c r="BR305" i="1" s="1"/>
  <c r="BD305" i="1"/>
  <c r="BQ305" i="1" s="1"/>
  <c r="BC305" i="1"/>
  <c r="BP305" i="1" s="1"/>
  <c r="BB305" i="1"/>
  <c r="BO305" i="1" s="1"/>
  <c r="BA305" i="1"/>
  <c r="BN305" i="1" s="1"/>
  <c r="AZ305" i="1"/>
  <c r="BZ305" i="1" s="1"/>
  <c r="AY305" i="1"/>
  <c r="BY305" i="1" s="1"/>
  <c r="AX305" i="1"/>
  <c r="AW305" i="1"/>
  <c r="AV305" i="1"/>
  <c r="BW305" i="1" s="1"/>
  <c r="BM304" i="1"/>
  <c r="BV304" i="1" s="1"/>
  <c r="BL304" i="1"/>
  <c r="BT304" i="1" s="1"/>
  <c r="BK304" i="1"/>
  <c r="BJ304" i="1"/>
  <c r="BI304" i="1"/>
  <c r="CB304" i="1" s="1"/>
  <c r="BH304" i="1"/>
  <c r="BG304" i="1"/>
  <c r="BF304" i="1"/>
  <c r="BS304" i="1" s="1"/>
  <c r="BE304" i="1"/>
  <c r="BR304" i="1" s="1"/>
  <c r="BD304" i="1"/>
  <c r="BQ304" i="1" s="1"/>
  <c r="BC304" i="1"/>
  <c r="BP304" i="1" s="1"/>
  <c r="BB304" i="1"/>
  <c r="BO304" i="1" s="1"/>
  <c r="BA304" i="1"/>
  <c r="BN304" i="1" s="1"/>
  <c r="AZ304" i="1"/>
  <c r="BZ304" i="1" s="1"/>
  <c r="AY304" i="1"/>
  <c r="BY304" i="1" s="1"/>
  <c r="AX304" i="1"/>
  <c r="AW304" i="1"/>
  <c r="AV304" i="1"/>
  <c r="BW304" i="1" s="1"/>
  <c r="BM303" i="1"/>
  <c r="BV303" i="1" s="1"/>
  <c r="BL303" i="1"/>
  <c r="BT303" i="1" s="1"/>
  <c r="BK303" i="1"/>
  <c r="BJ303" i="1"/>
  <c r="BI303" i="1"/>
  <c r="CB303" i="1" s="1"/>
  <c r="BH303" i="1"/>
  <c r="BG303" i="1"/>
  <c r="BF303" i="1"/>
  <c r="BS303" i="1" s="1"/>
  <c r="BE303" i="1"/>
  <c r="BR303" i="1" s="1"/>
  <c r="BD303" i="1"/>
  <c r="BQ303" i="1" s="1"/>
  <c r="BC303" i="1"/>
  <c r="BP303" i="1" s="1"/>
  <c r="BB303" i="1"/>
  <c r="BO303" i="1" s="1"/>
  <c r="BA303" i="1"/>
  <c r="BN303" i="1" s="1"/>
  <c r="AZ303" i="1"/>
  <c r="BZ303" i="1" s="1"/>
  <c r="AY303" i="1"/>
  <c r="BY303" i="1" s="1"/>
  <c r="AX303" i="1"/>
  <c r="AW303" i="1"/>
  <c r="AV303" i="1"/>
  <c r="BW303" i="1" s="1"/>
  <c r="BM302" i="1"/>
  <c r="BV302" i="1" s="1"/>
  <c r="BL302" i="1"/>
  <c r="BT302" i="1" s="1"/>
  <c r="BK302" i="1"/>
  <c r="BJ302" i="1"/>
  <c r="BI302" i="1"/>
  <c r="CB302" i="1" s="1"/>
  <c r="BH302" i="1"/>
  <c r="BG302" i="1"/>
  <c r="BF302" i="1"/>
  <c r="BS302" i="1" s="1"/>
  <c r="BE302" i="1"/>
  <c r="BR302" i="1" s="1"/>
  <c r="BD302" i="1"/>
  <c r="BQ302" i="1" s="1"/>
  <c r="BC302" i="1"/>
  <c r="BP302" i="1" s="1"/>
  <c r="BB302" i="1"/>
  <c r="BO302" i="1" s="1"/>
  <c r="BA302" i="1"/>
  <c r="BN302" i="1" s="1"/>
  <c r="AZ302" i="1"/>
  <c r="BZ302" i="1" s="1"/>
  <c r="AY302" i="1"/>
  <c r="BY302" i="1" s="1"/>
  <c r="AX302" i="1"/>
  <c r="AW302" i="1"/>
  <c r="AV302" i="1"/>
  <c r="BW302" i="1" s="1"/>
  <c r="BM301" i="1"/>
  <c r="BV301" i="1" s="1"/>
  <c r="BL301" i="1"/>
  <c r="BT301" i="1" s="1"/>
  <c r="BK301" i="1"/>
  <c r="BJ301" i="1"/>
  <c r="BI301" i="1"/>
  <c r="CB301" i="1" s="1"/>
  <c r="BH301" i="1"/>
  <c r="BG301" i="1"/>
  <c r="BF301" i="1"/>
  <c r="BS301" i="1" s="1"/>
  <c r="BE301" i="1"/>
  <c r="BR301" i="1" s="1"/>
  <c r="BD301" i="1"/>
  <c r="BQ301" i="1" s="1"/>
  <c r="BC301" i="1"/>
  <c r="BP301" i="1" s="1"/>
  <c r="BB301" i="1"/>
  <c r="BO301" i="1" s="1"/>
  <c r="BA301" i="1"/>
  <c r="BN301" i="1" s="1"/>
  <c r="AZ301" i="1"/>
  <c r="BZ301" i="1" s="1"/>
  <c r="AY301" i="1"/>
  <c r="BY301" i="1" s="1"/>
  <c r="AX301" i="1"/>
  <c r="AW301" i="1"/>
  <c r="AV301" i="1"/>
  <c r="BW301" i="1" s="1"/>
  <c r="BM300" i="1"/>
  <c r="BV300" i="1" s="1"/>
  <c r="BL300" i="1"/>
  <c r="BT300" i="1" s="1"/>
  <c r="BK300" i="1"/>
  <c r="BJ300" i="1"/>
  <c r="BI300" i="1"/>
  <c r="CB300" i="1" s="1"/>
  <c r="BH300" i="1"/>
  <c r="BG300" i="1"/>
  <c r="BF300" i="1"/>
  <c r="BS300" i="1" s="1"/>
  <c r="BE300" i="1"/>
  <c r="BR300" i="1" s="1"/>
  <c r="BD300" i="1"/>
  <c r="BQ300" i="1" s="1"/>
  <c r="BC300" i="1"/>
  <c r="BP300" i="1" s="1"/>
  <c r="BB300" i="1"/>
  <c r="BO300" i="1" s="1"/>
  <c r="BA300" i="1"/>
  <c r="BN300" i="1" s="1"/>
  <c r="AZ300" i="1"/>
  <c r="BZ300" i="1" s="1"/>
  <c r="AY300" i="1"/>
  <c r="BY300" i="1" s="1"/>
  <c r="AX300" i="1"/>
  <c r="AW300" i="1"/>
  <c r="AV300" i="1"/>
  <c r="BW300" i="1" s="1"/>
  <c r="BM299" i="1"/>
  <c r="BV299" i="1" s="1"/>
  <c r="BL299" i="1"/>
  <c r="BT299" i="1" s="1"/>
  <c r="BK299" i="1"/>
  <c r="BJ299" i="1"/>
  <c r="BI299" i="1"/>
  <c r="CB299" i="1" s="1"/>
  <c r="BH299" i="1"/>
  <c r="BG299" i="1"/>
  <c r="BF299" i="1"/>
  <c r="BS299" i="1" s="1"/>
  <c r="BE299" i="1"/>
  <c r="BR299" i="1" s="1"/>
  <c r="BD299" i="1"/>
  <c r="BQ299" i="1" s="1"/>
  <c r="BC299" i="1"/>
  <c r="BP299" i="1" s="1"/>
  <c r="BB299" i="1"/>
  <c r="BO299" i="1" s="1"/>
  <c r="BA299" i="1"/>
  <c r="BN299" i="1" s="1"/>
  <c r="AZ299" i="1"/>
  <c r="BZ299" i="1" s="1"/>
  <c r="AY299" i="1"/>
  <c r="BY299" i="1" s="1"/>
  <c r="AX299" i="1"/>
  <c r="AW299" i="1"/>
  <c r="AV299" i="1"/>
  <c r="BW299" i="1" s="1"/>
  <c r="BM298" i="1"/>
  <c r="BV298" i="1" s="1"/>
  <c r="BL298" i="1"/>
  <c r="BT298" i="1" s="1"/>
  <c r="BK298" i="1"/>
  <c r="BJ298" i="1"/>
  <c r="BI298" i="1"/>
  <c r="CB298" i="1" s="1"/>
  <c r="BH298" i="1"/>
  <c r="BG298" i="1"/>
  <c r="BF298" i="1"/>
  <c r="BS298" i="1" s="1"/>
  <c r="BE298" i="1"/>
  <c r="BR298" i="1" s="1"/>
  <c r="BD298" i="1"/>
  <c r="BQ298" i="1" s="1"/>
  <c r="BC298" i="1"/>
  <c r="BP298" i="1" s="1"/>
  <c r="BB298" i="1"/>
  <c r="BO298" i="1" s="1"/>
  <c r="BA298" i="1"/>
  <c r="BN298" i="1" s="1"/>
  <c r="AZ298" i="1"/>
  <c r="BZ298" i="1" s="1"/>
  <c r="AY298" i="1"/>
  <c r="BY298" i="1" s="1"/>
  <c r="AX298" i="1"/>
  <c r="AW298" i="1"/>
  <c r="AV298" i="1"/>
  <c r="BM297" i="1"/>
  <c r="BV297" i="1" s="1"/>
  <c r="BL297" i="1"/>
  <c r="BT297" i="1" s="1"/>
  <c r="BK297" i="1"/>
  <c r="BJ297" i="1"/>
  <c r="BI297" i="1"/>
  <c r="CB297" i="1" s="1"/>
  <c r="BH297" i="1"/>
  <c r="BG297" i="1"/>
  <c r="BF297" i="1"/>
  <c r="BS297" i="1" s="1"/>
  <c r="BE297" i="1"/>
  <c r="BR297" i="1" s="1"/>
  <c r="BD297" i="1"/>
  <c r="BQ297" i="1" s="1"/>
  <c r="BC297" i="1"/>
  <c r="BP297" i="1" s="1"/>
  <c r="BB297" i="1"/>
  <c r="BO297" i="1" s="1"/>
  <c r="BA297" i="1"/>
  <c r="BN297" i="1" s="1"/>
  <c r="AZ297" i="1"/>
  <c r="BZ297" i="1" s="1"/>
  <c r="AY297" i="1"/>
  <c r="BY297" i="1" s="1"/>
  <c r="AX297" i="1"/>
  <c r="AW297" i="1"/>
  <c r="AV297" i="1"/>
  <c r="BW297" i="1" s="1"/>
  <c r="BM296" i="1"/>
  <c r="BV296" i="1" s="1"/>
  <c r="BL296" i="1"/>
  <c r="BT296" i="1" s="1"/>
  <c r="BK296" i="1"/>
  <c r="BJ296" i="1"/>
  <c r="BI296" i="1"/>
  <c r="CB296" i="1" s="1"/>
  <c r="BH296" i="1"/>
  <c r="BG296" i="1"/>
  <c r="BF296" i="1"/>
  <c r="BS296" i="1" s="1"/>
  <c r="BE296" i="1"/>
  <c r="BR296" i="1" s="1"/>
  <c r="BD296" i="1"/>
  <c r="BQ296" i="1" s="1"/>
  <c r="BC296" i="1"/>
  <c r="BP296" i="1" s="1"/>
  <c r="BB296" i="1"/>
  <c r="BO296" i="1" s="1"/>
  <c r="BA296" i="1"/>
  <c r="BN296" i="1" s="1"/>
  <c r="AZ296" i="1"/>
  <c r="BZ296" i="1" s="1"/>
  <c r="AY296" i="1"/>
  <c r="BY296" i="1" s="1"/>
  <c r="AX296" i="1"/>
  <c r="AW296" i="1"/>
  <c r="AV296" i="1"/>
  <c r="BM295" i="1"/>
  <c r="BV295" i="1" s="1"/>
  <c r="BL295" i="1"/>
  <c r="BT295" i="1" s="1"/>
  <c r="BK295" i="1"/>
  <c r="BJ295" i="1"/>
  <c r="BI295" i="1"/>
  <c r="CB295" i="1" s="1"/>
  <c r="BH295" i="1"/>
  <c r="BG295" i="1"/>
  <c r="BF295" i="1"/>
  <c r="BS295" i="1" s="1"/>
  <c r="BE295" i="1"/>
  <c r="BR295" i="1" s="1"/>
  <c r="BD295" i="1"/>
  <c r="BQ295" i="1" s="1"/>
  <c r="BC295" i="1"/>
  <c r="BP295" i="1" s="1"/>
  <c r="BB295" i="1"/>
  <c r="BO295" i="1" s="1"/>
  <c r="BA295" i="1"/>
  <c r="BN295" i="1" s="1"/>
  <c r="AZ295" i="1"/>
  <c r="BZ295" i="1" s="1"/>
  <c r="AY295" i="1"/>
  <c r="BY295" i="1" s="1"/>
  <c r="AX295" i="1"/>
  <c r="AW295" i="1"/>
  <c r="AV295" i="1"/>
  <c r="BW295" i="1" s="1"/>
  <c r="BM294" i="1"/>
  <c r="BV294" i="1" s="1"/>
  <c r="BL294" i="1"/>
  <c r="BT294" i="1" s="1"/>
  <c r="BK294" i="1"/>
  <c r="BJ294" i="1"/>
  <c r="BI294" i="1"/>
  <c r="CB294" i="1" s="1"/>
  <c r="BH294" i="1"/>
  <c r="BG294" i="1"/>
  <c r="BF294" i="1"/>
  <c r="BS294" i="1" s="1"/>
  <c r="BE294" i="1"/>
  <c r="BR294" i="1" s="1"/>
  <c r="BD294" i="1"/>
  <c r="BQ294" i="1" s="1"/>
  <c r="BC294" i="1"/>
  <c r="BP294" i="1" s="1"/>
  <c r="BB294" i="1"/>
  <c r="BO294" i="1" s="1"/>
  <c r="BA294" i="1"/>
  <c r="BN294" i="1" s="1"/>
  <c r="AZ294" i="1"/>
  <c r="BZ294" i="1" s="1"/>
  <c r="AY294" i="1"/>
  <c r="BY294" i="1" s="1"/>
  <c r="AX294" i="1"/>
  <c r="AW294" i="1"/>
  <c r="AV294" i="1"/>
  <c r="BW294" i="1" s="1"/>
  <c r="BM293" i="1"/>
  <c r="BV293" i="1" s="1"/>
  <c r="BL293" i="1"/>
  <c r="BT293" i="1" s="1"/>
  <c r="BK293" i="1"/>
  <c r="BJ293" i="1"/>
  <c r="BI293" i="1"/>
  <c r="CB293" i="1" s="1"/>
  <c r="BH293" i="1"/>
  <c r="BG293" i="1"/>
  <c r="BF293" i="1"/>
  <c r="BS293" i="1" s="1"/>
  <c r="BE293" i="1"/>
  <c r="BR293" i="1" s="1"/>
  <c r="BD293" i="1"/>
  <c r="BQ293" i="1" s="1"/>
  <c r="BC293" i="1"/>
  <c r="BP293" i="1" s="1"/>
  <c r="BB293" i="1"/>
  <c r="BO293" i="1" s="1"/>
  <c r="BA293" i="1"/>
  <c r="BN293" i="1" s="1"/>
  <c r="AZ293" i="1"/>
  <c r="BZ293" i="1" s="1"/>
  <c r="AY293" i="1"/>
  <c r="BY293" i="1" s="1"/>
  <c r="AX293" i="1"/>
  <c r="AW293" i="1"/>
  <c r="AV293" i="1"/>
  <c r="BW293" i="1" s="1"/>
  <c r="BM292" i="1"/>
  <c r="BV292" i="1" s="1"/>
  <c r="BL292" i="1"/>
  <c r="BT292" i="1" s="1"/>
  <c r="BK292" i="1"/>
  <c r="BJ292" i="1"/>
  <c r="BI292" i="1"/>
  <c r="CB292" i="1" s="1"/>
  <c r="BH292" i="1"/>
  <c r="BG292" i="1"/>
  <c r="BF292" i="1"/>
  <c r="BS292" i="1" s="1"/>
  <c r="BE292" i="1"/>
  <c r="BR292" i="1" s="1"/>
  <c r="BD292" i="1"/>
  <c r="BQ292" i="1" s="1"/>
  <c r="BC292" i="1"/>
  <c r="BP292" i="1" s="1"/>
  <c r="BB292" i="1"/>
  <c r="BO292" i="1" s="1"/>
  <c r="BA292" i="1"/>
  <c r="BN292" i="1" s="1"/>
  <c r="AZ292" i="1"/>
  <c r="BZ292" i="1" s="1"/>
  <c r="AY292" i="1"/>
  <c r="BY292" i="1" s="1"/>
  <c r="AX292" i="1"/>
  <c r="AW292" i="1"/>
  <c r="AV292" i="1"/>
  <c r="BW292" i="1" s="1"/>
  <c r="BM291" i="1"/>
  <c r="BV291" i="1" s="1"/>
  <c r="BL291" i="1"/>
  <c r="BT291" i="1" s="1"/>
  <c r="BK291" i="1"/>
  <c r="BJ291" i="1"/>
  <c r="BI291" i="1"/>
  <c r="CB291" i="1" s="1"/>
  <c r="BH291" i="1"/>
  <c r="BG291" i="1"/>
  <c r="BF291" i="1"/>
  <c r="BS291" i="1" s="1"/>
  <c r="BE291" i="1"/>
  <c r="BR291" i="1" s="1"/>
  <c r="BD291" i="1"/>
  <c r="BQ291" i="1" s="1"/>
  <c r="BC291" i="1"/>
  <c r="BP291" i="1" s="1"/>
  <c r="BB291" i="1"/>
  <c r="BO291" i="1" s="1"/>
  <c r="BA291" i="1"/>
  <c r="BN291" i="1" s="1"/>
  <c r="AZ291" i="1"/>
  <c r="BZ291" i="1" s="1"/>
  <c r="AY291" i="1"/>
  <c r="BY291" i="1" s="1"/>
  <c r="AX291" i="1"/>
  <c r="AW291" i="1"/>
  <c r="AV291" i="1"/>
  <c r="BM290" i="1"/>
  <c r="BV290" i="1" s="1"/>
  <c r="BL290" i="1"/>
  <c r="BT290" i="1" s="1"/>
  <c r="BK290" i="1"/>
  <c r="BJ290" i="1"/>
  <c r="BI290" i="1"/>
  <c r="CB290" i="1" s="1"/>
  <c r="BH290" i="1"/>
  <c r="BG290" i="1"/>
  <c r="BF290" i="1"/>
  <c r="BS290" i="1" s="1"/>
  <c r="BE290" i="1"/>
  <c r="BR290" i="1" s="1"/>
  <c r="BD290" i="1"/>
  <c r="BQ290" i="1" s="1"/>
  <c r="BC290" i="1"/>
  <c r="BP290" i="1" s="1"/>
  <c r="BB290" i="1"/>
  <c r="BO290" i="1" s="1"/>
  <c r="BA290" i="1"/>
  <c r="BN290" i="1" s="1"/>
  <c r="AZ290" i="1"/>
  <c r="BZ290" i="1" s="1"/>
  <c r="AY290" i="1"/>
  <c r="BY290" i="1" s="1"/>
  <c r="AX290" i="1"/>
  <c r="AW290" i="1"/>
  <c r="AV290" i="1"/>
  <c r="BW290" i="1" s="1"/>
  <c r="BM289" i="1"/>
  <c r="BV289" i="1" s="1"/>
  <c r="BL289" i="1"/>
  <c r="BT289" i="1" s="1"/>
  <c r="BK289" i="1"/>
  <c r="BJ289" i="1"/>
  <c r="BI289" i="1"/>
  <c r="CB289" i="1" s="1"/>
  <c r="BH289" i="1"/>
  <c r="BG289" i="1"/>
  <c r="BF289" i="1"/>
  <c r="BS289" i="1" s="1"/>
  <c r="BE289" i="1"/>
  <c r="BR289" i="1" s="1"/>
  <c r="BD289" i="1"/>
  <c r="BQ289" i="1" s="1"/>
  <c r="BC289" i="1"/>
  <c r="BP289" i="1" s="1"/>
  <c r="BB289" i="1"/>
  <c r="BO289" i="1" s="1"/>
  <c r="BA289" i="1"/>
  <c r="BN289" i="1" s="1"/>
  <c r="AZ289" i="1"/>
  <c r="BZ289" i="1" s="1"/>
  <c r="AY289" i="1"/>
  <c r="BY289" i="1" s="1"/>
  <c r="AX289" i="1"/>
  <c r="AW289" i="1"/>
  <c r="AV289" i="1"/>
  <c r="BM288" i="1"/>
  <c r="BV288" i="1" s="1"/>
  <c r="BL288" i="1"/>
  <c r="BT288" i="1" s="1"/>
  <c r="BK288" i="1"/>
  <c r="BJ288" i="1"/>
  <c r="BI288" i="1"/>
  <c r="CB288" i="1" s="1"/>
  <c r="BH288" i="1"/>
  <c r="BG288" i="1"/>
  <c r="BF288" i="1"/>
  <c r="BS288" i="1" s="1"/>
  <c r="BE288" i="1"/>
  <c r="BR288" i="1" s="1"/>
  <c r="BD288" i="1"/>
  <c r="BQ288" i="1" s="1"/>
  <c r="BC288" i="1"/>
  <c r="BP288" i="1" s="1"/>
  <c r="BB288" i="1"/>
  <c r="BO288" i="1" s="1"/>
  <c r="BA288" i="1"/>
  <c r="BN288" i="1" s="1"/>
  <c r="AZ288" i="1"/>
  <c r="BZ288" i="1" s="1"/>
  <c r="AY288" i="1"/>
  <c r="BY288" i="1" s="1"/>
  <c r="AX288" i="1"/>
  <c r="AW288" i="1"/>
  <c r="AV288" i="1"/>
  <c r="BW288" i="1" s="1"/>
  <c r="BM287" i="1"/>
  <c r="BV287" i="1" s="1"/>
  <c r="BL287" i="1"/>
  <c r="BT287" i="1" s="1"/>
  <c r="BK287" i="1"/>
  <c r="BJ287" i="1"/>
  <c r="BI287" i="1"/>
  <c r="CB287" i="1" s="1"/>
  <c r="BH287" i="1"/>
  <c r="BG287" i="1"/>
  <c r="BF287" i="1"/>
  <c r="BS287" i="1" s="1"/>
  <c r="BE287" i="1"/>
  <c r="BR287" i="1" s="1"/>
  <c r="BD287" i="1"/>
  <c r="BQ287" i="1" s="1"/>
  <c r="BC287" i="1"/>
  <c r="BP287" i="1" s="1"/>
  <c r="BB287" i="1"/>
  <c r="BO287" i="1" s="1"/>
  <c r="BA287" i="1"/>
  <c r="BN287" i="1" s="1"/>
  <c r="AZ287" i="1"/>
  <c r="BZ287" i="1" s="1"/>
  <c r="AY287" i="1"/>
  <c r="BY287" i="1" s="1"/>
  <c r="AX287" i="1"/>
  <c r="AW287" i="1"/>
  <c r="AV287" i="1"/>
  <c r="BW287" i="1" s="1"/>
  <c r="BM286" i="1"/>
  <c r="BV286" i="1" s="1"/>
  <c r="BL286" i="1"/>
  <c r="BT286" i="1" s="1"/>
  <c r="BK286" i="1"/>
  <c r="BJ286" i="1"/>
  <c r="BI286" i="1"/>
  <c r="CB286" i="1" s="1"/>
  <c r="BH286" i="1"/>
  <c r="BG286" i="1"/>
  <c r="BF286" i="1"/>
  <c r="BS286" i="1" s="1"/>
  <c r="BE286" i="1"/>
  <c r="BR286" i="1" s="1"/>
  <c r="BD286" i="1"/>
  <c r="BQ286" i="1" s="1"/>
  <c r="BC286" i="1"/>
  <c r="BP286" i="1" s="1"/>
  <c r="BB286" i="1"/>
  <c r="BO286" i="1" s="1"/>
  <c r="BA286" i="1"/>
  <c r="BN286" i="1" s="1"/>
  <c r="AZ286" i="1"/>
  <c r="BZ286" i="1" s="1"/>
  <c r="AY286" i="1"/>
  <c r="BY286" i="1" s="1"/>
  <c r="AX286" i="1"/>
  <c r="AW286" i="1"/>
  <c r="AV286" i="1"/>
  <c r="BW286" i="1" s="1"/>
  <c r="BM285" i="1"/>
  <c r="BV285" i="1" s="1"/>
  <c r="BL285" i="1"/>
  <c r="BT285" i="1" s="1"/>
  <c r="BK285" i="1"/>
  <c r="BJ285" i="1"/>
  <c r="BI285" i="1"/>
  <c r="CB285" i="1" s="1"/>
  <c r="BH285" i="1"/>
  <c r="BG285" i="1"/>
  <c r="BF285" i="1"/>
  <c r="BS285" i="1" s="1"/>
  <c r="BE285" i="1"/>
  <c r="BR285" i="1" s="1"/>
  <c r="BD285" i="1"/>
  <c r="BQ285" i="1" s="1"/>
  <c r="BC285" i="1"/>
  <c r="BP285" i="1" s="1"/>
  <c r="BB285" i="1"/>
  <c r="BO285" i="1" s="1"/>
  <c r="BA285" i="1"/>
  <c r="BN285" i="1" s="1"/>
  <c r="AZ285" i="1"/>
  <c r="BZ285" i="1" s="1"/>
  <c r="AY285" i="1"/>
  <c r="BY285" i="1" s="1"/>
  <c r="AX285" i="1"/>
  <c r="AW285" i="1"/>
  <c r="AV285" i="1"/>
  <c r="BW285" i="1" s="1"/>
  <c r="BM284" i="1"/>
  <c r="BV284" i="1" s="1"/>
  <c r="BL284" i="1"/>
  <c r="BT284" i="1" s="1"/>
  <c r="BK284" i="1"/>
  <c r="BJ284" i="1"/>
  <c r="BI284" i="1"/>
  <c r="CB284" i="1" s="1"/>
  <c r="BH284" i="1"/>
  <c r="BG284" i="1"/>
  <c r="BF284" i="1"/>
  <c r="BS284" i="1" s="1"/>
  <c r="BE284" i="1"/>
  <c r="BR284" i="1" s="1"/>
  <c r="BD284" i="1"/>
  <c r="BQ284" i="1" s="1"/>
  <c r="BC284" i="1"/>
  <c r="BP284" i="1" s="1"/>
  <c r="BB284" i="1"/>
  <c r="BO284" i="1" s="1"/>
  <c r="BA284" i="1"/>
  <c r="BN284" i="1" s="1"/>
  <c r="AZ284" i="1"/>
  <c r="BZ284" i="1" s="1"/>
  <c r="AY284" i="1"/>
  <c r="BY284" i="1" s="1"/>
  <c r="AX284" i="1"/>
  <c r="AW284" i="1"/>
  <c r="AV284" i="1"/>
  <c r="BM283" i="1"/>
  <c r="BV283" i="1" s="1"/>
  <c r="BL283" i="1"/>
  <c r="BT283" i="1" s="1"/>
  <c r="BK283" i="1"/>
  <c r="BJ283" i="1"/>
  <c r="BI283" i="1"/>
  <c r="CB283" i="1" s="1"/>
  <c r="BH283" i="1"/>
  <c r="BG283" i="1"/>
  <c r="BF283" i="1"/>
  <c r="BS283" i="1" s="1"/>
  <c r="BE283" i="1"/>
  <c r="BR283" i="1" s="1"/>
  <c r="BD283" i="1"/>
  <c r="BQ283" i="1" s="1"/>
  <c r="BC283" i="1"/>
  <c r="BP283" i="1" s="1"/>
  <c r="BB283" i="1"/>
  <c r="BO283" i="1" s="1"/>
  <c r="BA283" i="1"/>
  <c r="BN283" i="1" s="1"/>
  <c r="AZ283" i="1"/>
  <c r="BZ283" i="1" s="1"/>
  <c r="AY283" i="1"/>
  <c r="BY283" i="1" s="1"/>
  <c r="AX283" i="1"/>
  <c r="AW283" i="1"/>
  <c r="AV283" i="1"/>
  <c r="BM282" i="1"/>
  <c r="BV282" i="1" s="1"/>
  <c r="BL282" i="1"/>
  <c r="BT282" i="1" s="1"/>
  <c r="BK282" i="1"/>
  <c r="BJ282" i="1"/>
  <c r="BI282" i="1"/>
  <c r="CB282" i="1" s="1"/>
  <c r="BH282" i="1"/>
  <c r="BG282" i="1"/>
  <c r="BF282" i="1"/>
  <c r="BS282" i="1" s="1"/>
  <c r="BE282" i="1"/>
  <c r="BR282" i="1" s="1"/>
  <c r="BD282" i="1"/>
  <c r="BQ282" i="1" s="1"/>
  <c r="BC282" i="1"/>
  <c r="BP282" i="1" s="1"/>
  <c r="BB282" i="1"/>
  <c r="BO282" i="1" s="1"/>
  <c r="BA282" i="1"/>
  <c r="BN282" i="1" s="1"/>
  <c r="AZ282" i="1"/>
  <c r="BZ282" i="1" s="1"/>
  <c r="AY282" i="1"/>
  <c r="BY282" i="1" s="1"/>
  <c r="AX282" i="1"/>
  <c r="AW282" i="1"/>
  <c r="AV282" i="1"/>
  <c r="BW282" i="1" s="1"/>
  <c r="BM281" i="1"/>
  <c r="BV281" i="1" s="1"/>
  <c r="BL281" i="1"/>
  <c r="BT281" i="1" s="1"/>
  <c r="BK281" i="1"/>
  <c r="BJ281" i="1"/>
  <c r="BI281" i="1"/>
  <c r="CB281" i="1" s="1"/>
  <c r="BH281" i="1"/>
  <c r="BG281" i="1"/>
  <c r="BF281" i="1"/>
  <c r="BS281" i="1" s="1"/>
  <c r="BE281" i="1"/>
  <c r="BR281" i="1" s="1"/>
  <c r="BD281" i="1"/>
  <c r="BQ281" i="1" s="1"/>
  <c r="BC281" i="1"/>
  <c r="BP281" i="1" s="1"/>
  <c r="BB281" i="1"/>
  <c r="BO281" i="1" s="1"/>
  <c r="BA281" i="1"/>
  <c r="BN281" i="1" s="1"/>
  <c r="AZ281" i="1"/>
  <c r="BZ281" i="1" s="1"/>
  <c r="AY281" i="1"/>
  <c r="BY281" i="1" s="1"/>
  <c r="AX281" i="1"/>
  <c r="AW281" i="1"/>
  <c r="AV281" i="1"/>
  <c r="BW281" i="1" s="1"/>
  <c r="BM280" i="1"/>
  <c r="BV280" i="1" s="1"/>
  <c r="BL280" i="1"/>
  <c r="BT280" i="1" s="1"/>
  <c r="BK280" i="1"/>
  <c r="BJ280" i="1"/>
  <c r="BI280" i="1"/>
  <c r="CB280" i="1" s="1"/>
  <c r="BH280" i="1"/>
  <c r="BG280" i="1"/>
  <c r="BF280" i="1"/>
  <c r="BS280" i="1" s="1"/>
  <c r="BE280" i="1"/>
  <c r="BR280" i="1" s="1"/>
  <c r="BD280" i="1"/>
  <c r="BQ280" i="1" s="1"/>
  <c r="BC280" i="1"/>
  <c r="BP280" i="1" s="1"/>
  <c r="BB280" i="1"/>
  <c r="BO280" i="1" s="1"/>
  <c r="BA280" i="1"/>
  <c r="BN280" i="1" s="1"/>
  <c r="AZ280" i="1"/>
  <c r="BZ280" i="1" s="1"/>
  <c r="AY280" i="1"/>
  <c r="BY280" i="1" s="1"/>
  <c r="AX280" i="1"/>
  <c r="AW280" i="1"/>
  <c r="AV280" i="1"/>
  <c r="BM279" i="1"/>
  <c r="BV279" i="1" s="1"/>
  <c r="BL279" i="1"/>
  <c r="BT279" i="1" s="1"/>
  <c r="BK279" i="1"/>
  <c r="BJ279" i="1"/>
  <c r="BI279" i="1"/>
  <c r="CB279" i="1" s="1"/>
  <c r="BH279" i="1"/>
  <c r="BG279" i="1"/>
  <c r="BF279" i="1"/>
  <c r="BS279" i="1" s="1"/>
  <c r="BE279" i="1"/>
  <c r="BR279" i="1" s="1"/>
  <c r="BD279" i="1"/>
  <c r="BQ279" i="1" s="1"/>
  <c r="BC279" i="1"/>
  <c r="BP279" i="1" s="1"/>
  <c r="BB279" i="1"/>
  <c r="BO279" i="1" s="1"/>
  <c r="BA279" i="1"/>
  <c r="BN279" i="1" s="1"/>
  <c r="AZ279" i="1"/>
  <c r="BZ279" i="1" s="1"/>
  <c r="AY279" i="1"/>
  <c r="BY279" i="1" s="1"/>
  <c r="AX279" i="1"/>
  <c r="AW279" i="1"/>
  <c r="AV279" i="1"/>
  <c r="BM278" i="1"/>
  <c r="BV278" i="1" s="1"/>
  <c r="BL278" i="1"/>
  <c r="BT278" i="1" s="1"/>
  <c r="BK278" i="1"/>
  <c r="BJ278" i="1"/>
  <c r="BI278" i="1"/>
  <c r="CB278" i="1" s="1"/>
  <c r="BH278" i="1"/>
  <c r="BG278" i="1"/>
  <c r="BF278" i="1"/>
  <c r="BS278" i="1" s="1"/>
  <c r="BE278" i="1"/>
  <c r="BR278" i="1" s="1"/>
  <c r="BD278" i="1"/>
  <c r="BQ278" i="1" s="1"/>
  <c r="BC278" i="1"/>
  <c r="BP278" i="1" s="1"/>
  <c r="BB278" i="1"/>
  <c r="BO278" i="1" s="1"/>
  <c r="BA278" i="1"/>
  <c r="BN278" i="1" s="1"/>
  <c r="AZ278" i="1"/>
  <c r="BZ278" i="1" s="1"/>
  <c r="AY278" i="1"/>
  <c r="BY278" i="1" s="1"/>
  <c r="AX278" i="1"/>
  <c r="AW278" i="1"/>
  <c r="AV278" i="1"/>
  <c r="BM277" i="1"/>
  <c r="BV277" i="1" s="1"/>
  <c r="BL277" i="1"/>
  <c r="BT277" i="1" s="1"/>
  <c r="BK277" i="1"/>
  <c r="BJ277" i="1"/>
  <c r="BI277" i="1"/>
  <c r="CB277" i="1" s="1"/>
  <c r="BH277" i="1"/>
  <c r="BG277" i="1"/>
  <c r="BF277" i="1"/>
  <c r="BS277" i="1" s="1"/>
  <c r="BE277" i="1"/>
  <c r="BR277" i="1" s="1"/>
  <c r="BD277" i="1"/>
  <c r="BQ277" i="1" s="1"/>
  <c r="BC277" i="1"/>
  <c r="BP277" i="1" s="1"/>
  <c r="BB277" i="1"/>
  <c r="BO277" i="1" s="1"/>
  <c r="BA277" i="1"/>
  <c r="BN277" i="1" s="1"/>
  <c r="AZ277" i="1"/>
  <c r="BZ277" i="1" s="1"/>
  <c r="AY277" i="1"/>
  <c r="BY277" i="1" s="1"/>
  <c r="AX277" i="1"/>
  <c r="AW277" i="1"/>
  <c r="AV277" i="1"/>
  <c r="BM276" i="1"/>
  <c r="BV276" i="1" s="1"/>
  <c r="BL276" i="1"/>
  <c r="BT276" i="1" s="1"/>
  <c r="BK276" i="1"/>
  <c r="BJ276" i="1"/>
  <c r="BI276" i="1"/>
  <c r="CB276" i="1" s="1"/>
  <c r="BH276" i="1"/>
  <c r="BG276" i="1"/>
  <c r="BF276" i="1"/>
  <c r="BS276" i="1" s="1"/>
  <c r="BE276" i="1"/>
  <c r="BR276" i="1" s="1"/>
  <c r="BD276" i="1"/>
  <c r="BQ276" i="1" s="1"/>
  <c r="BC276" i="1"/>
  <c r="BP276" i="1" s="1"/>
  <c r="BB276" i="1"/>
  <c r="BO276" i="1" s="1"/>
  <c r="BA276" i="1"/>
  <c r="BN276" i="1" s="1"/>
  <c r="AZ276" i="1"/>
  <c r="BZ276" i="1" s="1"/>
  <c r="AY276" i="1"/>
  <c r="BY276" i="1" s="1"/>
  <c r="AX276" i="1"/>
  <c r="AW276" i="1"/>
  <c r="AV276" i="1"/>
  <c r="BM275" i="1"/>
  <c r="BV275" i="1" s="1"/>
  <c r="BL275" i="1"/>
  <c r="BT275" i="1" s="1"/>
  <c r="BK275" i="1"/>
  <c r="BJ275" i="1"/>
  <c r="BI275" i="1"/>
  <c r="CB275" i="1" s="1"/>
  <c r="BH275" i="1"/>
  <c r="BG275" i="1"/>
  <c r="BF275" i="1"/>
  <c r="BS275" i="1" s="1"/>
  <c r="BE275" i="1"/>
  <c r="BR275" i="1" s="1"/>
  <c r="BD275" i="1"/>
  <c r="BQ275" i="1" s="1"/>
  <c r="BC275" i="1"/>
  <c r="BP275" i="1" s="1"/>
  <c r="BB275" i="1"/>
  <c r="BO275" i="1" s="1"/>
  <c r="BA275" i="1"/>
  <c r="BN275" i="1" s="1"/>
  <c r="AZ275" i="1"/>
  <c r="BZ275" i="1" s="1"/>
  <c r="AY275" i="1"/>
  <c r="BY275" i="1" s="1"/>
  <c r="AX275" i="1"/>
  <c r="AW275" i="1"/>
  <c r="AV275" i="1"/>
  <c r="BW275" i="1" s="1"/>
  <c r="BM274" i="1"/>
  <c r="BV274" i="1" s="1"/>
  <c r="BL274" i="1"/>
  <c r="BT274" i="1" s="1"/>
  <c r="BK274" i="1"/>
  <c r="BJ274" i="1"/>
  <c r="BI274" i="1"/>
  <c r="CB274" i="1" s="1"/>
  <c r="BH274" i="1"/>
  <c r="BG274" i="1"/>
  <c r="BF274" i="1"/>
  <c r="BS274" i="1" s="1"/>
  <c r="BE274" i="1"/>
  <c r="BR274" i="1" s="1"/>
  <c r="BD274" i="1"/>
  <c r="BQ274" i="1" s="1"/>
  <c r="BC274" i="1"/>
  <c r="BP274" i="1" s="1"/>
  <c r="BB274" i="1"/>
  <c r="BO274" i="1" s="1"/>
  <c r="BA274" i="1"/>
  <c r="BN274" i="1" s="1"/>
  <c r="AZ274" i="1"/>
  <c r="BZ274" i="1" s="1"/>
  <c r="AY274" i="1"/>
  <c r="BY274" i="1" s="1"/>
  <c r="AX274" i="1"/>
  <c r="AW274" i="1"/>
  <c r="AV274" i="1"/>
  <c r="BW274" i="1" s="1"/>
  <c r="BM273" i="1"/>
  <c r="BV273" i="1" s="1"/>
  <c r="BL273" i="1"/>
  <c r="BT273" i="1" s="1"/>
  <c r="BK273" i="1"/>
  <c r="BJ273" i="1"/>
  <c r="BI273" i="1"/>
  <c r="CB273" i="1" s="1"/>
  <c r="BH273" i="1"/>
  <c r="BG273" i="1"/>
  <c r="BF273" i="1"/>
  <c r="BS273" i="1" s="1"/>
  <c r="BE273" i="1"/>
  <c r="BR273" i="1" s="1"/>
  <c r="BD273" i="1"/>
  <c r="BQ273" i="1" s="1"/>
  <c r="BC273" i="1"/>
  <c r="BP273" i="1" s="1"/>
  <c r="BB273" i="1"/>
  <c r="BO273" i="1" s="1"/>
  <c r="BA273" i="1"/>
  <c r="BN273" i="1" s="1"/>
  <c r="AZ273" i="1"/>
  <c r="BZ273" i="1" s="1"/>
  <c r="AY273" i="1"/>
  <c r="BY273" i="1" s="1"/>
  <c r="AX273" i="1"/>
  <c r="AW273" i="1"/>
  <c r="AV273" i="1"/>
  <c r="BW273" i="1" s="1"/>
  <c r="BM272" i="1"/>
  <c r="BV272" i="1" s="1"/>
  <c r="BL272" i="1"/>
  <c r="BT272" i="1" s="1"/>
  <c r="BK272" i="1"/>
  <c r="BJ272" i="1"/>
  <c r="BI272" i="1"/>
  <c r="CB272" i="1" s="1"/>
  <c r="BH272" i="1"/>
  <c r="BG272" i="1"/>
  <c r="BF272" i="1"/>
  <c r="BS272" i="1" s="1"/>
  <c r="BE272" i="1"/>
  <c r="BR272" i="1" s="1"/>
  <c r="BD272" i="1"/>
  <c r="BQ272" i="1" s="1"/>
  <c r="BC272" i="1"/>
  <c r="BP272" i="1" s="1"/>
  <c r="BB272" i="1"/>
  <c r="BO272" i="1" s="1"/>
  <c r="BA272" i="1"/>
  <c r="BN272" i="1" s="1"/>
  <c r="AZ272" i="1"/>
  <c r="BZ272" i="1" s="1"/>
  <c r="AY272" i="1"/>
  <c r="BY272" i="1" s="1"/>
  <c r="AX272" i="1"/>
  <c r="AW272" i="1"/>
  <c r="AV272" i="1"/>
  <c r="BM271" i="1"/>
  <c r="BV271" i="1" s="1"/>
  <c r="BL271" i="1"/>
  <c r="BT271" i="1" s="1"/>
  <c r="BK271" i="1"/>
  <c r="BJ271" i="1"/>
  <c r="BI271" i="1"/>
  <c r="CB271" i="1" s="1"/>
  <c r="BH271" i="1"/>
  <c r="BG271" i="1"/>
  <c r="BF271" i="1"/>
  <c r="BS271" i="1" s="1"/>
  <c r="BE271" i="1"/>
  <c r="BR271" i="1" s="1"/>
  <c r="BD271" i="1"/>
  <c r="BQ271" i="1" s="1"/>
  <c r="BC271" i="1"/>
  <c r="BP271" i="1" s="1"/>
  <c r="BB271" i="1"/>
  <c r="BO271" i="1" s="1"/>
  <c r="BA271" i="1"/>
  <c r="BN271" i="1" s="1"/>
  <c r="AZ271" i="1"/>
  <c r="BZ271" i="1" s="1"/>
  <c r="AY271" i="1"/>
  <c r="BY271" i="1" s="1"/>
  <c r="AX271" i="1"/>
  <c r="AW271" i="1"/>
  <c r="AV271" i="1"/>
  <c r="BW271" i="1" s="1"/>
  <c r="BM270" i="1"/>
  <c r="BV270" i="1" s="1"/>
  <c r="BL270" i="1"/>
  <c r="BT270" i="1" s="1"/>
  <c r="BK270" i="1"/>
  <c r="BJ270" i="1"/>
  <c r="BI270" i="1"/>
  <c r="CB270" i="1" s="1"/>
  <c r="BH270" i="1"/>
  <c r="BG270" i="1"/>
  <c r="BF270" i="1"/>
  <c r="BS270" i="1" s="1"/>
  <c r="BE270" i="1"/>
  <c r="BR270" i="1" s="1"/>
  <c r="BD270" i="1"/>
  <c r="BQ270" i="1" s="1"/>
  <c r="BC270" i="1"/>
  <c r="BP270" i="1" s="1"/>
  <c r="BB270" i="1"/>
  <c r="BO270" i="1" s="1"/>
  <c r="BA270" i="1"/>
  <c r="BN270" i="1" s="1"/>
  <c r="AZ270" i="1"/>
  <c r="BZ270" i="1" s="1"/>
  <c r="AY270" i="1"/>
  <c r="BY270" i="1" s="1"/>
  <c r="AX270" i="1"/>
  <c r="AW270" i="1"/>
  <c r="AV270" i="1"/>
  <c r="BW270" i="1" s="1"/>
  <c r="BM269" i="1"/>
  <c r="BV269" i="1" s="1"/>
  <c r="BL269" i="1"/>
  <c r="BT269" i="1" s="1"/>
  <c r="BK269" i="1"/>
  <c r="BJ269" i="1"/>
  <c r="BI269" i="1"/>
  <c r="CB269" i="1" s="1"/>
  <c r="BH269" i="1"/>
  <c r="BG269" i="1"/>
  <c r="BF269" i="1"/>
  <c r="BS269" i="1" s="1"/>
  <c r="BE269" i="1"/>
  <c r="BR269" i="1" s="1"/>
  <c r="BD269" i="1"/>
  <c r="BQ269" i="1" s="1"/>
  <c r="BC269" i="1"/>
  <c r="BP269" i="1" s="1"/>
  <c r="BB269" i="1"/>
  <c r="BO269" i="1" s="1"/>
  <c r="BA269" i="1"/>
  <c r="BN269" i="1" s="1"/>
  <c r="AZ269" i="1"/>
  <c r="BZ269" i="1" s="1"/>
  <c r="AY269" i="1"/>
  <c r="BY269" i="1" s="1"/>
  <c r="AX269" i="1"/>
  <c r="AW269" i="1"/>
  <c r="AV269" i="1"/>
  <c r="BM268" i="1"/>
  <c r="BV268" i="1" s="1"/>
  <c r="BL268" i="1"/>
  <c r="BT268" i="1" s="1"/>
  <c r="BK268" i="1"/>
  <c r="BJ268" i="1"/>
  <c r="BI268" i="1"/>
  <c r="CB268" i="1" s="1"/>
  <c r="BH268" i="1"/>
  <c r="BG268" i="1"/>
  <c r="BF268" i="1"/>
  <c r="BS268" i="1" s="1"/>
  <c r="BE268" i="1"/>
  <c r="BR268" i="1" s="1"/>
  <c r="BD268" i="1"/>
  <c r="BQ268" i="1" s="1"/>
  <c r="BC268" i="1"/>
  <c r="BP268" i="1" s="1"/>
  <c r="BB268" i="1"/>
  <c r="BO268" i="1" s="1"/>
  <c r="BA268" i="1"/>
  <c r="BN268" i="1" s="1"/>
  <c r="AZ268" i="1"/>
  <c r="BZ268" i="1" s="1"/>
  <c r="AY268" i="1"/>
  <c r="BY268" i="1" s="1"/>
  <c r="AX268" i="1"/>
  <c r="AW268" i="1"/>
  <c r="AV268" i="1"/>
  <c r="BW268" i="1" s="1"/>
  <c r="BM267" i="1"/>
  <c r="BV267" i="1" s="1"/>
  <c r="BL267" i="1"/>
  <c r="BT267" i="1" s="1"/>
  <c r="BK267" i="1"/>
  <c r="BJ267" i="1"/>
  <c r="BI267" i="1"/>
  <c r="CB267" i="1" s="1"/>
  <c r="BH267" i="1"/>
  <c r="BG267" i="1"/>
  <c r="BF267" i="1"/>
  <c r="BS267" i="1" s="1"/>
  <c r="BE267" i="1"/>
  <c r="BR267" i="1" s="1"/>
  <c r="BD267" i="1"/>
  <c r="BQ267" i="1" s="1"/>
  <c r="BC267" i="1"/>
  <c r="BP267" i="1" s="1"/>
  <c r="BB267" i="1"/>
  <c r="BO267" i="1" s="1"/>
  <c r="BA267" i="1"/>
  <c r="BN267" i="1" s="1"/>
  <c r="AZ267" i="1"/>
  <c r="BZ267" i="1" s="1"/>
  <c r="AY267" i="1"/>
  <c r="BY267" i="1" s="1"/>
  <c r="AX267" i="1"/>
  <c r="AW267" i="1"/>
  <c r="AV267" i="1"/>
  <c r="BW267" i="1" s="1"/>
  <c r="BM266" i="1"/>
  <c r="BV266" i="1" s="1"/>
  <c r="BL266" i="1"/>
  <c r="BT266" i="1" s="1"/>
  <c r="BK266" i="1"/>
  <c r="BJ266" i="1"/>
  <c r="BI266" i="1"/>
  <c r="CB266" i="1" s="1"/>
  <c r="BH266" i="1"/>
  <c r="BG266" i="1"/>
  <c r="BF266" i="1"/>
  <c r="BS266" i="1" s="1"/>
  <c r="BE266" i="1"/>
  <c r="BR266" i="1" s="1"/>
  <c r="BD266" i="1"/>
  <c r="BQ266" i="1" s="1"/>
  <c r="BC266" i="1"/>
  <c r="BP266" i="1" s="1"/>
  <c r="BB266" i="1"/>
  <c r="BO266" i="1" s="1"/>
  <c r="BA266" i="1"/>
  <c r="BN266" i="1" s="1"/>
  <c r="AZ266" i="1"/>
  <c r="BZ266" i="1" s="1"/>
  <c r="AY266" i="1"/>
  <c r="BY266" i="1" s="1"/>
  <c r="AX266" i="1"/>
  <c r="AW266" i="1"/>
  <c r="AV266" i="1"/>
  <c r="BM265" i="1"/>
  <c r="BV265" i="1" s="1"/>
  <c r="BL265" i="1"/>
  <c r="BT265" i="1" s="1"/>
  <c r="BK265" i="1"/>
  <c r="BJ265" i="1"/>
  <c r="BI265" i="1"/>
  <c r="CB265" i="1" s="1"/>
  <c r="BH265" i="1"/>
  <c r="BG265" i="1"/>
  <c r="BF265" i="1"/>
  <c r="BS265" i="1" s="1"/>
  <c r="BE265" i="1"/>
  <c r="BR265" i="1" s="1"/>
  <c r="BD265" i="1"/>
  <c r="BQ265" i="1" s="1"/>
  <c r="BC265" i="1"/>
  <c r="BP265" i="1" s="1"/>
  <c r="BB265" i="1"/>
  <c r="BO265" i="1" s="1"/>
  <c r="BA265" i="1"/>
  <c r="BN265" i="1" s="1"/>
  <c r="AZ265" i="1"/>
  <c r="BZ265" i="1" s="1"/>
  <c r="AY265" i="1"/>
  <c r="BY265" i="1" s="1"/>
  <c r="AX265" i="1"/>
  <c r="AW265" i="1"/>
  <c r="AV265" i="1"/>
  <c r="BW265" i="1" s="1"/>
  <c r="BM264" i="1"/>
  <c r="BV264" i="1" s="1"/>
  <c r="BL264" i="1"/>
  <c r="BT264" i="1" s="1"/>
  <c r="BK264" i="1"/>
  <c r="BJ264" i="1"/>
  <c r="BI264" i="1"/>
  <c r="CB264" i="1" s="1"/>
  <c r="BH264" i="1"/>
  <c r="BG264" i="1"/>
  <c r="BF264" i="1"/>
  <c r="BS264" i="1" s="1"/>
  <c r="BE264" i="1"/>
  <c r="BR264" i="1" s="1"/>
  <c r="BD264" i="1"/>
  <c r="BQ264" i="1" s="1"/>
  <c r="BC264" i="1"/>
  <c r="BP264" i="1" s="1"/>
  <c r="BB264" i="1"/>
  <c r="BO264" i="1" s="1"/>
  <c r="BA264" i="1"/>
  <c r="BN264" i="1" s="1"/>
  <c r="AZ264" i="1"/>
  <c r="BZ264" i="1" s="1"/>
  <c r="AY264" i="1"/>
  <c r="BY264" i="1" s="1"/>
  <c r="AX264" i="1"/>
  <c r="AW264" i="1"/>
  <c r="AV264" i="1"/>
  <c r="BW264" i="1" s="1"/>
  <c r="BM263" i="1"/>
  <c r="BV263" i="1" s="1"/>
  <c r="BL263" i="1"/>
  <c r="BT263" i="1" s="1"/>
  <c r="BK263" i="1"/>
  <c r="BJ263" i="1"/>
  <c r="BI263" i="1"/>
  <c r="CB263" i="1" s="1"/>
  <c r="BH263" i="1"/>
  <c r="BG263" i="1"/>
  <c r="BF263" i="1"/>
  <c r="BS263" i="1" s="1"/>
  <c r="BE263" i="1"/>
  <c r="BR263" i="1" s="1"/>
  <c r="BD263" i="1"/>
  <c r="BQ263" i="1" s="1"/>
  <c r="BC263" i="1"/>
  <c r="BP263" i="1" s="1"/>
  <c r="BB263" i="1"/>
  <c r="BO263" i="1" s="1"/>
  <c r="BA263" i="1"/>
  <c r="BN263" i="1" s="1"/>
  <c r="AZ263" i="1"/>
  <c r="BZ263" i="1" s="1"/>
  <c r="AY263" i="1"/>
  <c r="BY263" i="1" s="1"/>
  <c r="AX263" i="1"/>
  <c r="AW263" i="1"/>
  <c r="AV263" i="1"/>
  <c r="BW263" i="1" s="1"/>
  <c r="BM262" i="1"/>
  <c r="BV262" i="1" s="1"/>
  <c r="BL262" i="1"/>
  <c r="BT262" i="1" s="1"/>
  <c r="BK262" i="1"/>
  <c r="BJ262" i="1"/>
  <c r="BI262" i="1"/>
  <c r="CB262" i="1" s="1"/>
  <c r="BH262" i="1"/>
  <c r="BG262" i="1"/>
  <c r="BF262" i="1"/>
  <c r="BS262" i="1" s="1"/>
  <c r="BE262" i="1"/>
  <c r="BR262" i="1" s="1"/>
  <c r="BD262" i="1"/>
  <c r="BQ262" i="1" s="1"/>
  <c r="BC262" i="1"/>
  <c r="BP262" i="1" s="1"/>
  <c r="BB262" i="1"/>
  <c r="BO262" i="1" s="1"/>
  <c r="BA262" i="1"/>
  <c r="BN262" i="1" s="1"/>
  <c r="AZ262" i="1"/>
  <c r="BZ262" i="1" s="1"/>
  <c r="AY262" i="1"/>
  <c r="BY262" i="1" s="1"/>
  <c r="AX262" i="1"/>
  <c r="AW262" i="1"/>
  <c r="AV262" i="1"/>
  <c r="BM261" i="1"/>
  <c r="BV261" i="1" s="1"/>
  <c r="BL261" i="1"/>
  <c r="BT261" i="1" s="1"/>
  <c r="BK261" i="1"/>
  <c r="BJ261" i="1"/>
  <c r="BI261" i="1"/>
  <c r="BU261" i="1" s="1"/>
  <c r="BH261" i="1"/>
  <c r="BG261" i="1"/>
  <c r="BF261" i="1"/>
  <c r="BS261" i="1" s="1"/>
  <c r="BE261" i="1"/>
  <c r="BR261" i="1" s="1"/>
  <c r="BD261" i="1"/>
  <c r="BQ261" i="1" s="1"/>
  <c r="BC261" i="1"/>
  <c r="BP261" i="1" s="1"/>
  <c r="BB261" i="1"/>
  <c r="BO261" i="1" s="1"/>
  <c r="BA261" i="1"/>
  <c r="BN261" i="1" s="1"/>
  <c r="AZ261" i="1"/>
  <c r="BZ261" i="1" s="1"/>
  <c r="AY261" i="1"/>
  <c r="BY261" i="1" s="1"/>
  <c r="AX261" i="1"/>
  <c r="CA261" i="1" s="1"/>
  <c r="AW261" i="1"/>
  <c r="AV261" i="1"/>
  <c r="BW261" i="1" s="1"/>
  <c r="BM260" i="1"/>
  <c r="BV260" i="1" s="1"/>
  <c r="BL260" i="1"/>
  <c r="BT260" i="1" s="1"/>
  <c r="BK260" i="1"/>
  <c r="BJ260" i="1"/>
  <c r="BI260" i="1"/>
  <c r="BU260" i="1" s="1"/>
  <c r="BH260" i="1"/>
  <c r="BG260" i="1"/>
  <c r="BF260" i="1"/>
  <c r="BS260" i="1" s="1"/>
  <c r="BE260" i="1"/>
  <c r="BR260" i="1" s="1"/>
  <c r="BD260" i="1"/>
  <c r="BQ260" i="1" s="1"/>
  <c r="BC260" i="1"/>
  <c r="BP260" i="1" s="1"/>
  <c r="BB260" i="1"/>
  <c r="BO260" i="1" s="1"/>
  <c r="BA260" i="1"/>
  <c r="BN260" i="1" s="1"/>
  <c r="AZ260" i="1"/>
  <c r="BZ260" i="1" s="1"/>
  <c r="AY260" i="1"/>
  <c r="BY260" i="1" s="1"/>
  <c r="AX260" i="1"/>
  <c r="CA260" i="1" s="1"/>
  <c r="AW260" i="1"/>
  <c r="AV260" i="1"/>
  <c r="BM259" i="1"/>
  <c r="BV259" i="1" s="1"/>
  <c r="BL259" i="1"/>
  <c r="BT259" i="1" s="1"/>
  <c r="BK259" i="1"/>
  <c r="BJ259" i="1"/>
  <c r="BI259" i="1"/>
  <c r="CB259" i="1" s="1"/>
  <c r="BH259" i="1"/>
  <c r="BG259" i="1"/>
  <c r="BF259" i="1"/>
  <c r="BS259" i="1" s="1"/>
  <c r="BE259" i="1"/>
  <c r="BR259" i="1" s="1"/>
  <c r="BD259" i="1"/>
  <c r="BQ259" i="1" s="1"/>
  <c r="BC259" i="1"/>
  <c r="BP259" i="1" s="1"/>
  <c r="BB259" i="1"/>
  <c r="BO259" i="1" s="1"/>
  <c r="BA259" i="1"/>
  <c r="BN259" i="1" s="1"/>
  <c r="AZ259" i="1"/>
  <c r="BZ259" i="1" s="1"/>
  <c r="AY259" i="1"/>
  <c r="BY259" i="1" s="1"/>
  <c r="AX259" i="1"/>
  <c r="AW259" i="1"/>
  <c r="AV259" i="1"/>
  <c r="BW259" i="1" s="1"/>
  <c r="BM258" i="1"/>
  <c r="BV258" i="1" s="1"/>
  <c r="BL258" i="1"/>
  <c r="BT258" i="1" s="1"/>
  <c r="BK258" i="1"/>
  <c r="BJ258" i="1"/>
  <c r="BI258" i="1"/>
  <c r="CB258" i="1" s="1"/>
  <c r="BH258" i="1"/>
  <c r="BG258" i="1"/>
  <c r="BF258" i="1"/>
  <c r="BS258" i="1" s="1"/>
  <c r="BE258" i="1"/>
  <c r="BR258" i="1" s="1"/>
  <c r="BD258" i="1"/>
  <c r="BQ258" i="1" s="1"/>
  <c r="BC258" i="1"/>
  <c r="BP258" i="1" s="1"/>
  <c r="BB258" i="1"/>
  <c r="BO258" i="1" s="1"/>
  <c r="BA258" i="1"/>
  <c r="BN258" i="1" s="1"/>
  <c r="AZ258" i="1"/>
  <c r="BZ258" i="1" s="1"/>
  <c r="AY258" i="1"/>
  <c r="BY258" i="1" s="1"/>
  <c r="AX258" i="1"/>
  <c r="AW258" i="1"/>
  <c r="AV258" i="1"/>
  <c r="BW258" i="1" s="1"/>
  <c r="BM257" i="1"/>
  <c r="BV257" i="1" s="1"/>
  <c r="BL257" i="1"/>
  <c r="BT257" i="1" s="1"/>
  <c r="BK257" i="1"/>
  <c r="BJ257" i="1"/>
  <c r="BI257" i="1"/>
  <c r="CB257" i="1" s="1"/>
  <c r="BH257" i="1"/>
  <c r="BG257" i="1"/>
  <c r="BF257" i="1"/>
  <c r="BS257" i="1" s="1"/>
  <c r="BE257" i="1"/>
  <c r="BR257" i="1" s="1"/>
  <c r="BD257" i="1"/>
  <c r="BQ257" i="1" s="1"/>
  <c r="BC257" i="1"/>
  <c r="BP257" i="1" s="1"/>
  <c r="BB257" i="1"/>
  <c r="BO257" i="1" s="1"/>
  <c r="BA257" i="1"/>
  <c r="BN257" i="1" s="1"/>
  <c r="AZ257" i="1"/>
  <c r="BZ257" i="1" s="1"/>
  <c r="AY257" i="1"/>
  <c r="BY257" i="1" s="1"/>
  <c r="AX257" i="1"/>
  <c r="AW257" i="1"/>
  <c r="AV257" i="1"/>
  <c r="BW257" i="1" s="1"/>
  <c r="BM256" i="1"/>
  <c r="BV256" i="1" s="1"/>
  <c r="BL256" i="1"/>
  <c r="BT256" i="1" s="1"/>
  <c r="BK256" i="1"/>
  <c r="BJ256" i="1"/>
  <c r="BI256" i="1"/>
  <c r="CB256" i="1" s="1"/>
  <c r="BH256" i="1"/>
  <c r="BG256" i="1"/>
  <c r="BF256" i="1"/>
  <c r="BS256" i="1" s="1"/>
  <c r="BE256" i="1"/>
  <c r="BR256" i="1" s="1"/>
  <c r="BD256" i="1"/>
  <c r="BQ256" i="1" s="1"/>
  <c r="BC256" i="1"/>
  <c r="BP256" i="1" s="1"/>
  <c r="BB256" i="1"/>
  <c r="BO256" i="1" s="1"/>
  <c r="BA256" i="1"/>
  <c r="BN256" i="1" s="1"/>
  <c r="AZ256" i="1"/>
  <c r="BZ256" i="1" s="1"/>
  <c r="AY256" i="1"/>
  <c r="BY256" i="1" s="1"/>
  <c r="AX256" i="1"/>
  <c r="AW256" i="1"/>
  <c r="AV256" i="1"/>
  <c r="BW256" i="1" s="1"/>
  <c r="BM255" i="1"/>
  <c r="BV255" i="1" s="1"/>
  <c r="BL255" i="1"/>
  <c r="BT255" i="1" s="1"/>
  <c r="BK255" i="1"/>
  <c r="BJ255" i="1"/>
  <c r="BI255" i="1"/>
  <c r="CB255" i="1" s="1"/>
  <c r="BH255" i="1"/>
  <c r="BG255" i="1"/>
  <c r="BF255" i="1"/>
  <c r="BS255" i="1" s="1"/>
  <c r="BE255" i="1"/>
  <c r="BR255" i="1" s="1"/>
  <c r="BD255" i="1"/>
  <c r="BQ255" i="1" s="1"/>
  <c r="BC255" i="1"/>
  <c r="BP255" i="1" s="1"/>
  <c r="BB255" i="1"/>
  <c r="BO255" i="1" s="1"/>
  <c r="BA255" i="1"/>
  <c r="BN255" i="1" s="1"/>
  <c r="AZ255" i="1"/>
  <c r="BZ255" i="1" s="1"/>
  <c r="AY255" i="1"/>
  <c r="BY255" i="1" s="1"/>
  <c r="AX255" i="1"/>
  <c r="AW255" i="1"/>
  <c r="AV255" i="1"/>
  <c r="BW255" i="1" s="1"/>
  <c r="BM254" i="1"/>
  <c r="BV254" i="1" s="1"/>
  <c r="BL254" i="1"/>
  <c r="BT254" i="1" s="1"/>
  <c r="BK254" i="1"/>
  <c r="BJ254" i="1"/>
  <c r="BI254" i="1"/>
  <c r="CB254" i="1" s="1"/>
  <c r="BH254" i="1"/>
  <c r="BG254" i="1"/>
  <c r="BF254" i="1"/>
  <c r="BS254" i="1" s="1"/>
  <c r="BE254" i="1"/>
  <c r="BR254" i="1" s="1"/>
  <c r="BD254" i="1"/>
  <c r="BQ254" i="1" s="1"/>
  <c r="BC254" i="1"/>
  <c r="BP254" i="1" s="1"/>
  <c r="BB254" i="1"/>
  <c r="BO254" i="1" s="1"/>
  <c r="BA254" i="1"/>
  <c r="BN254" i="1" s="1"/>
  <c r="AZ254" i="1"/>
  <c r="BZ254" i="1" s="1"/>
  <c r="AY254" i="1"/>
  <c r="BY254" i="1" s="1"/>
  <c r="AX254" i="1"/>
  <c r="AW254" i="1"/>
  <c r="AV254" i="1"/>
  <c r="BW254" i="1" s="1"/>
  <c r="BM253" i="1"/>
  <c r="BV253" i="1" s="1"/>
  <c r="BL253" i="1"/>
  <c r="BT253" i="1" s="1"/>
  <c r="BK253" i="1"/>
  <c r="BJ253" i="1"/>
  <c r="BI253" i="1"/>
  <c r="CB253" i="1" s="1"/>
  <c r="BH253" i="1"/>
  <c r="BG253" i="1"/>
  <c r="BF253" i="1"/>
  <c r="BS253" i="1" s="1"/>
  <c r="BE253" i="1"/>
  <c r="BR253" i="1" s="1"/>
  <c r="BD253" i="1"/>
  <c r="BQ253" i="1" s="1"/>
  <c r="BC253" i="1"/>
  <c r="BP253" i="1" s="1"/>
  <c r="BB253" i="1"/>
  <c r="BO253" i="1" s="1"/>
  <c r="BA253" i="1"/>
  <c r="BN253" i="1" s="1"/>
  <c r="AZ253" i="1"/>
  <c r="BZ253" i="1" s="1"/>
  <c r="AY253" i="1"/>
  <c r="BY253" i="1" s="1"/>
  <c r="AX253" i="1"/>
  <c r="AW253" i="1"/>
  <c r="AV253" i="1"/>
  <c r="BM252" i="1"/>
  <c r="BV252" i="1" s="1"/>
  <c r="BL252" i="1"/>
  <c r="BT252" i="1" s="1"/>
  <c r="BK252" i="1"/>
  <c r="BJ252" i="1"/>
  <c r="BI252" i="1"/>
  <c r="CB252" i="1" s="1"/>
  <c r="BH252" i="1"/>
  <c r="BG252" i="1"/>
  <c r="BF252" i="1"/>
  <c r="BS252" i="1" s="1"/>
  <c r="BE252" i="1"/>
  <c r="BR252" i="1" s="1"/>
  <c r="BD252" i="1"/>
  <c r="BQ252" i="1" s="1"/>
  <c r="BC252" i="1"/>
  <c r="BP252" i="1" s="1"/>
  <c r="BB252" i="1"/>
  <c r="BO252" i="1" s="1"/>
  <c r="BA252" i="1"/>
  <c r="BN252" i="1" s="1"/>
  <c r="AZ252" i="1"/>
  <c r="BZ252" i="1" s="1"/>
  <c r="AY252" i="1"/>
  <c r="BY252" i="1" s="1"/>
  <c r="AX252" i="1"/>
  <c r="AW252" i="1"/>
  <c r="AV252" i="1"/>
  <c r="BW252" i="1" s="1"/>
  <c r="BM251" i="1"/>
  <c r="BV251" i="1" s="1"/>
  <c r="BL251" i="1"/>
  <c r="BT251" i="1" s="1"/>
  <c r="BK251" i="1"/>
  <c r="BJ251" i="1"/>
  <c r="BI251" i="1"/>
  <c r="CB251" i="1" s="1"/>
  <c r="BH251" i="1"/>
  <c r="BG251" i="1"/>
  <c r="BF251" i="1"/>
  <c r="BS251" i="1" s="1"/>
  <c r="BE251" i="1"/>
  <c r="BR251" i="1" s="1"/>
  <c r="BD251" i="1"/>
  <c r="BQ251" i="1" s="1"/>
  <c r="BC251" i="1"/>
  <c r="BP251" i="1" s="1"/>
  <c r="BB251" i="1"/>
  <c r="BO251" i="1" s="1"/>
  <c r="BA251" i="1"/>
  <c r="BN251" i="1" s="1"/>
  <c r="AZ251" i="1"/>
  <c r="BZ251" i="1" s="1"/>
  <c r="AY251" i="1"/>
  <c r="BY251" i="1" s="1"/>
  <c r="AX251" i="1"/>
  <c r="AW251" i="1"/>
  <c r="AV251" i="1"/>
  <c r="BW251" i="1" s="1"/>
  <c r="BM250" i="1"/>
  <c r="BV250" i="1" s="1"/>
  <c r="BL250" i="1"/>
  <c r="BT250" i="1" s="1"/>
  <c r="BK250" i="1"/>
  <c r="BJ250" i="1"/>
  <c r="BI250" i="1"/>
  <c r="CB250" i="1" s="1"/>
  <c r="BH250" i="1"/>
  <c r="BG250" i="1"/>
  <c r="BF250" i="1"/>
  <c r="BS250" i="1" s="1"/>
  <c r="BE250" i="1"/>
  <c r="BR250" i="1" s="1"/>
  <c r="BD250" i="1"/>
  <c r="BQ250" i="1" s="1"/>
  <c r="BC250" i="1"/>
  <c r="BP250" i="1" s="1"/>
  <c r="BB250" i="1"/>
  <c r="BO250" i="1" s="1"/>
  <c r="BA250" i="1"/>
  <c r="BN250" i="1" s="1"/>
  <c r="AZ250" i="1"/>
  <c r="BZ250" i="1" s="1"/>
  <c r="AY250" i="1"/>
  <c r="BY250" i="1" s="1"/>
  <c r="AX250" i="1"/>
  <c r="AW250" i="1"/>
  <c r="AV250" i="1"/>
  <c r="BW250" i="1" s="1"/>
  <c r="BM249" i="1"/>
  <c r="BV249" i="1" s="1"/>
  <c r="BL249" i="1"/>
  <c r="BT249" i="1" s="1"/>
  <c r="BK249" i="1"/>
  <c r="BJ249" i="1"/>
  <c r="BI249" i="1"/>
  <c r="CB249" i="1" s="1"/>
  <c r="BH249" i="1"/>
  <c r="BG249" i="1"/>
  <c r="BF249" i="1"/>
  <c r="BS249" i="1" s="1"/>
  <c r="BE249" i="1"/>
  <c r="BR249" i="1" s="1"/>
  <c r="BD249" i="1"/>
  <c r="BQ249" i="1" s="1"/>
  <c r="BC249" i="1"/>
  <c r="BP249" i="1" s="1"/>
  <c r="BB249" i="1"/>
  <c r="BO249" i="1" s="1"/>
  <c r="BA249" i="1"/>
  <c r="BN249" i="1" s="1"/>
  <c r="AZ249" i="1"/>
  <c r="BZ249" i="1" s="1"/>
  <c r="AY249" i="1"/>
  <c r="BY249" i="1" s="1"/>
  <c r="AX249" i="1"/>
  <c r="AW249" i="1"/>
  <c r="AV249" i="1"/>
  <c r="BM248" i="1"/>
  <c r="BV248" i="1" s="1"/>
  <c r="BL248" i="1"/>
  <c r="BT248" i="1" s="1"/>
  <c r="BK248" i="1"/>
  <c r="BJ248" i="1"/>
  <c r="BI248" i="1"/>
  <c r="CB248" i="1" s="1"/>
  <c r="BH248" i="1"/>
  <c r="BG248" i="1"/>
  <c r="BF248" i="1"/>
  <c r="BS248" i="1" s="1"/>
  <c r="BE248" i="1"/>
  <c r="BR248" i="1" s="1"/>
  <c r="BD248" i="1"/>
  <c r="BQ248" i="1" s="1"/>
  <c r="BC248" i="1"/>
  <c r="BP248" i="1" s="1"/>
  <c r="BB248" i="1"/>
  <c r="BO248" i="1" s="1"/>
  <c r="BA248" i="1"/>
  <c r="BN248" i="1" s="1"/>
  <c r="AZ248" i="1"/>
  <c r="BZ248" i="1" s="1"/>
  <c r="AY248" i="1"/>
  <c r="BY248" i="1" s="1"/>
  <c r="AX248" i="1"/>
  <c r="AW248" i="1"/>
  <c r="AV248" i="1"/>
  <c r="BW248" i="1" s="1"/>
  <c r="BM247" i="1"/>
  <c r="BV247" i="1" s="1"/>
  <c r="BL247" i="1"/>
  <c r="BT247" i="1" s="1"/>
  <c r="BK247" i="1"/>
  <c r="BJ247" i="1"/>
  <c r="BI247" i="1"/>
  <c r="CB247" i="1" s="1"/>
  <c r="BH247" i="1"/>
  <c r="BG247" i="1"/>
  <c r="BF247" i="1"/>
  <c r="BS247" i="1" s="1"/>
  <c r="BE247" i="1"/>
  <c r="BR247" i="1" s="1"/>
  <c r="BD247" i="1"/>
  <c r="BQ247" i="1" s="1"/>
  <c r="BC247" i="1"/>
  <c r="BP247" i="1" s="1"/>
  <c r="BB247" i="1"/>
  <c r="BO247" i="1" s="1"/>
  <c r="BA247" i="1"/>
  <c r="BN247" i="1" s="1"/>
  <c r="AZ247" i="1"/>
  <c r="BZ247" i="1" s="1"/>
  <c r="AY247" i="1"/>
  <c r="BY247" i="1" s="1"/>
  <c r="AX247" i="1"/>
  <c r="AW247" i="1"/>
  <c r="AV247" i="1"/>
  <c r="BM246" i="1"/>
  <c r="BV246" i="1" s="1"/>
  <c r="BL246" i="1"/>
  <c r="BT246" i="1" s="1"/>
  <c r="BK246" i="1"/>
  <c r="BJ246" i="1"/>
  <c r="BI246" i="1"/>
  <c r="CB246" i="1" s="1"/>
  <c r="BH246" i="1"/>
  <c r="BG246" i="1"/>
  <c r="BF246" i="1"/>
  <c r="BS246" i="1" s="1"/>
  <c r="BE246" i="1"/>
  <c r="BR246" i="1" s="1"/>
  <c r="BD246" i="1"/>
  <c r="BQ246" i="1" s="1"/>
  <c r="BC246" i="1"/>
  <c r="BP246" i="1" s="1"/>
  <c r="BB246" i="1"/>
  <c r="BO246" i="1" s="1"/>
  <c r="BA246" i="1"/>
  <c r="BN246" i="1" s="1"/>
  <c r="AZ246" i="1"/>
  <c r="BZ246" i="1" s="1"/>
  <c r="AY246" i="1"/>
  <c r="BY246" i="1" s="1"/>
  <c r="AX246" i="1"/>
  <c r="AW246" i="1"/>
  <c r="AV246" i="1"/>
  <c r="BW246" i="1" s="1"/>
  <c r="BM245" i="1"/>
  <c r="BV245" i="1" s="1"/>
  <c r="BL245" i="1"/>
  <c r="BT245" i="1" s="1"/>
  <c r="BK245" i="1"/>
  <c r="BJ245" i="1"/>
  <c r="BI245" i="1"/>
  <c r="CB245" i="1" s="1"/>
  <c r="BH245" i="1"/>
  <c r="BG245" i="1"/>
  <c r="BF245" i="1"/>
  <c r="BS245" i="1" s="1"/>
  <c r="BE245" i="1"/>
  <c r="BR245" i="1" s="1"/>
  <c r="BD245" i="1"/>
  <c r="BQ245" i="1" s="1"/>
  <c r="BC245" i="1"/>
  <c r="BP245" i="1" s="1"/>
  <c r="BB245" i="1"/>
  <c r="BO245" i="1" s="1"/>
  <c r="BA245" i="1"/>
  <c r="BN245" i="1" s="1"/>
  <c r="AZ245" i="1"/>
  <c r="BZ245" i="1" s="1"/>
  <c r="AY245" i="1"/>
  <c r="BY245" i="1" s="1"/>
  <c r="AX245" i="1"/>
  <c r="AW245" i="1"/>
  <c r="AV245" i="1"/>
  <c r="BM244" i="1"/>
  <c r="BV244" i="1" s="1"/>
  <c r="BL244" i="1"/>
  <c r="BT244" i="1" s="1"/>
  <c r="BK244" i="1"/>
  <c r="BJ244" i="1"/>
  <c r="BI244" i="1"/>
  <c r="CB244" i="1" s="1"/>
  <c r="BH244" i="1"/>
  <c r="BG244" i="1"/>
  <c r="BF244" i="1"/>
  <c r="BS244" i="1" s="1"/>
  <c r="BE244" i="1"/>
  <c r="BR244" i="1" s="1"/>
  <c r="BD244" i="1"/>
  <c r="BQ244" i="1" s="1"/>
  <c r="BC244" i="1"/>
  <c r="BP244" i="1" s="1"/>
  <c r="BB244" i="1"/>
  <c r="BO244" i="1" s="1"/>
  <c r="BA244" i="1"/>
  <c r="BN244" i="1" s="1"/>
  <c r="AZ244" i="1"/>
  <c r="BZ244" i="1" s="1"/>
  <c r="AY244" i="1"/>
  <c r="BY244" i="1" s="1"/>
  <c r="AX244" i="1"/>
  <c r="AW244" i="1"/>
  <c r="AV244" i="1"/>
  <c r="BW244" i="1" s="1"/>
  <c r="BM243" i="1"/>
  <c r="BV243" i="1" s="1"/>
  <c r="BL243" i="1"/>
  <c r="BT243" i="1" s="1"/>
  <c r="BK243" i="1"/>
  <c r="BJ243" i="1"/>
  <c r="BI243" i="1"/>
  <c r="CB243" i="1" s="1"/>
  <c r="BH243" i="1"/>
  <c r="BG243" i="1"/>
  <c r="BF243" i="1"/>
  <c r="BS243" i="1" s="1"/>
  <c r="BE243" i="1"/>
  <c r="BR243" i="1" s="1"/>
  <c r="BD243" i="1"/>
  <c r="BQ243" i="1" s="1"/>
  <c r="BC243" i="1"/>
  <c r="BP243" i="1" s="1"/>
  <c r="BB243" i="1"/>
  <c r="BO243" i="1" s="1"/>
  <c r="BA243" i="1"/>
  <c r="BN243" i="1" s="1"/>
  <c r="AZ243" i="1"/>
  <c r="BZ243" i="1" s="1"/>
  <c r="AY243" i="1"/>
  <c r="BY243" i="1" s="1"/>
  <c r="AX243" i="1"/>
  <c r="AW243" i="1"/>
  <c r="AV243" i="1"/>
  <c r="BW243" i="1" s="1"/>
  <c r="BM242" i="1"/>
  <c r="BV242" i="1" s="1"/>
  <c r="BL242" i="1"/>
  <c r="BT242" i="1" s="1"/>
  <c r="BK242" i="1"/>
  <c r="BJ242" i="1"/>
  <c r="BI242" i="1"/>
  <c r="CB242" i="1" s="1"/>
  <c r="BH242" i="1"/>
  <c r="BG242" i="1"/>
  <c r="BF242" i="1"/>
  <c r="BS242" i="1" s="1"/>
  <c r="BE242" i="1"/>
  <c r="BR242" i="1" s="1"/>
  <c r="BD242" i="1"/>
  <c r="BQ242" i="1" s="1"/>
  <c r="BC242" i="1"/>
  <c r="BP242" i="1" s="1"/>
  <c r="BB242" i="1"/>
  <c r="BO242" i="1" s="1"/>
  <c r="BA242" i="1"/>
  <c r="BN242" i="1" s="1"/>
  <c r="AZ242" i="1"/>
  <c r="BZ242" i="1" s="1"/>
  <c r="AY242" i="1"/>
  <c r="BY242" i="1" s="1"/>
  <c r="AX242" i="1"/>
  <c r="AW242" i="1"/>
  <c r="AV242" i="1"/>
  <c r="BW242" i="1" s="1"/>
  <c r="BM241" i="1"/>
  <c r="BV241" i="1" s="1"/>
  <c r="BL241" i="1"/>
  <c r="BT241" i="1" s="1"/>
  <c r="BK241" i="1"/>
  <c r="BJ241" i="1"/>
  <c r="BI241" i="1"/>
  <c r="CB241" i="1" s="1"/>
  <c r="BH241" i="1"/>
  <c r="BG241" i="1"/>
  <c r="BF241" i="1"/>
  <c r="BS241" i="1" s="1"/>
  <c r="BE241" i="1"/>
  <c r="BR241" i="1" s="1"/>
  <c r="BD241" i="1"/>
  <c r="BQ241" i="1" s="1"/>
  <c r="BC241" i="1"/>
  <c r="BP241" i="1" s="1"/>
  <c r="BB241" i="1"/>
  <c r="BO241" i="1" s="1"/>
  <c r="BA241" i="1"/>
  <c r="BN241" i="1" s="1"/>
  <c r="AZ241" i="1"/>
  <c r="BZ241" i="1" s="1"/>
  <c r="AY241" i="1"/>
  <c r="BY241" i="1" s="1"/>
  <c r="AX241" i="1"/>
  <c r="AW241" i="1"/>
  <c r="AV241" i="1"/>
  <c r="BW241" i="1" s="1"/>
  <c r="BM240" i="1"/>
  <c r="BV240" i="1" s="1"/>
  <c r="BL240" i="1"/>
  <c r="BT240" i="1" s="1"/>
  <c r="BK240" i="1"/>
  <c r="BJ240" i="1"/>
  <c r="BI240" i="1"/>
  <c r="CB240" i="1" s="1"/>
  <c r="BH240" i="1"/>
  <c r="BG240" i="1"/>
  <c r="BF240" i="1"/>
  <c r="BS240" i="1" s="1"/>
  <c r="BE240" i="1"/>
  <c r="BR240" i="1" s="1"/>
  <c r="BD240" i="1"/>
  <c r="BQ240" i="1" s="1"/>
  <c r="BC240" i="1"/>
  <c r="BP240" i="1" s="1"/>
  <c r="BB240" i="1"/>
  <c r="BO240" i="1" s="1"/>
  <c r="BA240" i="1"/>
  <c r="BN240" i="1" s="1"/>
  <c r="AZ240" i="1"/>
  <c r="BZ240" i="1" s="1"/>
  <c r="AY240" i="1"/>
  <c r="BY240" i="1" s="1"/>
  <c r="AX240" i="1"/>
  <c r="AW240" i="1"/>
  <c r="AV240" i="1"/>
  <c r="BM239" i="1"/>
  <c r="BV239" i="1" s="1"/>
  <c r="BL239" i="1"/>
  <c r="BT239" i="1" s="1"/>
  <c r="BK239" i="1"/>
  <c r="BJ239" i="1"/>
  <c r="BI239" i="1"/>
  <c r="CB239" i="1" s="1"/>
  <c r="BH239" i="1"/>
  <c r="BG239" i="1"/>
  <c r="BF239" i="1"/>
  <c r="BS239" i="1" s="1"/>
  <c r="BE239" i="1"/>
  <c r="BR239" i="1" s="1"/>
  <c r="BD239" i="1"/>
  <c r="BQ239" i="1" s="1"/>
  <c r="BC239" i="1"/>
  <c r="BP239" i="1" s="1"/>
  <c r="BB239" i="1"/>
  <c r="BO239" i="1" s="1"/>
  <c r="BA239" i="1"/>
  <c r="BN239" i="1" s="1"/>
  <c r="AZ239" i="1"/>
  <c r="BZ239" i="1" s="1"/>
  <c r="AY239" i="1"/>
  <c r="BY239" i="1" s="1"/>
  <c r="AX239" i="1"/>
  <c r="AW239" i="1"/>
  <c r="AV239" i="1"/>
  <c r="BW239" i="1" s="1"/>
  <c r="BM238" i="1"/>
  <c r="BV238" i="1" s="1"/>
  <c r="BL238" i="1"/>
  <c r="BT238" i="1" s="1"/>
  <c r="BK238" i="1"/>
  <c r="BJ238" i="1"/>
  <c r="BI238" i="1"/>
  <c r="CB238" i="1" s="1"/>
  <c r="BH238" i="1"/>
  <c r="BG238" i="1"/>
  <c r="BF238" i="1"/>
  <c r="BS238" i="1" s="1"/>
  <c r="BE238" i="1"/>
  <c r="BR238" i="1" s="1"/>
  <c r="BD238" i="1"/>
  <c r="BQ238" i="1" s="1"/>
  <c r="BC238" i="1"/>
  <c r="BP238" i="1" s="1"/>
  <c r="BB238" i="1"/>
  <c r="BO238" i="1" s="1"/>
  <c r="BA238" i="1"/>
  <c r="BN238" i="1" s="1"/>
  <c r="AZ238" i="1"/>
  <c r="BZ238" i="1" s="1"/>
  <c r="AY238" i="1"/>
  <c r="BY238" i="1" s="1"/>
  <c r="AX238" i="1"/>
  <c r="AW238" i="1"/>
  <c r="AV238" i="1"/>
  <c r="BW238" i="1" s="1"/>
  <c r="BM237" i="1"/>
  <c r="BV237" i="1" s="1"/>
  <c r="BL237" i="1"/>
  <c r="BT237" i="1" s="1"/>
  <c r="BK237" i="1"/>
  <c r="BJ237" i="1"/>
  <c r="BI237" i="1"/>
  <c r="CB237" i="1" s="1"/>
  <c r="BH237" i="1"/>
  <c r="BG237" i="1"/>
  <c r="BF237" i="1"/>
  <c r="BS237" i="1" s="1"/>
  <c r="BE237" i="1"/>
  <c r="BR237" i="1" s="1"/>
  <c r="BD237" i="1"/>
  <c r="BQ237" i="1" s="1"/>
  <c r="BC237" i="1"/>
  <c r="BP237" i="1" s="1"/>
  <c r="BB237" i="1"/>
  <c r="BO237" i="1" s="1"/>
  <c r="BA237" i="1"/>
  <c r="BN237" i="1" s="1"/>
  <c r="AZ237" i="1"/>
  <c r="BZ237" i="1" s="1"/>
  <c r="AY237" i="1"/>
  <c r="BY237" i="1" s="1"/>
  <c r="AX237" i="1"/>
  <c r="AW237" i="1"/>
  <c r="AV237" i="1"/>
  <c r="BW237" i="1" s="1"/>
  <c r="BM236" i="1"/>
  <c r="BV236" i="1" s="1"/>
  <c r="BL236" i="1"/>
  <c r="BT236" i="1" s="1"/>
  <c r="BK236" i="1"/>
  <c r="BJ236" i="1"/>
  <c r="BI236" i="1"/>
  <c r="CB236" i="1" s="1"/>
  <c r="BH236" i="1"/>
  <c r="BG236" i="1"/>
  <c r="BF236" i="1"/>
  <c r="BS236" i="1" s="1"/>
  <c r="BE236" i="1"/>
  <c r="BR236" i="1" s="1"/>
  <c r="BD236" i="1"/>
  <c r="BQ236" i="1" s="1"/>
  <c r="BC236" i="1"/>
  <c r="BP236" i="1" s="1"/>
  <c r="BB236" i="1"/>
  <c r="BO236" i="1" s="1"/>
  <c r="BA236" i="1"/>
  <c r="BN236" i="1" s="1"/>
  <c r="AZ236" i="1"/>
  <c r="BZ236" i="1" s="1"/>
  <c r="AY236" i="1"/>
  <c r="BY236" i="1" s="1"/>
  <c r="AX236" i="1"/>
  <c r="AW236" i="1"/>
  <c r="AV236" i="1"/>
  <c r="BM235" i="1"/>
  <c r="BV235" i="1" s="1"/>
  <c r="BL235" i="1"/>
  <c r="BT235" i="1" s="1"/>
  <c r="BK235" i="1"/>
  <c r="BJ235" i="1"/>
  <c r="BI235" i="1"/>
  <c r="CB235" i="1" s="1"/>
  <c r="BH235" i="1"/>
  <c r="BG235" i="1"/>
  <c r="BF235" i="1"/>
  <c r="BS235" i="1" s="1"/>
  <c r="BE235" i="1"/>
  <c r="BR235" i="1" s="1"/>
  <c r="BD235" i="1"/>
  <c r="BQ235" i="1" s="1"/>
  <c r="BC235" i="1"/>
  <c r="BP235" i="1" s="1"/>
  <c r="BB235" i="1"/>
  <c r="BO235" i="1" s="1"/>
  <c r="BA235" i="1"/>
  <c r="BN235" i="1" s="1"/>
  <c r="AZ235" i="1"/>
  <c r="BZ235" i="1" s="1"/>
  <c r="AY235" i="1"/>
  <c r="BY235" i="1" s="1"/>
  <c r="AX235" i="1"/>
  <c r="AW235" i="1"/>
  <c r="AV235" i="1"/>
  <c r="BW235" i="1" s="1"/>
  <c r="BM234" i="1"/>
  <c r="BV234" i="1" s="1"/>
  <c r="BL234" i="1"/>
  <c r="BT234" i="1" s="1"/>
  <c r="BK234" i="1"/>
  <c r="BJ234" i="1"/>
  <c r="BI234" i="1"/>
  <c r="CB234" i="1" s="1"/>
  <c r="BH234" i="1"/>
  <c r="BG234" i="1"/>
  <c r="BF234" i="1"/>
  <c r="BS234" i="1" s="1"/>
  <c r="BE234" i="1"/>
  <c r="BR234" i="1" s="1"/>
  <c r="BD234" i="1"/>
  <c r="BQ234" i="1" s="1"/>
  <c r="BC234" i="1"/>
  <c r="BP234" i="1" s="1"/>
  <c r="BB234" i="1"/>
  <c r="BO234" i="1" s="1"/>
  <c r="BA234" i="1"/>
  <c r="BN234" i="1" s="1"/>
  <c r="AZ234" i="1"/>
  <c r="BZ234" i="1" s="1"/>
  <c r="AY234" i="1"/>
  <c r="BY234" i="1" s="1"/>
  <c r="AX234" i="1"/>
  <c r="AW234" i="1"/>
  <c r="AV234" i="1"/>
  <c r="BW234" i="1" s="1"/>
  <c r="BM233" i="1"/>
  <c r="BV233" i="1" s="1"/>
  <c r="BL233" i="1"/>
  <c r="BT233" i="1" s="1"/>
  <c r="BK233" i="1"/>
  <c r="BJ233" i="1"/>
  <c r="BI233" i="1"/>
  <c r="CB233" i="1" s="1"/>
  <c r="BH233" i="1"/>
  <c r="BG233" i="1"/>
  <c r="BF233" i="1"/>
  <c r="BS233" i="1" s="1"/>
  <c r="BE233" i="1"/>
  <c r="BR233" i="1" s="1"/>
  <c r="BD233" i="1"/>
  <c r="BQ233" i="1" s="1"/>
  <c r="BC233" i="1"/>
  <c r="BP233" i="1" s="1"/>
  <c r="BB233" i="1"/>
  <c r="BO233" i="1" s="1"/>
  <c r="BA233" i="1"/>
  <c r="BN233" i="1" s="1"/>
  <c r="AZ233" i="1"/>
  <c r="BZ233" i="1" s="1"/>
  <c r="AY233" i="1"/>
  <c r="BY233" i="1" s="1"/>
  <c r="AX233" i="1"/>
  <c r="AW233" i="1"/>
  <c r="AV233" i="1"/>
  <c r="BM232" i="1"/>
  <c r="BV232" i="1" s="1"/>
  <c r="BL232" i="1"/>
  <c r="BT232" i="1" s="1"/>
  <c r="BK232" i="1"/>
  <c r="BJ232" i="1"/>
  <c r="BI232" i="1"/>
  <c r="CB232" i="1" s="1"/>
  <c r="BH232" i="1"/>
  <c r="BG232" i="1"/>
  <c r="BF232" i="1"/>
  <c r="BS232" i="1" s="1"/>
  <c r="BE232" i="1"/>
  <c r="BR232" i="1" s="1"/>
  <c r="BD232" i="1"/>
  <c r="BQ232" i="1" s="1"/>
  <c r="BC232" i="1"/>
  <c r="BP232" i="1" s="1"/>
  <c r="BB232" i="1"/>
  <c r="BO232" i="1" s="1"/>
  <c r="BA232" i="1"/>
  <c r="BN232" i="1" s="1"/>
  <c r="AZ232" i="1"/>
  <c r="BZ232" i="1" s="1"/>
  <c r="AY232" i="1"/>
  <c r="BY232" i="1" s="1"/>
  <c r="AX232" i="1"/>
  <c r="AW232" i="1"/>
  <c r="AV232" i="1"/>
  <c r="BW232" i="1" s="1"/>
  <c r="BM231" i="1"/>
  <c r="BV231" i="1" s="1"/>
  <c r="BL231" i="1"/>
  <c r="BT231" i="1" s="1"/>
  <c r="BK231" i="1"/>
  <c r="BJ231" i="1"/>
  <c r="BI231" i="1"/>
  <c r="CB231" i="1" s="1"/>
  <c r="BH231" i="1"/>
  <c r="BG231" i="1"/>
  <c r="BF231" i="1"/>
  <c r="BS231" i="1" s="1"/>
  <c r="BE231" i="1"/>
  <c r="BR231" i="1" s="1"/>
  <c r="BD231" i="1"/>
  <c r="BQ231" i="1" s="1"/>
  <c r="BC231" i="1"/>
  <c r="BP231" i="1" s="1"/>
  <c r="BB231" i="1"/>
  <c r="BO231" i="1" s="1"/>
  <c r="BA231" i="1"/>
  <c r="BN231" i="1" s="1"/>
  <c r="AZ231" i="1"/>
  <c r="BZ231" i="1" s="1"/>
  <c r="AY231" i="1"/>
  <c r="BY231" i="1" s="1"/>
  <c r="AX231" i="1"/>
  <c r="AW231" i="1"/>
  <c r="AV231" i="1"/>
  <c r="BW231" i="1" s="1"/>
  <c r="BM230" i="1"/>
  <c r="BV230" i="1" s="1"/>
  <c r="BL230" i="1"/>
  <c r="BT230" i="1" s="1"/>
  <c r="BK230" i="1"/>
  <c r="BJ230" i="1"/>
  <c r="BI230" i="1"/>
  <c r="CB230" i="1" s="1"/>
  <c r="BH230" i="1"/>
  <c r="BG230" i="1"/>
  <c r="BF230" i="1"/>
  <c r="BS230" i="1" s="1"/>
  <c r="BE230" i="1"/>
  <c r="BR230" i="1" s="1"/>
  <c r="BD230" i="1"/>
  <c r="BQ230" i="1" s="1"/>
  <c r="BC230" i="1"/>
  <c r="BP230" i="1" s="1"/>
  <c r="BB230" i="1"/>
  <c r="BO230" i="1" s="1"/>
  <c r="BA230" i="1"/>
  <c r="BN230" i="1" s="1"/>
  <c r="AZ230" i="1"/>
  <c r="BZ230" i="1" s="1"/>
  <c r="AY230" i="1"/>
  <c r="BY230" i="1" s="1"/>
  <c r="AX230" i="1"/>
  <c r="AW230" i="1"/>
  <c r="AV230" i="1"/>
  <c r="BW230" i="1" s="1"/>
  <c r="BM229" i="1"/>
  <c r="BV229" i="1" s="1"/>
  <c r="BL229" i="1"/>
  <c r="BT229" i="1" s="1"/>
  <c r="BK229" i="1"/>
  <c r="BJ229" i="1"/>
  <c r="BI229" i="1"/>
  <c r="CB229" i="1" s="1"/>
  <c r="BH229" i="1"/>
  <c r="BG229" i="1"/>
  <c r="BF229" i="1"/>
  <c r="BS229" i="1" s="1"/>
  <c r="BE229" i="1"/>
  <c r="BR229" i="1" s="1"/>
  <c r="BD229" i="1"/>
  <c r="BQ229" i="1" s="1"/>
  <c r="BC229" i="1"/>
  <c r="BP229" i="1" s="1"/>
  <c r="BB229" i="1"/>
  <c r="BO229" i="1" s="1"/>
  <c r="BA229" i="1"/>
  <c r="BN229" i="1" s="1"/>
  <c r="AZ229" i="1"/>
  <c r="BZ229" i="1" s="1"/>
  <c r="AY229" i="1"/>
  <c r="BY229" i="1" s="1"/>
  <c r="AX229" i="1"/>
  <c r="AW229" i="1"/>
  <c r="AV229" i="1"/>
  <c r="BM228" i="1"/>
  <c r="BV228" i="1" s="1"/>
  <c r="BL228" i="1"/>
  <c r="BT228" i="1" s="1"/>
  <c r="BK228" i="1"/>
  <c r="BJ228" i="1"/>
  <c r="BI228" i="1"/>
  <c r="CB228" i="1" s="1"/>
  <c r="BH228" i="1"/>
  <c r="BG228" i="1"/>
  <c r="BF228" i="1"/>
  <c r="BS228" i="1" s="1"/>
  <c r="BE228" i="1"/>
  <c r="BR228" i="1" s="1"/>
  <c r="BD228" i="1"/>
  <c r="BQ228" i="1" s="1"/>
  <c r="BC228" i="1"/>
  <c r="BP228" i="1" s="1"/>
  <c r="BB228" i="1"/>
  <c r="BO228" i="1" s="1"/>
  <c r="BA228" i="1"/>
  <c r="BN228" i="1" s="1"/>
  <c r="AZ228" i="1"/>
  <c r="BZ228" i="1" s="1"/>
  <c r="AY228" i="1"/>
  <c r="BY228" i="1" s="1"/>
  <c r="AX228" i="1"/>
  <c r="AW228" i="1"/>
  <c r="AV228" i="1"/>
  <c r="BW228" i="1" s="1"/>
  <c r="BM227" i="1"/>
  <c r="BV227" i="1" s="1"/>
  <c r="BL227" i="1"/>
  <c r="BT227" i="1" s="1"/>
  <c r="BK227" i="1"/>
  <c r="BJ227" i="1"/>
  <c r="BI227" i="1"/>
  <c r="CB227" i="1" s="1"/>
  <c r="BH227" i="1"/>
  <c r="BG227" i="1"/>
  <c r="BF227" i="1"/>
  <c r="BS227" i="1" s="1"/>
  <c r="BE227" i="1"/>
  <c r="BR227" i="1" s="1"/>
  <c r="BD227" i="1"/>
  <c r="BQ227" i="1" s="1"/>
  <c r="BC227" i="1"/>
  <c r="BP227" i="1" s="1"/>
  <c r="BB227" i="1"/>
  <c r="BO227" i="1" s="1"/>
  <c r="BA227" i="1"/>
  <c r="BN227" i="1" s="1"/>
  <c r="AZ227" i="1"/>
  <c r="BZ227" i="1" s="1"/>
  <c r="AY227" i="1"/>
  <c r="BY227" i="1" s="1"/>
  <c r="AX227" i="1"/>
  <c r="AW227" i="1"/>
  <c r="AV227" i="1"/>
  <c r="BW227" i="1" s="1"/>
  <c r="BM226" i="1"/>
  <c r="BV226" i="1" s="1"/>
  <c r="BL226" i="1"/>
  <c r="BT226" i="1" s="1"/>
  <c r="BK226" i="1"/>
  <c r="BJ226" i="1"/>
  <c r="BI226" i="1"/>
  <c r="CB226" i="1" s="1"/>
  <c r="BH226" i="1"/>
  <c r="BG226" i="1"/>
  <c r="BF226" i="1"/>
  <c r="BS226" i="1" s="1"/>
  <c r="BE226" i="1"/>
  <c r="BR226" i="1" s="1"/>
  <c r="BD226" i="1"/>
  <c r="BQ226" i="1" s="1"/>
  <c r="BC226" i="1"/>
  <c r="BP226" i="1" s="1"/>
  <c r="BB226" i="1"/>
  <c r="BO226" i="1" s="1"/>
  <c r="BA226" i="1"/>
  <c r="BN226" i="1" s="1"/>
  <c r="AZ226" i="1"/>
  <c r="BZ226" i="1" s="1"/>
  <c r="AY226" i="1"/>
  <c r="BY226" i="1" s="1"/>
  <c r="AX226" i="1"/>
  <c r="AW226" i="1"/>
  <c r="AV226" i="1"/>
  <c r="BW226" i="1" s="1"/>
  <c r="BM225" i="1"/>
  <c r="BV225" i="1" s="1"/>
  <c r="BL225" i="1"/>
  <c r="BT225" i="1" s="1"/>
  <c r="BK225" i="1"/>
  <c r="BJ225" i="1"/>
  <c r="BI225" i="1"/>
  <c r="CB225" i="1" s="1"/>
  <c r="BH225" i="1"/>
  <c r="BG225" i="1"/>
  <c r="BF225" i="1"/>
  <c r="BS225" i="1" s="1"/>
  <c r="BE225" i="1"/>
  <c r="BR225" i="1" s="1"/>
  <c r="BD225" i="1"/>
  <c r="BQ225" i="1" s="1"/>
  <c r="BC225" i="1"/>
  <c r="BP225" i="1" s="1"/>
  <c r="BB225" i="1"/>
  <c r="BO225" i="1" s="1"/>
  <c r="BA225" i="1"/>
  <c r="BN225" i="1" s="1"/>
  <c r="AZ225" i="1"/>
  <c r="BZ225" i="1" s="1"/>
  <c r="AY225" i="1"/>
  <c r="BY225" i="1" s="1"/>
  <c r="AX225" i="1"/>
  <c r="AW225" i="1"/>
  <c r="AV225" i="1"/>
  <c r="BW225" i="1" s="1"/>
  <c r="BM224" i="1"/>
  <c r="BV224" i="1" s="1"/>
  <c r="BL224" i="1"/>
  <c r="BT224" i="1" s="1"/>
  <c r="BK224" i="1"/>
  <c r="BJ224" i="1"/>
  <c r="BI224" i="1"/>
  <c r="CB224" i="1" s="1"/>
  <c r="BH224" i="1"/>
  <c r="BG224" i="1"/>
  <c r="BF224" i="1"/>
  <c r="BS224" i="1" s="1"/>
  <c r="BE224" i="1"/>
  <c r="BR224" i="1" s="1"/>
  <c r="BD224" i="1"/>
  <c r="BQ224" i="1" s="1"/>
  <c r="BC224" i="1"/>
  <c r="BP224" i="1" s="1"/>
  <c r="BB224" i="1"/>
  <c r="BO224" i="1" s="1"/>
  <c r="BA224" i="1"/>
  <c r="BN224" i="1" s="1"/>
  <c r="AZ224" i="1"/>
  <c r="BZ224" i="1" s="1"/>
  <c r="AY224" i="1"/>
  <c r="BY224" i="1" s="1"/>
  <c r="AX224" i="1"/>
  <c r="AW224" i="1"/>
  <c r="AV224" i="1"/>
  <c r="BM223" i="1"/>
  <c r="BV223" i="1" s="1"/>
  <c r="BL223" i="1"/>
  <c r="BT223" i="1" s="1"/>
  <c r="BK223" i="1"/>
  <c r="BJ223" i="1"/>
  <c r="BI223" i="1"/>
  <c r="CB223" i="1" s="1"/>
  <c r="BH223" i="1"/>
  <c r="BG223" i="1"/>
  <c r="BF223" i="1"/>
  <c r="BS223" i="1" s="1"/>
  <c r="BE223" i="1"/>
  <c r="BR223" i="1" s="1"/>
  <c r="BD223" i="1"/>
  <c r="BQ223" i="1" s="1"/>
  <c r="BC223" i="1"/>
  <c r="BP223" i="1" s="1"/>
  <c r="BB223" i="1"/>
  <c r="BO223" i="1" s="1"/>
  <c r="BA223" i="1"/>
  <c r="BN223" i="1" s="1"/>
  <c r="AZ223" i="1"/>
  <c r="BZ223" i="1" s="1"/>
  <c r="AY223" i="1"/>
  <c r="BY223" i="1" s="1"/>
  <c r="AX223" i="1"/>
  <c r="AW223" i="1"/>
  <c r="AV223" i="1"/>
  <c r="BW223" i="1" s="1"/>
  <c r="BM222" i="1"/>
  <c r="BV222" i="1" s="1"/>
  <c r="BL222" i="1"/>
  <c r="BT222" i="1" s="1"/>
  <c r="BK222" i="1"/>
  <c r="BJ222" i="1"/>
  <c r="BI222" i="1"/>
  <c r="CB222" i="1" s="1"/>
  <c r="BH222" i="1"/>
  <c r="BG222" i="1"/>
  <c r="BF222" i="1"/>
  <c r="BS222" i="1" s="1"/>
  <c r="BE222" i="1"/>
  <c r="BR222" i="1" s="1"/>
  <c r="BD222" i="1"/>
  <c r="BQ222" i="1" s="1"/>
  <c r="BC222" i="1"/>
  <c r="BP222" i="1" s="1"/>
  <c r="BB222" i="1"/>
  <c r="BO222" i="1" s="1"/>
  <c r="BA222" i="1"/>
  <c r="BN222" i="1" s="1"/>
  <c r="AZ222" i="1"/>
  <c r="BZ222" i="1" s="1"/>
  <c r="AY222" i="1"/>
  <c r="BY222" i="1" s="1"/>
  <c r="AX222" i="1"/>
  <c r="AW222" i="1"/>
  <c r="AV222" i="1"/>
  <c r="BW222" i="1" s="1"/>
  <c r="BM221" i="1"/>
  <c r="BV221" i="1" s="1"/>
  <c r="BL221" i="1"/>
  <c r="BT221" i="1" s="1"/>
  <c r="BK221" i="1"/>
  <c r="BJ221" i="1"/>
  <c r="BI221" i="1"/>
  <c r="CB221" i="1" s="1"/>
  <c r="BH221" i="1"/>
  <c r="BG221" i="1"/>
  <c r="BF221" i="1"/>
  <c r="BS221" i="1" s="1"/>
  <c r="BE221" i="1"/>
  <c r="BR221" i="1" s="1"/>
  <c r="BD221" i="1"/>
  <c r="BQ221" i="1" s="1"/>
  <c r="BC221" i="1"/>
  <c r="BP221" i="1" s="1"/>
  <c r="BB221" i="1"/>
  <c r="BO221" i="1" s="1"/>
  <c r="BA221" i="1"/>
  <c r="BN221" i="1" s="1"/>
  <c r="AZ221" i="1"/>
  <c r="BZ221" i="1" s="1"/>
  <c r="AY221" i="1"/>
  <c r="BY221" i="1" s="1"/>
  <c r="AX221" i="1"/>
  <c r="AW221" i="1"/>
  <c r="AV221" i="1"/>
  <c r="BM220" i="1"/>
  <c r="BV220" i="1" s="1"/>
  <c r="BL220" i="1"/>
  <c r="BT220" i="1" s="1"/>
  <c r="BK220" i="1"/>
  <c r="BJ220" i="1"/>
  <c r="BI220" i="1"/>
  <c r="CB220" i="1" s="1"/>
  <c r="BH220" i="1"/>
  <c r="BG220" i="1"/>
  <c r="BF220" i="1"/>
  <c r="BS220" i="1" s="1"/>
  <c r="BE220" i="1"/>
  <c r="BR220" i="1" s="1"/>
  <c r="BD220" i="1"/>
  <c r="BQ220" i="1" s="1"/>
  <c r="BC220" i="1"/>
  <c r="BP220" i="1" s="1"/>
  <c r="BB220" i="1"/>
  <c r="BO220" i="1" s="1"/>
  <c r="BA220" i="1"/>
  <c r="BN220" i="1" s="1"/>
  <c r="AZ220" i="1"/>
  <c r="BZ220" i="1" s="1"/>
  <c r="AY220" i="1"/>
  <c r="BY220" i="1" s="1"/>
  <c r="AX220" i="1"/>
  <c r="AW220" i="1"/>
  <c r="AV220" i="1"/>
  <c r="BW220" i="1" s="1"/>
  <c r="BM219" i="1"/>
  <c r="BV219" i="1" s="1"/>
  <c r="BL219" i="1"/>
  <c r="BT219" i="1" s="1"/>
  <c r="BK219" i="1"/>
  <c r="BJ219" i="1"/>
  <c r="BI219" i="1"/>
  <c r="CB219" i="1" s="1"/>
  <c r="BH219" i="1"/>
  <c r="BG219" i="1"/>
  <c r="BF219" i="1"/>
  <c r="BS219" i="1" s="1"/>
  <c r="BE219" i="1"/>
  <c r="BR219" i="1" s="1"/>
  <c r="BD219" i="1"/>
  <c r="BQ219" i="1" s="1"/>
  <c r="BC219" i="1"/>
  <c r="BP219" i="1" s="1"/>
  <c r="BB219" i="1"/>
  <c r="BO219" i="1" s="1"/>
  <c r="BA219" i="1"/>
  <c r="BN219" i="1" s="1"/>
  <c r="AZ219" i="1"/>
  <c r="BZ219" i="1" s="1"/>
  <c r="AY219" i="1"/>
  <c r="BY219" i="1" s="1"/>
  <c r="AX219" i="1"/>
  <c r="AW219" i="1"/>
  <c r="AV219" i="1"/>
  <c r="BW219" i="1" s="1"/>
  <c r="BM218" i="1"/>
  <c r="BV218" i="1" s="1"/>
  <c r="BL218" i="1"/>
  <c r="BT218" i="1" s="1"/>
  <c r="BK218" i="1"/>
  <c r="BJ218" i="1"/>
  <c r="BI218" i="1"/>
  <c r="CB218" i="1" s="1"/>
  <c r="BH218" i="1"/>
  <c r="BG218" i="1"/>
  <c r="BF218" i="1"/>
  <c r="BS218" i="1" s="1"/>
  <c r="BE218" i="1"/>
  <c r="BR218" i="1" s="1"/>
  <c r="BD218" i="1"/>
  <c r="BQ218" i="1" s="1"/>
  <c r="BC218" i="1"/>
  <c r="BP218" i="1" s="1"/>
  <c r="BB218" i="1"/>
  <c r="BO218" i="1" s="1"/>
  <c r="BA218" i="1"/>
  <c r="BN218" i="1" s="1"/>
  <c r="AZ218" i="1"/>
  <c r="BZ218" i="1" s="1"/>
  <c r="AY218" i="1"/>
  <c r="BY218" i="1" s="1"/>
  <c r="AX218" i="1"/>
  <c r="AW218" i="1"/>
  <c r="AV218" i="1"/>
  <c r="BM217" i="1"/>
  <c r="BV217" i="1" s="1"/>
  <c r="BL217" i="1"/>
  <c r="BT217" i="1" s="1"/>
  <c r="BK217" i="1"/>
  <c r="BJ217" i="1"/>
  <c r="BI217" i="1"/>
  <c r="CB217" i="1" s="1"/>
  <c r="BH217" i="1"/>
  <c r="BG217" i="1"/>
  <c r="BF217" i="1"/>
  <c r="BS217" i="1" s="1"/>
  <c r="BE217" i="1"/>
  <c r="BR217" i="1" s="1"/>
  <c r="BD217" i="1"/>
  <c r="BQ217" i="1" s="1"/>
  <c r="BC217" i="1"/>
  <c r="BP217" i="1" s="1"/>
  <c r="BB217" i="1"/>
  <c r="BO217" i="1" s="1"/>
  <c r="BA217" i="1"/>
  <c r="BN217" i="1" s="1"/>
  <c r="AZ217" i="1"/>
  <c r="BZ217" i="1" s="1"/>
  <c r="AY217" i="1"/>
  <c r="BY217" i="1" s="1"/>
  <c r="AX217" i="1"/>
  <c r="AW217" i="1"/>
  <c r="AV217" i="1"/>
  <c r="BW217" i="1" s="1"/>
  <c r="BM216" i="1"/>
  <c r="BV216" i="1" s="1"/>
  <c r="BL216" i="1"/>
  <c r="BT216" i="1" s="1"/>
  <c r="BK216" i="1"/>
  <c r="BJ216" i="1"/>
  <c r="BI216" i="1"/>
  <c r="CB216" i="1" s="1"/>
  <c r="BH216" i="1"/>
  <c r="BG216" i="1"/>
  <c r="BF216" i="1"/>
  <c r="BS216" i="1" s="1"/>
  <c r="BE216" i="1"/>
  <c r="BR216" i="1" s="1"/>
  <c r="BD216" i="1"/>
  <c r="BQ216" i="1" s="1"/>
  <c r="BC216" i="1"/>
  <c r="BP216" i="1" s="1"/>
  <c r="BB216" i="1"/>
  <c r="BO216" i="1" s="1"/>
  <c r="BA216" i="1"/>
  <c r="BN216" i="1" s="1"/>
  <c r="AZ216" i="1"/>
  <c r="BZ216" i="1" s="1"/>
  <c r="AY216" i="1"/>
  <c r="BY216" i="1" s="1"/>
  <c r="AX216" i="1"/>
  <c r="AW216" i="1"/>
  <c r="AV216" i="1"/>
  <c r="BW216" i="1" s="1"/>
  <c r="BM215" i="1"/>
  <c r="BV215" i="1" s="1"/>
  <c r="BL215" i="1"/>
  <c r="BT215" i="1" s="1"/>
  <c r="BK215" i="1"/>
  <c r="BJ215" i="1"/>
  <c r="BI215" i="1"/>
  <c r="CB215" i="1" s="1"/>
  <c r="BH215" i="1"/>
  <c r="BG215" i="1"/>
  <c r="BF215" i="1"/>
  <c r="BS215" i="1" s="1"/>
  <c r="BE215" i="1"/>
  <c r="BR215" i="1" s="1"/>
  <c r="BD215" i="1"/>
  <c r="BQ215" i="1" s="1"/>
  <c r="BC215" i="1"/>
  <c r="BP215" i="1" s="1"/>
  <c r="BB215" i="1"/>
  <c r="BO215" i="1" s="1"/>
  <c r="BA215" i="1"/>
  <c r="BN215" i="1" s="1"/>
  <c r="AZ215" i="1"/>
  <c r="BZ215" i="1" s="1"/>
  <c r="AY215" i="1"/>
  <c r="BY215" i="1" s="1"/>
  <c r="AX215" i="1"/>
  <c r="AW215" i="1"/>
  <c r="AV215" i="1"/>
  <c r="BW215" i="1" s="1"/>
  <c r="BM214" i="1"/>
  <c r="BV214" i="1" s="1"/>
  <c r="BL214" i="1"/>
  <c r="BT214" i="1" s="1"/>
  <c r="BK214" i="1"/>
  <c r="BJ214" i="1"/>
  <c r="BI214" i="1"/>
  <c r="CB214" i="1" s="1"/>
  <c r="BH214" i="1"/>
  <c r="BG214" i="1"/>
  <c r="BF214" i="1"/>
  <c r="BS214" i="1" s="1"/>
  <c r="BE214" i="1"/>
  <c r="BR214" i="1" s="1"/>
  <c r="BD214" i="1"/>
  <c r="BQ214" i="1" s="1"/>
  <c r="BC214" i="1"/>
  <c r="BP214" i="1" s="1"/>
  <c r="BB214" i="1"/>
  <c r="BO214" i="1" s="1"/>
  <c r="BA214" i="1"/>
  <c r="BN214" i="1" s="1"/>
  <c r="AZ214" i="1"/>
  <c r="BZ214" i="1" s="1"/>
  <c r="AY214" i="1"/>
  <c r="BY214" i="1" s="1"/>
  <c r="AX214" i="1"/>
  <c r="AW214" i="1"/>
  <c r="AV214" i="1"/>
  <c r="BW214" i="1" s="1"/>
  <c r="BM213" i="1"/>
  <c r="BV213" i="1" s="1"/>
  <c r="BL213" i="1"/>
  <c r="BT213" i="1" s="1"/>
  <c r="BK213" i="1"/>
  <c r="BJ213" i="1"/>
  <c r="BI213" i="1"/>
  <c r="CB213" i="1" s="1"/>
  <c r="BH213" i="1"/>
  <c r="BG213" i="1"/>
  <c r="BF213" i="1"/>
  <c r="BS213" i="1" s="1"/>
  <c r="BE213" i="1"/>
  <c r="BR213" i="1" s="1"/>
  <c r="BD213" i="1"/>
  <c r="BQ213" i="1" s="1"/>
  <c r="BC213" i="1"/>
  <c r="BP213" i="1" s="1"/>
  <c r="BB213" i="1"/>
  <c r="BO213" i="1" s="1"/>
  <c r="BA213" i="1"/>
  <c r="BN213" i="1" s="1"/>
  <c r="AZ213" i="1"/>
  <c r="BZ213" i="1" s="1"/>
  <c r="AY213" i="1"/>
  <c r="BY213" i="1" s="1"/>
  <c r="AX213" i="1"/>
  <c r="AW213" i="1"/>
  <c r="AV213" i="1"/>
  <c r="BW213" i="1" s="1"/>
  <c r="BM212" i="1"/>
  <c r="BV212" i="1" s="1"/>
  <c r="BL212" i="1"/>
  <c r="BT212" i="1" s="1"/>
  <c r="BK212" i="1"/>
  <c r="BJ212" i="1"/>
  <c r="BI212" i="1"/>
  <c r="CB212" i="1" s="1"/>
  <c r="BH212" i="1"/>
  <c r="BG212" i="1"/>
  <c r="BF212" i="1"/>
  <c r="BS212" i="1" s="1"/>
  <c r="BE212" i="1"/>
  <c r="BR212" i="1" s="1"/>
  <c r="BD212" i="1"/>
  <c r="BQ212" i="1" s="1"/>
  <c r="BC212" i="1"/>
  <c r="BP212" i="1" s="1"/>
  <c r="BB212" i="1"/>
  <c r="BO212" i="1" s="1"/>
  <c r="BA212" i="1"/>
  <c r="BN212" i="1" s="1"/>
  <c r="AZ212" i="1"/>
  <c r="BZ212" i="1" s="1"/>
  <c r="AY212" i="1"/>
  <c r="BY212" i="1" s="1"/>
  <c r="AX212" i="1"/>
  <c r="AW212" i="1"/>
  <c r="AV212" i="1"/>
  <c r="BW212" i="1" s="1"/>
  <c r="BM211" i="1"/>
  <c r="BV211" i="1" s="1"/>
  <c r="BL211" i="1"/>
  <c r="BT211" i="1" s="1"/>
  <c r="BK211" i="1"/>
  <c r="BJ211" i="1"/>
  <c r="BI211" i="1"/>
  <c r="CB211" i="1" s="1"/>
  <c r="BH211" i="1"/>
  <c r="BG211" i="1"/>
  <c r="BF211" i="1"/>
  <c r="BS211" i="1" s="1"/>
  <c r="BE211" i="1"/>
  <c r="BR211" i="1" s="1"/>
  <c r="BD211" i="1"/>
  <c r="BQ211" i="1" s="1"/>
  <c r="BC211" i="1"/>
  <c r="BP211" i="1" s="1"/>
  <c r="BB211" i="1"/>
  <c r="BO211" i="1" s="1"/>
  <c r="BA211" i="1"/>
  <c r="BN211" i="1" s="1"/>
  <c r="AZ211" i="1"/>
  <c r="BZ211" i="1" s="1"/>
  <c r="AY211" i="1"/>
  <c r="BY211" i="1" s="1"/>
  <c r="AX211" i="1"/>
  <c r="AW211" i="1"/>
  <c r="AV211" i="1"/>
  <c r="BM210" i="1"/>
  <c r="BV210" i="1" s="1"/>
  <c r="BL210" i="1"/>
  <c r="BT210" i="1" s="1"/>
  <c r="BK210" i="1"/>
  <c r="BJ210" i="1"/>
  <c r="BI210" i="1"/>
  <c r="CB210" i="1" s="1"/>
  <c r="BH210" i="1"/>
  <c r="BG210" i="1"/>
  <c r="BF210" i="1"/>
  <c r="BS210" i="1" s="1"/>
  <c r="BE210" i="1"/>
  <c r="BR210" i="1" s="1"/>
  <c r="BD210" i="1"/>
  <c r="BQ210" i="1" s="1"/>
  <c r="BC210" i="1"/>
  <c r="BP210" i="1" s="1"/>
  <c r="BB210" i="1"/>
  <c r="BO210" i="1" s="1"/>
  <c r="BA210" i="1"/>
  <c r="BN210" i="1" s="1"/>
  <c r="AZ210" i="1"/>
  <c r="BZ210" i="1" s="1"/>
  <c r="AY210" i="1"/>
  <c r="BY210" i="1" s="1"/>
  <c r="AX210" i="1"/>
  <c r="AW210" i="1"/>
  <c r="AV210" i="1"/>
  <c r="BW210" i="1" s="1"/>
  <c r="BM209" i="1"/>
  <c r="BV209" i="1" s="1"/>
  <c r="BL209" i="1"/>
  <c r="BT209" i="1" s="1"/>
  <c r="BK209" i="1"/>
  <c r="BJ209" i="1"/>
  <c r="BI209" i="1"/>
  <c r="CB209" i="1" s="1"/>
  <c r="BH209" i="1"/>
  <c r="BG209" i="1"/>
  <c r="BF209" i="1"/>
  <c r="BS209" i="1" s="1"/>
  <c r="BE209" i="1"/>
  <c r="BR209" i="1" s="1"/>
  <c r="BD209" i="1"/>
  <c r="BQ209" i="1" s="1"/>
  <c r="BC209" i="1"/>
  <c r="BP209" i="1" s="1"/>
  <c r="BB209" i="1"/>
  <c r="BO209" i="1" s="1"/>
  <c r="BA209" i="1"/>
  <c r="BN209" i="1" s="1"/>
  <c r="AZ209" i="1"/>
  <c r="BZ209" i="1" s="1"/>
  <c r="AY209" i="1"/>
  <c r="BY209" i="1" s="1"/>
  <c r="AX209" i="1"/>
  <c r="CA209" i="1" s="1"/>
  <c r="AW209" i="1"/>
  <c r="AV209" i="1"/>
  <c r="BW209" i="1" s="1"/>
  <c r="BM208" i="1"/>
  <c r="BV208" i="1" s="1"/>
  <c r="BL208" i="1"/>
  <c r="BT208" i="1" s="1"/>
  <c r="BK208" i="1"/>
  <c r="BJ208" i="1"/>
  <c r="BI208" i="1"/>
  <c r="CB208" i="1" s="1"/>
  <c r="BH208" i="1"/>
  <c r="BG208" i="1"/>
  <c r="BF208" i="1"/>
  <c r="BS208" i="1" s="1"/>
  <c r="BE208" i="1"/>
  <c r="BR208" i="1" s="1"/>
  <c r="BD208" i="1"/>
  <c r="BQ208" i="1" s="1"/>
  <c r="BC208" i="1"/>
  <c r="BP208" i="1" s="1"/>
  <c r="BB208" i="1"/>
  <c r="BO208" i="1" s="1"/>
  <c r="BA208" i="1"/>
  <c r="BN208" i="1" s="1"/>
  <c r="AZ208" i="1"/>
  <c r="BZ208" i="1" s="1"/>
  <c r="AY208" i="1"/>
  <c r="BY208" i="1" s="1"/>
  <c r="AX208" i="1"/>
  <c r="CA208" i="1" s="1"/>
  <c r="AW208" i="1"/>
  <c r="AV208" i="1"/>
  <c r="BM207" i="1"/>
  <c r="BV207" i="1" s="1"/>
  <c r="BL207" i="1"/>
  <c r="BT207" i="1" s="1"/>
  <c r="BK207" i="1"/>
  <c r="BJ207" i="1"/>
  <c r="BI207" i="1"/>
  <c r="CB207" i="1" s="1"/>
  <c r="BH207" i="1"/>
  <c r="BG207" i="1"/>
  <c r="BF207" i="1"/>
  <c r="BS207" i="1" s="1"/>
  <c r="BE207" i="1"/>
  <c r="BR207" i="1" s="1"/>
  <c r="BD207" i="1"/>
  <c r="BQ207" i="1" s="1"/>
  <c r="BC207" i="1"/>
  <c r="BP207" i="1" s="1"/>
  <c r="BB207" i="1"/>
  <c r="BO207" i="1" s="1"/>
  <c r="BA207" i="1"/>
  <c r="BN207" i="1" s="1"/>
  <c r="AZ207" i="1"/>
  <c r="BZ207" i="1" s="1"/>
  <c r="AY207" i="1"/>
  <c r="BY207" i="1" s="1"/>
  <c r="AX207" i="1"/>
  <c r="AW207" i="1"/>
  <c r="AV207" i="1"/>
  <c r="BW207" i="1" s="1"/>
  <c r="BM206" i="1"/>
  <c r="BV206" i="1" s="1"/>
  <c r="BL206" i="1"/>
  <c r="BT206" i="1" s="1"/>
  <c r="BK206" i="1"/>
  <c r="BJ206" i="1"/>
  <c r="BI206" i="1"/>
  <c r="CB206" i="1" s="1"/>
  <c r="BH206" i="1"/>
  <c r="BG206" i="1"/>
  <c r="BF206" i="1"/>
  <c r="BS206" i="1" s="1"/>
  <c r="BE206" i="1"/>
  <c r="BR206" i="1" s="1"/>
  <c r="BD206" i="1"/>
  <c r="BQ206" i="1" s="1"/>
  <c r="BC206" i="1"/>
  <c r="BP206" i="1" s="1"/>
  <c r="BB206" i="1"/>
  <c r="BO206" i="1" s="1"/>
  <c r="BA206" i="1"/>
  <c r="BN206" i="1" s="1"/>
  <c r="AZ206" i="1"/>
  <c r="BZ206" i="1" s="1"/>
  <c r="AY206" i="1"/>
  <c r="BY206" i="1" s="1"/>
  <c r="AX206" i="1"/>
  <c r="AW206" i="1"/>
  <c r="AV206" i="1"/>
  <c r="BW206" i="1" s="1"/>
  <c r="BM205" i="1"/>
  <c r="BV205" i="1" s="1"/>
  <c r="BL205" i="1"/>
  <c r="BT205" i="1" s="1"/>
  <c r="BK205" i="1"/>
  <c r="BJ205" i="1"/>
  <c r="BI205" i="1"/>
  <c r="CB205" i="1" s="1"/>
  <c r="BH205" i="1"/>
  <c r="BG205" i="1"/>
  <c r="BF205" i="1"/>
  <c r="BS205" i="1" s="1"/>
  <c r="BE205" i="1"/>
  <c r="BR205" i="1" s="1"/>
  <c r="BD205" i="1"/>
  <c r="BQ205" i="1" s="1"/>
  <c r="BC205" i="1"/>
  <c r="BP205" i="1" s="1"/>
  <c r="BB205" i="1"/>
  <c r="BO205" i="1" s="1"/>
  <c r="BA205" i="1"/>
  <c r="BN205" i="1" s="1"/>
  <c r="AZ205" i="1"/>
  <c r="BZ205" i="1" s="1"/>
  <c r="AY205" i="1"/>
  <c r="BY205" i="1" s="1"/>
  <c r="AX205" i="1"/>
  <c r="AW205" i="1"/>
  <c r="AV205" i="1"/>
  <c r="BW205" i="1" s="1"/>
  <c r="BM204" i="1"/>
  <c r="BV204" i="1" s="1"/>
  <c r="BL204" i="1"/>
  <c r="BT204" i="1" s="1"/>
  <c r="BK204" i="1"/>
  <c r="BJ204" i="1"/>
  <c r="BI204" i="1"/>
  <c r="CB204" i="1" s="1"/>
  <c r="BH204" i="1"/>
  <c r="BG204" i="1"/>
  <c r="BF204" i="1"/>
  <c r="BS204" i="1" s="1"/>
  <c r="BE204" i="1"/>
  <c r="BR204" i="1" s="1"/>
  <c r="BD204" i="1"/>
  <c r="BQ204" i="1" s="1"/>
  <c r="BC204" i="1"/>
  <c r="BP204" i="1" s="1"/>
  <c r="BB204" i="1"/>
  <c r="BO204" i="1" s="1"/>
  <c r="BA204" i="1"/>
  <c r="BN204" i="1" s="1"/>
  <c r="AZ204" i="1"/>
  <c r="BZ204" i="1" s="1"/>
  <c r="AY204" i="1"/>
  <c r="BY204" i="1" s="1"/>
  <c r="AX204" i="1"/>
  <c r="AW204" i="1"/>
  <c r="AV204" i="1"/>
  <c r="BM203" i="1"/>
  <c r="BV203" i="1" s="1"/>
  <c r="BL203" i="1"/>
  <c r="BT203" i="1" s="1"/>
  <c r="BK203" i="1"/>
  <c r="BJ203" i="1"/>
  <c r="BI203" i="1"/>
  <c r="CB203" i="1" s="1"/>
  <c r="BH203" i="1"/>
  <c r="BG203" i="1"/>
  <c r="BF203" i="1"/>
  <c r="BS203" i="1" s="1"/>
  <c r="BE203" i="1"/>
  <c r="BR203" i="1" s="1"/>
  <c r="BD203" i="1"/>
  <c r="BQ203" i="1" s="1"/>
  <c r="BC203" i="1"/>
  <c r="BP203" i="1" s="1"/>
  <c r="BB203" i="1"/>
  <c r="BO203" i="1" s="1"/>
  <c r="BA203" i="1"/>
  <c r="BN203" i="1" s="1"/>
  <c r="AZ203" i="1"/>
  <c r="BZ203" i="1" s="1"/>
  <c r="AY203" i="1"/>
  <c r="BY203" i="1" s="1"/>
  <c r="AX203" i="1"/>
  <c r="AW203" i="1"/>
  <c r="AV203" i="1"/>
  <c r="BM202" i="1"/>
  <c r="BV202" i="1" s="1"/>
  <c r="BL202" i="1"/>
  <c r="BT202" i="1" s="1"/>
  <c r="BK202" i="1"/>
  <c r="BJ202" i="1"/>
  <c r="BI202" i="1"/>
  <c r="CB202" i="1" s="1"/>
  <c r="BH202" i="1"/>
  <c r="BG202" i="1"/>
  <c r="BF202" i="1"/>
  <c r="BS202" i="1" s="1"/>
  <c r="BE202" i="1"/>
  <c r="BR202" i="1" s="1"/>
  <c r="BD202" i="1"/>
  <c r="BQ202" i="1" s="1"/>
  <c r="BC202" i="1"/>
  <c r="BP202" i="1" s="1"/>
  <c r="BB202" i="1"/>
  <c r="BO202" i="1" s="1"/>
  <c r="BA202" i="1"/>
  <c r="BN202" i="1" s="1"/>
  <c r="AZ202" i="1"/>
  <c r="BZ202" i="1" s="1"/>
  <c r="AY202" i="1"/>
  <c r="BY202" i="1" s="1"/>
  <c r="AX202" i="1"/>
  <c r="AW202" i="1"/>
  <c r="AV202" i="1"/>
  <c r="BW202" i="1" s="1"/>
  <c r="BM201" i="1"/>
  <c r="BV201" i="1" s="1"/>
  <c r="BL201" i="1"/>
  <c r="BT201" i="1" s="1"/>
  <c r="BK201" i="1"/>
  <c r="BJ201" i="1"/>
  <c r="BI201" i="1"/>
  <c r="CB201" i="1" s="1"/>
  <c r="BH201" i="1"/>
  <c r="BG201" i="1"/>
  <c r="BF201" i="1"/>
  <c r="BS201" i="1" s="1"/>
  <c r="BE201" i="1"/>
  <c r="BR201" i="1" s="1"/>
  <c r="BD201" i="1"/>
  <c r="BQ201" i="1" s="1"/>
  <c r="BC201" i="1"/>
  <c r="BP201" i="1" s="1"/>
  <c r="BB201" i="1"/>
  <c r="BO201" i="1" s="1"/>
  <c r="BA201" i="1"/>
  <c r="BN201" i="1" s="1"/>
  <c r="AZ201" i="1"/>
  <c r="BZ201" i="1" s="1"/>
  <c r="AY201" i="1"/>
  <c r="BY201" i="1" s="1"/>
  <c r="AX201" i="1"/>
  <c r="AW201" i="1"/>
  <c r="AV201" i="1"/>
  <c r="BW201" i="1" s="1"/>
  <c r="BM200" i="1"/>
  <c r="BV200" i="1" s="1"/>
  <c r="BL200" i="1"/>
  <c r="BT200" i="1" s="1"/>
  <c r="BK200" i="1"/>
  <c r="BJ200" i="1"/>
  <c r="BI200" i="1"/>
  <c r="CB200" i="1" s="1"/>
  <c r="BH200" i="1"/>
  <c r="BG200" i="1"/>
  <c r="BF200" i="1"/>
  <c r="BS200" i="1" s="1"/>
  <c r="BE200" i="1"/>
  <c r="BR200" i="1" s="1"/>
  <c r="BD200" i="1"/>
  <c r="BQ200" i="1" s="1"/>
  <c r="BC200" i="1"/>
  <c r="BP200" i="1" s="1"/>
  <c r="BB200" i="1"/>
  <c r="BO200" i="1" s="1"/>
  <c r="BA200" i="1"/>
  <c r="BN200" i="1" s="1"/>
  <c r="AZ200" i="1"/>
  <c r="BZ200" i="1" s="1"/>
  <c r="AY200" i="1"/>
  <c r="BY200" i="1" s="1"/>
  <c r="AX200" i="1"/>
  <c r="AW200" i="1"/>
  <c r="AV200" i="1"/>
  <c r="BW200" i="1" s="1"/>
  <c r="BM199" i="1"/>
  <c r="BV199" i="1" s="1"/>
  <c r="BL199" i="1"/>
  <c r="BT199" i="1" s="1"/>
  <c r="BK199" i="1"/>
  <c r="BJ199" i="1"/>
  <c r="BI199" i="1"/>
  <c r="CB199" i="1" s="1"/>
  <c r="BH199" i="1"/>
  <c r="BG199" i="1"/>
  <c r="BF199" i="1"/>
  <c r="BS199" i="1" s="1"/>
  <c r="BE199" i="1"/>
  <c r="BR199" i="1" s="1"/>
  <c r="BD199" i="1"/>
  <c r="BQ199" i="1" s="1"/>
  <c r="BC199" i="1"/>
  <c r="BP199" i="1" s="1"/>
  <c r="BB199" i="1"/>
  <c r="BO199" i="1" s="1"/>
  <c r="BA199" i="1"/>
  <c r="BN199" i="1" s="1"/>
  <c r="AZ199" i="1"/>
  <c r="BZ199" i="1" s="1"/>
  <c r="AY199" i="1"/>
  <c r="BY199" i="1" s="1"/>
  <c r="AX199" i="1"/>
  <c r="AW199" i="1"/>
  <c r="AV199" i="1"/>
  <c r="BW199" i="1" s="1"/>
  <c r="BM198" i="1"/>
  <c r="BV198" i="1" s="1"/>
  <c r="BL198" i="1"/>
  <c r="BT198" i="1" s="1"/>
  <c r="BK198" i="1"/>
  <c r="BJ198" i="1"/>
  <c r="BI198" i="1"/>
  <c r="CB198" i="1" s="1"/>
  <c r="BH198" i="1"/>
  <c r="BG198" i="1"/>
  <c r="BF198" i="1"/>
  <c r="BS198" i="1" s="1"/>
  <c r="BE198" i="1"/>
  <c r="BR198" i="1" s="1"/>
  <c r="BD198" i="1"/>
  <c r="BQ198" i="1" s="1"/>
  <c r="BC198" i="1"/>
  <c r="BP198" i="1" s="1"/>
  <c r="BB198" i="1"/>
  <c r="BO198" i="1" s="1"/>
  <c r="BA198" i="1"/>
  <c r="BN198" i="1" s="1"/>
  <c r="AZ198" i="1"/>
  <c r="BZ198" i="1" s="1"/>
  <c r="AY198" i="1"/>
  <c r="BY198" i="1" s="1"/>
  <c r="AX198" i="1"/>
  <c r="AW198" i="1"/>
  <c r="AV198" i="1"/>
  <c r="BM197" i="1"/>
  <c r="BV197" i="1" s="1"/>
  <c r="BL197" i="1"/>
  <c r="BT197" i="1" s="1"/>
  <c r="BK197" i="1"/>
  <c r="BJ197" i="1"/>
  <c r="BI197" i="1"/>
  <c r="CB197" i="1" s="1"/>
  <c r="BH197" i="1"/>
  <c r="BG197" i="1"/>
  <c r="BF197" i="1"/>
  <c r="BS197" i="1" s="1"/>
  <c r="BE197" i="1"/>
  <c r="BR197" i="1" s="1"/>
  <c r="BD197" i="1"/>
  <c r="BQ197" i="1" s="1"/>
  <c r="BC197" i="1"/>
  <c r="BP197" i="1" s="1"/>
  <c r="BB197" i="1"/>
  <c r="BO197" i="1" s="1"/>
  <c r="BA197" i="1"/>
  <c r="BN197" i="1" s="1"/>
  <c r="AZ197" i="1"/>
  <c r="BZ197" i="1" s="1"/>
  <c r="AY197" i="1"/>
  <c r="BY197" i="1" s="1"/>
  <c r="AX197" i="1"/>
  <c r="AW197" i="1"/>
  <c r="AV197" i="1"/>
  <c r="BW197" i="1" s="1"/>
  <c r="BM196" i="1"/>
  <c r="BV196" i="1" s="1"/>
  <c r="BL196" i="1"/>
  <c r="BT196" i="1" s="1"/>
  <c r="BK196" i="1"/>
  <c r="BJ196" i="1"/>
  <c r="BI196" i="1"/>
  <c r="CB196" i="1" s="1"/>
  <c r="BH196" i="1"/>
  <c r="BG196" i="1"/>
  <c r="BF196" i="1"/>
  <c r="BS196" i="1" s="1"/>
  <c r="BE196" i="1"/>
  <c r="BR196" i="1" s="1"/>
  <c r="BD196" i="1"/>
  <c r="BQ196" i="1" s="1"/>
  <c r="BC196" i="1"/>
  <c r="BP196" i="1" s="1"/>
  <c r="BB196" i="1"/>
  <c r="BO196" i="1" s="1"/>
  <c r="BA196" i="1"/>
  <c r="BN196" i="1" s="1"/>
  <c r="AZ196" i="1"/>
  <c r="BZ196" i="1" s="1"/>
  <c r="AY196" i="1"/>
  <c r="BY196" i="1" s="1"/>
  <c r="AX196" i="1"/>
  <c r="AW196" i="1"/>
  <c r="AV196" i="1"/>
  <c r="BM195" i="1"/>
  <c r="BV195" i="1" s="1"/>
  <c r="BL195" i="1"/>
  <c r="BT195" i="1" s="1"/>
  <c r="BK195" i="1"/>
  <c r="BJ195" i="1"/>
  <c r="BI195" i="1"/>
  <c r="CB195" i="1" s="1"/>
  <c r="BH195" i="1"/>
  <c r="BG195" i="1"/>
  <c r="BF195" i="1"/>
  <c r="BS195" i="1" s="1"/>
  <c r="BE195" i="1"/>
  <c r="BR195" i="1" s="1"/>
  <c r="BD195" i="1"/>
  <c r="BQ195" i="1" s="1"/>
  <c r="BC195" i="1"/>
  <c r="BP195" i="1" s="1"/>
  <c r="BB195" i="1"/>
  <c r="BO195" i="1" s="1"/>
  <c r="BA195" i="1"/>
  <c r="BN195" i="1" s="1"/>
  <c r="AZ195" i="1"/>
  <c r="BZ195" i="1" s="1"/>
  <c r="AY195" i="1"/>
  <c r="BY195" i="1" s="1"/>
  <c r="AX195" i="1"/>
  <c r="AW195" i="1"/>
  <c r="AV195" i="1"/>
  <c r="BM194" i="1"/>
  <c r="BV194" i="1" s="1"/>
  <c r="BL194" i="1"/>
  <c r="BT194" i="1" s="1"/>
  <c r="BK194" i="1"/>
  <c r="BJ194" i="1"/>
  <c r="BI194" i="1"/>
  <c r="CB194" i="1" s="1"/>
  <c r="BH194" i="1"/>
  <c r="BG194" i="1"/>
  <c r="BF194" i="1"/>
  <c r="BS194" i="1" s="1"/>
  <c r="BE194" i="1"/>
  <c r="BR194" i="1" s="1"/>
  <c r="BD194" i="1"/>
  <c r="BQ194" i="1" s="1"/>
  <c r="BC194" i="1"/>
  <c r="BP194" i="1" s="1"/>
  <c r="BB194" i="1"/>
  <c r="BO194" i="1" s="1"/>
  <c r="BA194" i="1"/>
  <c r="BN194" i="1" s="1"/>
  <c r="AZ194" i="1"/>
  <c r="BZ194" i="1" s="1"/>
  <c r="AY194" i="1"/>
  <c r="BY194" i="1" s="1"/>
  <c r="AX194" i="1"/>
  <c r="AW194" i="1"/>
  <c r="AV194" i="1"/>
  <c r="BW194" i="1" s="1"/>
  <c r="BM193" i="1"/>
  <c r="BV193" i="1" s="1"/>
  <c r="BL193" i="1"/>
  <c r="BT193" i="1" s="1"/>
  <c r="BK193" i="1"/>
  <c r="BJ193" i="1"/>
  <c r="BI193" i="1"/>
  <c r="CB193" i="1" s="1"/>
  <c r="BH193" i="1"/>
  <c r="BG193" i="1"/>
  <c r="BF193" i="1"/>
  <c r="BS193" i="1" s="1"/>
  <c r="BE193" i="1"/>
  <c r="BR193" i="1" s="1"/>
  <c r="BD193" i="1"/>
  <c r="BQ193" i="1" s="1"/>
  <c r="BC193" i="1"/>
  <c r="BP193" i="1" s="1"/>
  <c r="BB193" i="1"/>
  <c r="BO193" i="1" s="1"/>
  <c r="BA193" i="1"/>
  <c r="BN193" i="1" s="1"/>
  <c r="AZ193" i="1"/>
  <c r="BZ193" i="1" s="1"/>
  <c r="AY193" i="1"/>
  <c r="BY193" i="1" s="1"/>
  <c r="AX193" i="1"/>
  <c r="AW193" i="1"/>
  <c r="AV193" i="1"/>
  <c r="BW193" i="1" s="1"/>
  <c r="BM192" i="1"/>
  <c r="BV192" i="1" s="1"/>
  <c r="BL192" i="1"/>
  <c r="BT192" i="1" s="1"/>
  <c r="BK192" i="1"/>
  <c r="BJ192" i="1"/>
  <c r="BI192" i="1"/>
  <c r="CB192" i="1" s="1"/>
  <c r="BH192" i="1"/>
  <c r="BG192" i="1"/>
  <c r="BF192" i="1"/>
  <c r="BS192" i="1" s="1"/>
  <c r="BE192" i="1"/>
  <c r="BR192" i="1" s="1"/>
  <c r="BD192" i="1"/>
  <c r="BQ192" i="1" s="1"/>
  <c r="BC192" i="1"/>
  <c r="BP192" i="1" s="1"/>
  <c r="BB192" i="1"/>
  <c r="BO192" i="1" s="1"/>
  <c r="BA192" i="1"/>
  <c r="BN192" i="1" s="1"/>
  <c r="AZ192" i="1"/>
  <c r="BZ192" i="1" s="1"/>
  <c r="AY192" i="1"/>
  <c r="BY192" i="1" s="1"/>
  <c r="AX192" i="1"/>
  <c r="AW192" i="1"/>
  <c r="AV192" i="1"/>
  <c r="BW192" i="1" s="1"/>
  <c r="BM191" i="1"/>
  <c r="BV191" i="1" s="1"/>
  <c r="BL191" i="1"/>
  <c r="BT191" i="1" s="1"/>
  <c r="BK191" i="1"/>
  <c r="BJ191" i="1"/>
  <c r="BI191" i="1"/>
  <c r="CB191" i="1" s="1"/>
  <c r="BH191" i="1"/>
  <c r="BG191" i="1"/>
  <c r="BF191" i="1"/>
  <c r="BS191" i="1" s="1"/>
  <c r="BE191" i="1"/>
  <c r="BR191" i="1" s="1"/>
  <c r="BD191" i="1"/>
  <c r="BQ191" i="1" s="1"/>
  <c r="BC191" i="1"/>
  <c r="BP191" i="1" s="1"/>
  <c r="BB191" i="1"/>
  <c r="BO191" i="1" s="1"/>
  <c r="BA191" i="1"/>
  <c r="BN191" i="1" s="1"/>
  <c r="AZ191" i="1"/>
  <c r="BZ191" i="1" s="1"/>
  <c r="AY191" i="1"/>
  <c r="BY191" i="1" s="1"/>
  <c r="AX191" i="1"/>
  <c r="AW191" i="1"/>
  <c r="AV191" i="1"/>
  <c r="BW191" i="1" s="1"/>
  <c r="BM190" i="1"/>
  <c r="BV190" i="1" s="1"/>
  <c r="BL190" i="1"/>
  <c r="BT190" i="1" s="1"/>
  <c r="BK190" i="1"/>
  <c r="BJ190" i="1"/>
  <c r="BI190" i="1"/>
  <c r="CB190" i="1" s="1"/>
  <c r="BH190" i="1"/>
  <c r="BG190" i="1"/>
  <c r="BF190" i="1"/>
  <c r="BS190" i="1" s="1"/>
  <c r="BE190" i="1"/>
  <c r="BR190" i="1" s="1"/>
  <c r="BD190" i="1"/>
  <c r="BQ190" i="1" s="1"/>
  <c r="BC190" i="1"/>
  <c r="BP190" i="1" s="1"/>
  <c r="BB190" i="1"/>
  <c r="BO190" i="1" s="1"/>
  <c r="BA190" i="1"/>
  <c r="BN190" i="1" s="1"/>
  <c r="AZ190" i="1"/>
  <c r="BZ190" i="1" s="1"/>
  <c r="AY190" i="1"/>
  <c r="BY190" i="1" s="1"/>
  <c r="AX190" i="1"/>
  <c r="AW190" i="1"/>
  <c r="AV190" i="1"/>
  <c r="BW190" i="1" s="1"/>
  <c r="BM189" i="1"/>
  <c r="BV189" i="1" s="1"/>
  <c r="BL189" i="1"/>
  <c r="BT189" i="1" s="1"/>
  <c r="BK189" i="1"/>
  <c r="BJ189" i="1"/>
  <c r="BI189" i="1"/>
  <c r="CB189" i="1" s="1"/>
  <c r="BH189" i="1"/>
  <c r="BG189" i="1"/>
  <c r="BF189" i="1"/>
  <c r="BS189" i="1" s="1"/>
  <c r="BE189" i="1"/>
  <c r="BR189" i="1" s="1"/>
  <c r="BD189" i="1"/>
  <c r="BQ189" i="1" s="1"/>
  <c r="BC189" i="1"/>
  <c r="BP189" i="1" s="1"/>
  <c r="BB189" i="1"/>
  <c r="BO189" i="1" s="1"/>
  <c r="BA189" i="1"/>
  <c r="BN189" i="1" s="1"/>
  <c r="AZ189" i="1"/>
  <c r="BZ189" i="1" s="1"/>
  <c r="AY189" i="1"/>
  <c r="BY189" i="1" s="1"/>
  <c r="AX189" i="1"/>
  <c r="AW189" i="1"/>
  <c r="AV189" i="1"/>
  <c r="BW189" i="1" s="1"/>
  <c r="BM188" i="1"/>
  <c r="BV188" i="1" s="1"/>
  <c r="BL188" i="1"/>
  <c r="BT188" i="1" s="1"/>
  <c r="BK188" i="1"/>
  <c r="BJ188" i="1"/>
  <c r="BI188" i="1"/>
  <c r="CB188" i="1" s="1"/>
  <c r="BH188" i="1"/>
  <c r="BG188" i="1"/>
  <c r="BF188" i="1"/>
  <c r="BS188" i="1" s="1"/>
  <c r="BE188" i="1"/>
  <c r="BR188" i="1" s="1"/>
  <c r="BD188" i="1"/>
  <c r="BQ188" i="1" s="1"/>
  <c r="BC188" i="1"/>
  <c r="BP188" i="1" s="1"/>
  <c r="BB188" i="1"/>
  <c r="BO188" i="1" s="1"/>
  <c r="BA188" i="1"/>
  <c r="BN188" i="1" s="1"/>
  <c r="AZ188" i="1"/>
  <c r="BZ188" i="1" s="1"/>
  <c r="AY188" i="1"/>
  <c r="BY188" i="1" s="1"/>
  <c r="AX188" i="1"/>
  <c r="AW188" i="1"/>
  <c r="AV188" i="1"/>
  <c r="BW188" i="1" s="1"/>
  <c r="BM187" i="1"/>
  <c r="BV187" i="1" s="1"/>
  <c r="BL187" i="1"/>
  <c r="BT187" i="1" s="1"/>
  <c r="BK187" i="1"/>
  <c r="BJ187" i="1"/>
  <c r="BI187" i="1"/>
  <c r="CB187" i="1" s="1"/>
  <c r="BH187" i="1"/>
  <c r="BG187" i="1"/>
  <c r="BF187" i="1"/>
  <c r="BS187" i="1" s="1"/>
  <c r="BE187" i="1"/>
  <c r="BR187" i="1" s="1"/>
  <c r="BD187" i="1"/>
  <c r="BQ187" i="1" s="1"/>
  <c r="BC187" i="1"/>
  <c r="BP187" i="1" s="1"/>
  <c r="BB187" i="1"/>
  <c r="BO187" i="1" s="1"/>
  <c r="BA187" i="1"/>
  <c r="BN187" i="1" s="1"/>
  <c r="AZ187" i="1"/>
  <c r="BZ187" i="1" s="1"/>
  <c r="AY187" i="1"/>
  <c r="BY187" i="1" s="1"/>
  <c r="AX187" i="1"/>
  <c r="AW187" i="1"/>
  <c r="AV187" i="1"/>
  <c r="BW187" i="1" s="1"/>
  <c r="BM186" i="1"/>
  <c r="BV186" i="1" s="1"/>
  <c r="BL186" i="1"/>
  <c r="BT186" i="1" s="1"/>
  <c r="BK186" i="1"/>
  <c r="BJ186" i="1"/>
  <c r="BI186" i="1"/>
  <c r="CB186" i="1" s="1"/>
  <c r="BH186" i="1"/>
  <c r="BG186" i="1"/>
  <c r="BF186" i="1"/>
  <c r="BS186" i="1" s="1"/>
  <c r="BE186" i="1"/>
  <c r="BR186" i="1" s="1"/>
  <c r="BD186" i="1"/>
  <c r="BQ186" i="1" s="1"/>
  <c r="BC186" i="1"/>
  <c r="BP186" i="1" s="1"/>
  <c r="BB186" i="1"/>
  <c r="BO186" i="1" s="1"/>
  <c r="BA186" i="1"/>
  <c r="BN186" i="1" s="1"/>
  <c r="AZ186" i="1"/>
  <c r="BZ186" i="1" s="1"/>
  <c r="AY186" i="1"/>
  <c r="BY186" i="1" s="1"/>
  <c r="AX186" i="1"/>
  <c r="AW186" i="1"/>
  <c r="AV186" i="1"/>
  <c r="BW186" i="1" s="1"/>
  <c r="BM185" i="1"/>
  <c r="BV185" i="1" s="1"/>
  <c r="BL185" i="1"/>
  <c r="BT185" i="1" s="1"/>
  <c r="BK185" i="1"/>
  <c r="BJ185" i="1"/>
  <c r="BI185" i="1"/>
  <c r="CB185" i="1" s="1"/>
  <c r="BH185" i="1"/>
  <c r="BG185" i="1"/>
  <c r="BF185" i="1"/>
  <c r="BS185" i="1" s="1"/>
  <c r="BE185" i="1"/>
  <c r="BR185" i="1" s="1"/>
  <c r="BD185" i="1"/>
  <c r="BQ185" i="1" s="1"/>
  <c r="BC185" i="1"/>
  <c r="BP185" i="1" s="1"/>
  <c r="BB185" i="1"/>
  <c r="BO185" i="1" s="1"/>
  <c r="BA185" i="1"/>
  <c r="BN185" i="1" s="1"/>
  <c r="AZ185" i="1"/>
  <c r="BZ185" i="1" s="1"/>
  <c r="AY185" i="1"/>
  <c r="BY185" i="1" s="1"/>
  <c r="AX185" i="1"/>
  <c r="AW185" i="1"/>
  <c r="AV185" i="1"/>
  <c r="BW185" i="1" s="1"/>
  <c r="BM184" i="1"/>
  <c r="BV184" i="1" s="1"/>
  <c r="BL184" i="1"/>
  <c r="BT184" i="1" s="1"/>
  <c r="BK184" i="1"/>
  <c r="BJ184" i="1"/>
  <c r="BI184" i="1"/>
  <c r="CB184" i="1" s="1"/>
  <c r="BH184" i="1"/>
  <c r="BG184" i="1"/>
  <c r="BF184" i="1"/>
  <c r="BS184" i="1" s="1"/>
  <c r="BE184" i="1"/>
  <c r="BR184" i="1" s="1"/>
  <c r="BD184" i="1"/>
  <c r="BQ184" i="1" s="1"/>
  <c r="BC184" i="1"/>
  <c r="BP184" i="1" s="1"/>
  <c r="BB184" i="1"/>
  <c r="BO184" i="1" s="1"/>
  <c r="BA184" i="1"/>
  <c r="BN184" i="1" s="1"/>
  <c r="AZ184" i="1"/>
  <c r="BZ184" i="1" s="1"/>
  <c r="AY184" i="1"/>
  <c r="BY184" i="1" s="1"/>
  <c r="AX184" i="1"/>
  <c r="AW184" i="1"/>
  <c r="AV184" i="1"/>
  <c r="BM183" i="1"/>
  <c r="BV183" i="1" s="1"/>
  <c r="BL183" i="1"/>
  <c r="BT183" i="1" s="1"/>
  <c r="BK183" i="1"/>
  <c r="BJ183" i="1"/>
  <c r="BI183" i="1"/>
  <c r="CB183" i="1" s="1"/>
  <c r="BH183" i="1"/>
  <c r="BG183" i="1"/>
  <c r="BF183" i="1"/>
  <c r="BS183" i="1" s="1"/>
  <c r="BE183" i="1"/>
  <c r="BR183" i="1" s="1"/>
  <c r="BD183" i="1"/>
  <c r="BQ183" i="1" s="1"/>
  <c r="BC183" i="1"/>
  <c r="BP183" i="1" s="1"/>
  <c r="BB183" i="1"/>
  <c r="BO183" i="1" s="1"/>
  <c r="BA183" i="1"/>
  <c r="BN183" i="1" s="1"/>
  <c r="AZ183" i="1"/>
  <c r="BZ183" i="1" s="1"/>
  <c r="AY183" i="1"/>
  <c r="BY183" i="1" s="1"/>
  <c r="AX183" i="1"/>
  <c r="AW183" i="1"/>
  <c r="AV183" i="1"/>
  <c r="BM182" i="1"/>
  <c r="BV182" i="1" s="1"/>
  <c r="BL182" i="1"/>
  <c r="BT182" i="1" s="1"/>
  <c r="BK182" i="1"/>
  <c r="BJ182" i="1"/>
  <c r="BI182" i="1"/>
  <c r="CB182" i="1" s="1"/>
  <c r="BH182" i="1"/>
  <c r="BG182" i="1"/>
  <c r="BF182" i="1"/>
  <c r="BS182" i="1" s="1"/>
  <c r="BE182" i="1"/>
  <c r="BR182" i="1" s="1"/>
  <c r="BD182" i="1"/>
  <c r="BQ182" i="1" s="1"/>
  <c r="BC182" i="1"/>
  <c r="BP182" i="1" s="1"/>
  <c r="BB182" i="1"/>
  <c r="BO182" i="1" s="1"/>
  <c r="BA182" i="1"/>
  <c r="BN182" i="1" s="1"/>
  <c r="AZ182" i="1"/>
  <c r="BZ182" i="1" s="1"/>
  <c r="AY182" i="1"/>
  <c r="BY182" i="1" s="1"/>
  <c r="AX182" i="1"/>
  <c r="AW182" i="1"/>
  <c r="AV182" i="1"/>
  <c r="BW182" i="1" s="1"/>
  <c r="BM181" i="1"/>
  <c r="BV181" i="1" s="1"/>
  <c r="BL181" i="1"/>
  <c r="BT181" i="1" s="1"/>
  <c r="BK181" i="1"/>
  <c r="BJ181" i="1"/>
  <c r="BI181" i="1"/>
  <c r="CB181" i="1" s="1"/>
  <c r="BH181" i="1"/>
  <c r="BG181" i="1"/>
  <c r="BF181" i="1"/>
  <c r="BS181" i="1" s="1"/>
  <c r="BE181" i="1"/>
  <c r="BR181" i="1" s="1"/>
  <c r="BD181" i="1"/>
  <c r="BQ181" i="1" s="1"/>
  <c r="BC181" i="1"/>
  <c r="BP181" i="1" s="1"/>
  <c r="BB181" i="1"/>
  <c r="BO181" i="1" s="1"/>
  <c r="BA181" i="1"/>
  <c r="BN181" i="1" s="1"/>
  <c r="AZ181" i="1"/>
  <c r="BZ181" i="1" s="1"/>
  <c r="AY181" i="1"/>
  <c r="BY181" i="1" s="1"/>
  <c r="AX181" i="1"/>
  <c r="AW181" i="1"/>
  <c r="AV181" i="1"/>
  <c r="BW181" i="1" s="1"/>
  <c r="BM180" i="1"/>
  <c r="BV180" i="1" s="1"/>
  <c r="BL180" i="1"/>
  <c r="BT180" i="1" s="1"/>
  <c r="BK180" i="1"/>
  <c r="BJ180" i="1"/>
  <c r="BI180" i="1"/>
  <c r="CB180" i="1" s="1"/>
  <c r="BH180" i="1"/>
  <c r="BG180" i="1"/>
  <c r="BF180" i="1"/>
  <c r="BS180" i="1" s="1"/>
  <c r="BE180" i="1"/>
  <c r="BR180" i="1" s="1"/>
  <c r="BD180" i="1"/>
  <c r="BQ180" i="1" s="1"/>
  <c r="BC180" i="1"/>
  <c r="BP180" i="1" s="1"/>
  <c r="BB180" i="1"/>
  <c r="BO180" i="1" s="1"/>
  <c r="BA180" i="1"/>
  <c r="BN180" i="1" s="1"/>
  <c r="AZ180" i="1"/>
  <c r="BZ180" i="1" s="1"/>
  <c r="AY180" i="1"/>
  <c r="BY180" i="1" s="1"/>
  <c r="AX180" i="1"/>
  <c r="AW180" i="1"/>
  <c r="AV180" i="1"/>
  <c r="BW180" i="1" s="1"/>
  <c r="BM179" i="1"/>
  <c r="BV179" i="1" s="1"/>
  <c r="BL179" i="1"/>
  <c r="BT179" i="1" s="1"/>
  <c r="BK179" i="1"/>
  <c r="BJ179" i="1"/>
  <c r="BI179" i="1"/>
  <c r="CB179" i="1" s="1"/>
  <c r="BH179" i="1"/>
  <c r="BG179" i="1"/>
  <c r="BF179" i="1"/>
  <c r="BS179" i="1" s="1"/>
  <c r="BE179" i="1"/>
  <c r="BR179" i="1" s="1"/>
  <c r="BD179" i="1"/>
  <c r="BQ179" i="1" s="1"/>
  <c r="BC179" i="1"/>
  <c r="BP179" i="1" s="1"/>
  <c r="BB179" i="1"/>
  <c r="BO179" i="1" s="1"/>
  <c r="BA179" i="1"/>
  <c r="BN179" i="1" s="1"/>
  <c r="AZ179" i="1"/>
  <c r="BZ179" i="1" s="1"/>
  <c r="AY179" i="1"/>
  <c r="BY179" i="1" s="1"/>
  <c r="AX179" i="1"/>
  <c r="AW179" i="1"/>
  <c r="AV179" i="1"/>
  <c r="BW179" i="1" s="1"/>
  <c r="BM178" i="1"/>
  <c r="BV178" i="1" s="1"/>
  <c r="BL178" i="1"/>
  <c r="BT178" i="1" s="1"/>
  <c r="BK178" i="1"/>
  <c r="BJ178" i="1"/>
  <c r="BI178" i="1"/>
  <c r="CB178" i="1" s="1"/>
  <c r="BH178" i="1"/>
  <c r="BG178" i="1"/>
  <c r="BF178" i="1"/>
  <c r="BS178" i="1" s="1"/>
  <c r="BE178" i="1"/>
  <c r="BR178" i="1" s="1"/>
  <c r="BD178" i="1"/>
  <c r="BQ178" i="1" s="1"/>
  <c r="BC178" i="1"/>
  <c r="BP178" i="1" s="1"/>
  <c r="BB178" i="1"/>
  <c r="BO178" i="1" s="1"/>
  <c r="BA178" i="1"/>
  <c r="BN178" i="1" s="1"/>
  <c r="AZ178" i="1"/>
  <c r="BZ178" i="1" s="1"/>
  <c r="AY178" i="1"/>
  <c r="BY178" i="1" s="1"/>
  <c r="AX178" i="1"/>
  <c r="AW178" i="1"/>
  <c r="AV178" i="1"/>
  <c r="BW178" i="1" s="1"/>
  <c r="BM177" i="1"/>
  <c r="BV177" i="1" s="1"/>
  <c r="BL177" i="1"/>
  <c r="BT177" i="1" s="1"/>
  <c r="BK177" i="1"/>
  <c r="BJ177" i="1"/>
  <c r="BI177" i="1"/>
  <c r="CB177" i="1" s="1"/>
  <c r="BH177" i="1"/>
  <c r="BG177" i="1"/>
  <c r="BF177" i="1"/>
  <c r="BS177" i="1" s="1"/>
  <c r="BE177" i="1"/>
  <c r="BR177" i="1" s="1"/>
  <c r="BD177" i="1"/>
  <c r="BQ177" i="1" s="1"/>
  <c r="BC177" i="1"/>
  <c r="BP177" i="1" s="1"/>
  <c r="BB177" i="1"/>
  <c r="BO177" i="1" s="1"/>
  <c r="BA177" i="1"/>
  <c r="BN177" i="1" s="1"/>
  <c r="AZ177" i="1"/>
  <c r="BZ177" i="1" s="1"/>
  <c r="AY177" i="1"/>
  <c r="BY177" i="1" s="1"/>
  <c r="AX177" i="1"/>
  <c r="AW177" i="1"/>
  <c r="AV177" i="1"/>
  <c r="BW177" i="1" s="1"/>
  <c r="BM176" i="1"/>
  <c r="BV176" i="1" s="1"/>
  <c r="BL176" i="1"/>
  <c r="BT176" i="1" s="1"/>
  <c r="BK176" i="1"/>
  <c r="BJ176" i="1"/>
  <c r="BI176" i="1"/>
  <c r="CB176" i="1" s="1"/>
  <c r="BH176" i="1"/>
  <c r="BG176" i="1"/>
  <c r="BF176" i="1"/>
  <c r="BS176" i="1" s="1"/>
  <c r="BE176" i="1"/>
  <c r="BR176" i="1" s="1"/>
  <c r="BD176" i="1"/>
  <c r="BQ176" i="1" s="1"/>
  <c r="BC176" i="1"/>
  <c r="BP176" i="1" s="1"/>
  <c r="BB176" i="1"/>
  <c r="BO176" i="1" s="1"/>
  <c r="BA176" i="1"/>
  <c r="BN176" i="1" s="1"/>
  <c r="AZ176" i="1"/>
  <c r="BZ176" i="1" s="1"/>
  <c r="AY176" i="1"/>
  <c r="BY176" i="1" s="1"/>
  <c r="AX176" i="1"/>
  <c r="AW176" i="1"/>
  <c r="AV176" i="1"/>
  <c r="BM175" i="1"/>
  <c r="BV175" i="1" s="1"/>
  <c r="BL175" i="1"/>
  <c r="BT175" i="1" s="1"/>
  <c r="BK175" i="1"/>
  <c r="BJ175" i="1"/>
  <c r="BI175" i="1"/>
  <c r="CB175" i="1" s="1"/>
  <c r="BH175" i="1"/>
  <c r="BG175" i="1"/>
  <c r="BF175" i="1"/>
  <c r="BS175" i="1" s="1"/>
  <c r="BE175" i="1"/>
  <c r="BR175" i="1" s="1"/>
  <c r="BD175" i="1"/>
  <c r="BQ175" i="1" s="1"/>
  <c r="BC175" i="1"/>
  <c r="BP175" i="1" s="1"/>
  <c r="BB175" i="1"/>
  <c r="BO175" i="1" s="1"/>
  <c r="BA175" i="1"/>
  <c r="BN175" i="1" s="1"/>
  <c r="AZ175" i="1"/>
  <c r="BZ175" i="1" s="1"/>
  <c r="AY175" i="1"/>
  <c r="BY175" i="1" s="1"/>
  <c r="AX175" i="1"/>
  <c r="AW175" i="1"/>
  <c r="AV175" i="1"/>
  <c r="BW175" i="1" s="1"/>
  <c r="BM174" i="1"/>
  <c r="BV174" i="1" s="1"/>
  <c r="BL174" i="1"/>
  <c r="BT174" i="1" s="1"/>
  <c r="BK174" i="1"/>
  <c r="BJ174" i="1"/>
  <c r="BI174" i="1"/>
  <c r="CB174" i="1" s="1"/>
  <c r="BH174" i="1"/>
  <c r="BG174" i="1"/>
  <c r="BF174" i="1"/>
  <c r="BS174" i="1" s="1"/>
  <c r="BE174" i="1"/>
  <c r="BR174" i="1" s="1"/>
  <c r="BD174" i="1"/>
  <c r="BQ174" i="1" s="1"/>
  <c r="BC174" i="1"/>
  <c r="BP174" i="1" s="1"/>
  <c r="BB174" i="1"/>
  <c r="BO174" i="1" s="1"/>
  <c r="BA174" i="1"/>
  <c r="BN174" i="1" s="1"/>
  <c r="AZ174" i="1"/>
  <c r="BZ174" i="1" s="1"/>
  <c r="AY174" i="1"/>
  <c r="BY174" i="1" s="1"/>
  <c r="AX174" i="1"/>
  <c r="AW174" i="1"/>
  <c r="AV174" i="1"/>
  <c r="BW174" i="1" s="1"/>
  <c r="BM173" i="1"/>
  <c r="BV173" i="1" s="1"/>
  <c r="BL173" i="1"/>
  <c r="BT173" i="1" s="1"/>
  <c r="BK173" i="1"/>
  <c r="BJ173" i="1"/>
  <c r="BI173" i="1"/>
  <c r="CB173" i="1" s="1"/>
  <c r="BH173" i="1"/>
  <c r="BG173" i="1"/>
  <c r="BF173" i="1"/>
  <c r="BS173" i="1" s="1"/>
  <c r="BE173" i="1"/>
  <c r="BR173" i="1" s="1"/>
  <c r="BD173" i="1"/>
  <c r="BQ173" i="1" s="1"/>
  <c r="BC173" i="1"/>
  <c r="BP173" i="1" s="1"/>
  <c r="BB173" i="1"/>
  <c r="BO173" i="1" s="1"/>
  <c r="BA173" i="1"/>
  <c r="BN173" i="1" s="1"/>
  <c r="AZ173" i="1"/>
  <c r="BZ173" i="1" s="1"/>
  <c r="AY173" i="1"/>
  <c r="BY173" i="1" s="1"/>
  <c r="AX173" i="1"/>
  <c r="AW173" i="1"/>
  <c r="AV173" i="1"/>
  <c r="BM172" i="1"/>
  <c r="BV172" i="1" s="1"/>
  <c r="BL172" i="1"/>
  <c r="BT172" i="1" s="1"/>
  <c r="BK172" i="1"/>
  <c r="BJ172" i="1"/>
  <c r="BI172" i="1"/>
  <c r="CB172" i="1" s="1"/>
  <c r="BH172" i="1"/>
  <c r="BG172" i="1"/>
  <c r="BF172" i="1"/>
  <c r="BS172" i="1" s="1"/>
  <c r="BE172" i="1"/>
  <c r="BR172" i="1" s="1"/>
  <c r="BD172" i="1"/>
  <c r="BQ172" i="1" s="1"/>
  <c r="BC172" i="1"/>
  <c r="BP172" i="1" s="1"/>
  <c r="BB172" i="1"/>
  <c r="BO172" i="1" s="1"/>
  <c r="BA172" i="1"/>
  <c r="BN172" i="1" s="1"/>
  <c r="AZ172" i="1"/>
  <c r="BZ172" i="1" s="1"/>
  <c r="AY172" i="1"/>
  <c r="BY172" i="1" s="1"/>
  <c r="AX172" i="1"/>
  <c r="AW172" i="1"/>
  <c r="AV172" i="1"/>
  <c r="BW172" i="1" s="1"/>
  <c r="BM171" i="1"/>
  <c r="BV171" i="1" s="1"/>
  <c r="BL171" i="1"/>
  <c r="BT171" i="1" s="1"/>
  <c r="BK171" i="1"/>
  <c r="BJ171" i="1"/>
  <c r="BI171" i="1"/>
  <c r="CB171" i="1" s="1"/>
  <c r="BH171" i="1"/>
  <c r="BG171" i="1"/>
  <c r="BF171" i="1"/>
  <c r="BS171" i="1" s="1"/>
  <c r="BE171" i="1"/>
  <c r="BR171" i="1" s="1"/>
  <c r="BD171" i="1"/>
  <c r="BQ171" i="1" s="1"/>
  <c r="BC171" i="1"/>
  <c r="BP171" i="1" s="1"/>
  <c r="BB171" i="1"/>
  <c r="BO171" i="1" s="1"/>
  <c r="BA171" i="1"/>
  <c r="BN171" i="1" s="1"/>
  <c r="AZ171" i="1"/>
  <c r="BZ171" i="1" s="1"/>
  <c r="AY171" i="1"/>
  <c r="BY171" i="1" s="1"/>
  <c r="AX171" i="1"/>
  <c r="AW171" i="1"/>
  <c r="AV171" i="1"/>
  <c r="BW171" i="1" s="1"/>
  <c r="BM170" i="1"/>
  <c r="BV170" i="1" s="1"/>
  <c r="BL170" i="1"/>
  <c r="BT170" i="1" s="1"/>
  <c r="BK170" i="1"/>
  <c r="BJ170" i="1"/>
  <c r="BI170" i="1"/>
  <c r="CB170" i="1" s="1"/>
  <c r="BH170" i="1"/>
  <c r="BG170" i="1"/>
  <c r="BF170" i="1"/>
  <c r="BS170" i="1" s="1"/>
  <c r="BE170" i="1"/>
  <c r="BR170" i="1" s="1"/>
  <c r="BD170" i="1"/>
  <c r="BQ170" i="1" s="1"/>
  <c r="BC170" i="1"/>
  <c r="BP170" i="1" s="1"/>
  <c r="BB170" i="1"/>
  <c r="BO170" i="1" s="1"/>
  <c r="BA170" i="1"/>
  <c r="BN170" i="1" s="1"/>
  <c r="AZ170" i="1"/>
  <c r="BZ170" i="1" s="1"/>
  <c r="AY170" i="1"/>
  <c r="BY170" i="1" s="1"/>
  <c r="AX170" i="1"/>
  <c r="AW170" i="1"/>
  <c r="AV170" i="1"/>
  <c r="BW170" i="1" s="1"/>
  <c r="BM169" i="1"/>
  <c r="BV169" i="1" s="1"/>
  <c r="BL169" i="1"/>
  <c r="BT169" i="1" s="1"/>
  <c r="BK169" i="1"/>
  <c r="BJ169" i="1"/>
  <c r="BI169" i="1"/>
  <c r="CB169" i="1" s="1"/>
  <c r="BH169" i="1"/>
  <c r="BG169" i="1"/>
  <c r="BF169" i="1"/>
  <c r="BS169" i="1" s="1"/>
  <c r="BE169" i="1"/>
  <c r="BR169" i="1" s="1"/>
  <c r="BD169" i="1"/>
  <c r="BQ169" i="1" s="1"/>
  <c r="BC169" i="1"/>
  <c r="BP169" i="1" s="1"/>
  <c r="BB169" i="1"/>
  <c r="BO169" i="1" s="1"/>
  <c r="BA169" i="1"/>
  <c r="BN169" i="1" s="1"/>
  <c r="AZ169" i="1"/>
  <c r="BZ169" i="1" s="1"/>
  <c r="AY169" i="1"/>
  <c r="BY169" i="1" s="1"/>
  <c r="AX169" i="1"/>
  <c r="AW169" i="1"/>
  <c r="AV169" i="1"/>
  <c r="BW169" i="1" s="1"/>
  <c r="BM168" i="1"/>
  <c r="BV168" i="1" s="1"/>
  <c r="BL168" i="1"/>
  <c r="BT168" i="1" s="1"/>
  <c r="BK168" i="1"/>
  <c r="BJ168" i="1"/>
  <c r="BI168" i="1"/>
  <c r="CB168" i="1" s="1"/>
  <c r="BH168" i="1"/>
  <c r="BG168" i="1"/>
  <c r="BF168" i="1"/>
  <c r="BS168" i="1" s="1"/>
  <c r="BE168" i="1"/>
  <c r="BR168" i="1" s="1"/>
  <c r="BD168" i="1"/>
  <c r="BQ168" i="1" s="1"/>
  <c r="BC168" i="1"/>
  <c r="BP168" i="1" s="1"/>
  <c r="BB168" i="1"/>
  <c r="BO168" i="1" s="1"/>
  <c r="BA168" i="1"/>
  <c r="BN168" i="1" s="1"/>
  <c r="AZ168" i="1"/>
  <c r="BZ168" i="1" s="1"/>
  <c r="AY168" i="1"/>
  <c r="BY168" i="1" s="1"/>
  <c r="AX168" i="1"/>
  <c r="AW168" i="1"/>
  <c r="AV168" i="1"/>
  <c r="BW168" i="1" s="1"/>
  <c r="BM167" i="1"/>
  <c r="BV167" i="1" s="1"/>
  <c r="BL167" i="1"/>
  <c r="BT167" i="1" s="1"/>
  <c r="BK167" i="1"/>
  <c r="BJ167" i="1"/>
  <c r="BI167" i="1"/>
  <c r="CB167" i="1" s="1"/>
  <c r="BH167" i="1"/>
  <c r="BG167" i="1"/>
  <c r="BF167" i="1"/>
  <c r="BS167" i="1" s="1"/>
  <c r="BE167" i="1"/>
  <c r="BR167" i="1" s="1"/>
  <c r="BD167" i="1"/>
  <c r="BQ167" i="1" s="1"/>
  <c r="BC167" i="1"/>
  <c r="BP167" i="1" s="1"/>
  <c r="BB167" i="1"/>
  <c r="BO167" i="1" s="1"/>
  <c r="BA167" i="1"/>
  <c r="BN167" i="1" s="1"/>
  <c r="AZ167" i="1"/>
  <c r="BZ167" i="1" s="1"/>
  <c r="AY167" i="1"/>
  <c r="BY167" i="1" s="1"/>
  <c r="AX167" i="1"/>
  <c r="AW167" i="1"/>
  <c r="AV167" i="1"/>
  <c r="BW167" i="1" s="1"/>
  <c r="BM166" i="1"/>
  <c r="BV166" i="1" s="1"/>
  <c r="BL166" i="1"/>
  <c r="BT166" i="1" s="1"/>
  <c r="BK166" i="1"/>
  <c r="BJ166" i="1"/>
  <c r="BI166" i="1"/>
  <c r="CB166" i="1" s="1"/>
  <c r="BH166" i="1"/>
  <c r="BG166" i="1"/>
  <c r="BF166" i="1"/>
  <c r="BS166" i="1" s="1"/>
  <c r="BE166" i="1"/>
  <c r="BR166" i="1" s="1"/>
  <c r="BD166" i="1"/>
  <c r="BQ166" i="1" s="1"/>
  <c r="BC166" i="1"/>
  <c r="BP166" i="1" s="1"/>
  <c r="BB166" i="1"/>
  <c r="BO166" i="1" s="1"/>
  <c r="BA166" i="1"/>
  <c r="BN166" i="1" s="1"/>
  <c r="AZ166" i="1"/>
  <c r="BZ166" i="1" s="1"/>
  <c r="AY166" i="1"/>
  <c r="BY166" i="1" s="1"/>
  <c r="AX166" i="1"/>
  <c r="AW166" i="1"/>
  <c r="AV166" i="1"/>
  <c r="BM165" i="1"/>
  <c r="BV165" i="1" s="1"/>
  <c r="BL165" i="1"/>
  <c r="BT165" i="1" s="1"/>
  <c r="BK165" i="1"/>
  <c r="BJ165" i="1"/>
  <c r="BI165" i="1"/>
  <c r="CB165" i="1" s="1"/>
  <c r="BH165" i="1"/>
  <c r="BG165" i="1"/>
  <c r="BF165" i="1"/>
  <c r="BS165" i="1" s="1"/>
  <c r="BE165" i="1"/>
  <c r="BR165" i="1" s="1"/>
  <c r="BD165" i="1"/>
  <c r="BQ165" i="1" s="1"/>
  <c r="BC165" i="1"/>
  <c r="BP165" i="1" s="1"/>
  <c r="BB165" i="1"/>
  <c r="BO165" i="1" s="1"/>
  <c r="BA165" i="1"/>
  <c r="BN165" i="1" s="1"/>
  <c r="AZ165" i="1"/>
  <c r="BZ165" i="1" s="1"/>
  <c r="AY165" i="1"/>
  <c r="BY165" i="1" s="1"/>
  <c r="AX165" i="1"/>
  <c r="AW165" i="1"/>
  <c r="AV165" i="1"/>
  <c r="BM164" i="1"/>
  <c r="BV164" i="1" s="1"/>
  <c r="BL164" i="1"/>
  <c r="BT164" i="1" s="1"/>
  <c r="BK164" i="1"/>
  <c r="BJ164" i="1"/>
  <c r="BI164" i="1"/>
  <c r="CB164" i="1" s="1"/>
  <c r="BH164" i="1"/>
  <c r="BG164" i="1"/>
  <c r="BF164" i="1"/>
  <c r="BS164" i="1" s="1"/>
  <c r="BE164" i="1"/>
  <c r="BR164" i="1" s="1"/>
  <c r="BD164" i="1"/>
  <c r="BQ164" i="1" s="1"/>
  <c r="BC164" i="1"/>
  <c r="BP164" i="1" s="1"/>
  <c r="BB164" i="1"/>
  <c r="BO164" i="1" s="1"/>
  <c r="BA164" i="1"/>
  <c r="BN164" i="1" s="1"/>
  <c r="AZ164" i="1"/>
  <c r="BZ164" i="1" s="1"/>
  <c r="AY164" i="1"/>
  <c r="BY164" i="1" s="1"/>
  <c r="AX164" i="1"/>
  <c r="AW164" i="1"/>
  <c r="AV164" i="1"/>
  <c r="BW164" i="1" s="1"/>
  <c r="BM163" i="1"/>
  <c r="BV163" i="1" s="1"/>
  <c r="BL163" i="1"/>
  <c r="BT163" i="1" s="1"/>
  <c r="BK163" i="1"/>
  <c r="BJ163" i="1"/>
  <c r="BI163" i="1"/>
  <c r="CB163" i="1" s="1"/>
  <c r="BH163" i="1"/>
  <c r="BG163" i="1"/>
  <c r="BF163" i="1"/>
  <c r="BS163" i="1" s="1"/>
  <c r="BE163" i="1"/>
  <c r="BR163" i="1" s="1"/>
  <c r="BD163" i="1"/>
  <c r="BQ163" i="1" s="1"/>
  <c r="BC163" i="1"/>
  <c r="BP163" i="1" s="1"/>
  <c r="BB163" i="1"/>
  <c r="BO163" i="1" s="1"/>
  <c r="BA163" i="1"/>
  <c r="BN163" i="1" s="1"/>
  <c r="AZ163" i="1"/>
  <c r="BZ163" i="1" s="1"/>
  <c r="AY163" i="1"/>
  <c r="BY163" i="1" s="1"/>
  <c r="AX163" i="1"/>
  <c r="AW163" i="1"/>
  <c r="AV163" i="1"/>
  <c r="BW163" i="1" s="1"/>
  <c r="BM162" i="1"/>
  <c r="BV162" i="1" s="1"/>
  <c r="BL162" i="1"/>
  <c r="BT162" i="1" s="1"/>
  <c r="BK162" i="1"/>
  <c r="BJ162" i="1"/>
  <c r="BI162" i="1"/>
  <c r="CB162" i="1" s="1"/>
  <c r="BH162" i="1"/>
  <c r="BG162" i="1"/>
  <c r="BF162" i="1"/>
  <c r="BS162" i="1" s="1"/>
  <c r="BE162" i="1"/>
  <c r="BR162" i="1" s="1"/>
  <c r="BD162" i="1"/>
  <c r="BQ162" i="1" s="1"/>
  <c r="BC162" i="1"/>
  <c r="BP162" i="1" s="1"/>
  <c r="BB162" i="1"/>
  <c r="BO162" i="1" s="1"/>
  <c r="BA162" i="1"/>
  <c r="BN162" i="1" s="1"/>
  <c r="AZ162" i="1"/>
  <c r="BZ162" i="1" s="1"/>
  <c r="AY162" i="1"/>
  <c r="BY162" i="1" s="1"/>
  <c r="AX162" i="1"/>
  <c r="AW162" i="1"/>
  <c r="AV162" i="1"/>
  <c r="BW162" i="1" s="1"/>
  <c r="BM161" i="1"/>
  <c r="BV161" i="1" s="1"/>
  <c r="BL161" i="1"/>
  <c r="BT161" i="1" s="1"/>
  <c r="BK161" i="1"/>
  <c r="BJ161" i="1"/>
  <c r="BI161" i="1"/>
  <c r="CB161" i="1" s="1"/>
  <c r="BH161" i="1"/>
  <c r="BG161" i="1"/>
  <c r="BF161" i="1"/>
  <c r="BS161" i="1" s="1"/>
  <c r="BE161" i="1"/>
  <c r="BR161" i="1" s="1"/>
  <c r="BD161" i="1"/>
  <c r="BQ161" i="1" s="1"/>
  <c r="BC161" i="1"/>
  <c r="BP161" i="1" s="1"/>
  <c r="BB161" i="1"/>
  <c r="BO161" i="1" s="1"/>
  <c r="BA161" i="1"/>
  <c r="BN161" i="1" s="1"/>
  <c r="AZ161" i="1"/>
  <c r="BZ161" i="1" s="1"/>
  <c r="AY161" i="1"/>
  <c r="BY161" i="1" s="1"/>
  <c r="AX161" i="1"/>
  <c r="AW161" i="1"/>
  <c r="AV161" i="1"/>
  <c r="BM160" i="1"/>
  <c r="BV160" i="1" s="1"/>
  <c r="BL160" i="1"/>
  <c r="BT160" i="1" s="1"/>
  <c r="BK160" i="1"/>
  <c r="BJ160" i="1"/>
  <c r="BI160" i="1"/>
  <c r="CB160" i="1" s="1"/>
  <c r="BH160" i="1"/>
  <c r="BG160" i="1"/>
  <c r="BF160" i="1"/>
  <c r="BS160" i="1" s="1"/>
  <c r="BE160" i="1"/>
  <c r="BR160" i="1" s="1"/>
  <c r="BD160" i="1"/>
  <c r="BQ160" i="1" s="1"/>
  <c r="BC160" i="1"/>
  <c r="BP160" i="1" s="1"/>
  <c r="BB160" i="1"/>
  <c r="BO160" i="1" s="1"/>
  <c r="BA160" i="1"/>
  <c r="BN160" i="1" s="1"/>
  <c r="AZ160" i="1"/>
  <c r="BZ160" i="1" s="1"/>
  <c r="AY160" i="1"/>
  <c r="BY160" i="1" s="1"/>
  <c r="AX160" i="1"/>
  <c r="AW160" i="1"/>
  <c r="AV160" i="1"/>
  <c r="BW160" i="1" s="1"/>
  <c r="BM159" i="1"/>
  <c r="BV159" i="1" s="1"/>
  <c r="BL159" i="1"/>
  <c r="BT159" i="1" s="1"/>
  <c r="BK159" i="1"/>
  <c r="BJ159" i="1"/>
  <c r="BI159" i="1"/>
  <c r="CB159" i="1" s="1"/>
  <c r="BH159" i="1"/>
  <c r="BG159" i="1"/>
  <c r="BF159" i="1"/>
  <c r="BS159" i="1" s="1"/>
  <c r="BE159" i="1"/>
  <c r="BR159" i="1" s="1"/>
  <c r="BD159" i="1"/>
  <c r="BQ159" i="1" s="1"/>
  <c r="BC159" i="1"/>
  <c r="BP159" i="1" s="1"/>
  <c r="BB159" i="1"/>
  <c r="BO159" i="1" s="1"/>
  <c r="BA159" i="1"/>
  <c r="BN159" i="1" s="1"/>
  <c r="AZ159" i="1"/>
  <c r="BZ159" i="1" s="1"/>
  <c r="AY159" i="1"/>
  <c r="BY159" i="1" s="1"/>
  <c r="AX159" i="1"/>
  <c r="AW159" i="1"/>
  <c r="AV159" i="1"/>
  <c r="BW159" i="1" s="1"/>
  <c r="BM158" i="1"/>
  <c r="BV158" i="1" s="1"/>
  <c r="BL158" i="1"/>
  <c r="BT158" i="1" s="1"/>
  <c r="BK158" i="1"/>
  <c r="BJ158" i="1"/>
  <c r="BI158" i="1"/>
  <c r="CB158" i="1" s="1"/>
  <c r="BH158" i="1"/>
  <c r="BG158" i="1"/>
  <c r="BF158" i="1"/>
  <c r="BS158" i="1" s="1"/>
  <c r="BE158" i="1"/>
  <c r="BR158" i="1" s="1"/>
  <c r="BD158" i="1"/>
  <c r="BQ158" i="1" s="1"/>
  <c r="BC158" i="1"/>
  <c r="BP158" i="1" s="1"/>
  <c r="BB158" i="1"/>
  <c r="BO158" i="1" s="1"/>
  <c r="BA158" i="1"/>
  <c r="BN158" i="1" s="1"/>
  <c r="AZ158" i="1"/>
  <c r="BZ158" i="1" s="1"/>
  <c r="AY158" i="1"/>
  <c r="BY158" i="1" s="1"/>
  <c r="AX158" i="1"/>
  <c r="AW158" i="1"/>
  <c r="AV158" i="1"/>
  <c r="BW158" i="1" s="1"/>
  <c r="BM157" i="1"/>
  <c r="BV157" i="1" s="1"/>
  <c r="BL157" i="1"/>
  <c r="BT157" i="1" s="1"/>
  <c r="BK157" i="1"/>
  <c r="BJ157" i="1"/>
  <c r="BI157" i="1"/>
  <c r="CB157" i="1" s="1"/>
  <c r="BH157" i="1"/>
  <c r="BG157" i="1"/>
  <c r="BF157" i="1"/>
  <c r="BS157" i="1" s="1"/>
  <c r="BE157" i="1"/>
  <c r="BR157" i="1" s="1"/>
  <c r="BD157" i="1"/>
  <c r="BQ157" i="1" s="1"/>
  <c r="BC157" i="1"/>
  <c r="BP157" i="1" s="1"/>
  <c r="BB157" i="1"/>
  <c r="BO157" i="1" s="1"/>
  <c r="BA157" i="1"/>
  <c r="BN157" i="1" s="1"/>
  <c r="AZ157" i="1"/>
  <c r="BZ157" i="1" s="1"/>
  <c r="AY157" i="1"/>
  <c r="BY157" i="1" s="1"/>
  <c r="AX157" i="1"/>
  <c r="AW157" i="1"/>
  <c r="AV157" i="1"/>
  <c r="BW157" i="1" s="1"/>
  <c r="BM156" i="1"/>
  <c r="BV156" i="1" s="1"/>
  <c r="BL156" i="1"/>
  <c r="BT156" i="1" s="1"/>
  <c r="BK156" i="1"/>
  <c r="BJ156" i="1"/>
  <c r="BI156" i="1"/>
  <c r="CB156" i="1" s="1"/>
  <c r="BH156" i="1"/>
  <c r="BG156" i="1"/>
  <c r="BF156" i="1"/>
  <c r="BS156" i="1" s="1"/>
  <c r="BE156" i="1"/>
  <c r="BR156" i="1" s="1"/>
  <c r="BD156" i="1"/>
  <c r="BQ156" i="1" s="1"/>
  <c r="BC156" i="1"/>
  <c r="BP156" i="1" s="1"/>
  <c r="BB156" i="1"/>
  <c r="BO156" i="1" s="1"/>
  <c r="BA156" i="1"/>
  <c r="BN156" i="1" s="1"/>
  <c r="AZ156" i="1"/>
  <c r="BZ156" i="1" s="1"/>
  <c r="AY156" i="1"/>
  <c r="BY156" i="1" s="1"/>
  <c r="AX156" i="1"/>
  <c r="AW156" i="1"/>
  <c r="AV156" i="1"/>
  <c r="BW156" i="1" s="1"/>
  <c r="BM155" i="1"/>
  <c r="BV155" i="1" s="1"/>
  <c r="BL155" i="1"/>
  <c r="BT155" i="1" s="1"/>
  <c r="BK155" i="1"/>
  <c r="BJ155" i="1"/>
  <c r="BI155" i="1"/>
  <c r="CB155" i="1" s="1"/>
  <c r="BH155" i="1"/>
  <c r="BG155" i="1"/>
  <c r="BF155" i="1"/>
  <c r="BS155" i="1" s="1"/>
  <c r="BE155" i="1"/>
  <c r="BR155" i="1" s="1"/>
  <c r="BD155" i="1"/>
  <c r="BQ155" i="1" s="1"/>
  <c r="BC155" i="1"/>
  <c r="BP155" i="1" s="1"/>
  <c r="BB155" i="1"/>
  <c r="BO155" i="1" s="1"/>
  <c r="BA155" i="1"/>
  <c r="BN155" i="1" s="1"/>
  <c r="AZ155" i="1"/>
  <c r="BZ155" i="1" s="1"/>
  <c r="AY155" i="1"/>
  <c r="BY155" i="1" s="1"/>
  <c r="AX155" i="1"/>
  <c r="AW155" i="1"/>
  <c r="AV155" i="1"/>
  <c r="BW155" i="1" s="1"/>
  <c r="BM154" i="1"/>
  <c r="BV154" i="1" s="1"/>
  <c r="BL154" i="1"/>
  <c r="BT154" i="1" s="1"/>
  <c r="BK154" i="1"/>
  <c r="BJ154" i="1"/>
  <c r="BI154" i="1"/>
  <c r="CB154" i="1" s="1"/>
  <c r="BH154" i="1"/>
  <c r="BG154" i="1"/>
  <c r="BF154" i="1"/>
  <c r="BS154" i="1" s="1"/>
  <c r="BE154" i="1"/>
  <c r="BR154" i="1" s="1"/>
  <c r="BD154" i="1"/>
  <c r="BQ154" i="1" s="1"/>
  <c r="BC154" i="1"/>
  <c r="BP154" i="1" s="1"/>
  <c r="BB154" i="1"/>
  <c r="BO154" i="1" s="1"/>
  <c r="BA154" i="1"/>
  <c r="BN154" i="1" s="1"/>
  <c r="AZ154" i="1"/>
  <c r="BZ154" i="1" s="1"/>
  <c r="AY154" i="1"/>
  <c r="BY154" i="1" s="1"/>
  <c r="AX154" i="1"/>
  <c r="AW154" i="1"/>
  <c r="AV154" i="1"/>
  <c r="BW154" i="1" s="1"/>
  <c r="BM153" i="1"/>
  <c r="BV153" i="1" s="1"/>
  <c r="BL153" i="1"/>
  <c r="BT153" i="1" s="1"/>
  <c r="BK153" i="1"/>
  <c r="BJ153" i="1"/>
  <c r="BI153" i="1"/>
  <c r="CB153" i="1" s="1"/>
  <c r="BH153" i="1"/>
  <c r="BG153" i="1"/>
  <c r="BF153" i="1"/>
  <c r="BS153" i="1" s="1"/>
  <c r="BE153" i="1"/>
  <c r="BR153" i="1" s="1"/>
  <c r="BD153" i="1"/>
  <c r="BQ153" i="1" s="1"/>
  <c r="BC153" i="1"/>
  <c r="BP153" i="1" s="1"/>
  <c r="BB153" i="1"/>
  <c r="BO153" i="1" s="1"/>
  <c r="BA153" i="1"/>
  <c r="BN153" i="1" s="1"/>
  <c r="AZ153" i="1"/>
  <c r="BZ153" i="1" s="1"/>
  <c r="AY153" i="1"/>
  <c r="BY153" i="1" s="1"/>
  <c r="AX153" i="1"/>
  <c r="AW153" i="1"/>
  <c r="AV153" i="1"/>
  <c r="BW153" i="1" s="1"/>
  <c r="BM152" i="1"/>
  <c r="BV152" i="1" s="1"/>
  <c r="BL152" i="1"/>
  <c r="BT152" i="1" s="1"/>
  <c r="BK152" i="1"/>
  <c r="BJ152" i="1"/>
  <c r="BI152" i="1"/>
  <c r="CB152" i="1" s="1"/>
  <c r="BH152" i="1"/>
  <c r="BG152" i="1"/>
  <c r="BF152" i="1"/>
  <c r="BS152" i="1" s="1"/>
  <c r="BE152" i="1"/>
  <c r="BR152" i="1" s="1"/>
  <c r="BD152" i="1"/>
  <c r="BQ152" i="1" s="1"/>
  <c r="BC152" i="1"/>
  <c r="BP152" i="1" s="1"/>
  <c r="BB152" i="1"/>
  <c r="BO152" i="1" s="1"/>
  <c r="BA152" i="1"/>
  <c r="BN152" i="1" s="1"/>
  <c r="AZ152" i="1"/>
  <c r="BZ152" i="1" s="1"/>
  <c r="AY152" i="1"/>
  <c r="BY152" i="1" s="1"/>
  <c r="AX152" i="1"/>
  <c r="AW152" i="1"/>
  <c r="AV152" i="1"/>
  <c r="BW152" i="1" s="1"/>
  <c r="BM151" i="1"/>
  <c r="BV151" i="1" s="1"/>
  <c r="BL151" i="1"/>
  <c r="BT151" i="1" s="1"/>
  <c r="BK151" i="1"/>
  <c r="BJ151" i="1"/>
  <c r="BI151" i="1"/>
  <c r="CB151" i="1" s="1"/>
  <c r="BH151" i="1"/>
  <c r="BG151" i="1"/>
  <c r="BF151" i="1"/>
  <c r="BS151" i="1" s="1"/>
  <c r="BE151" i="1"/>
  <c r="BR151" i="1" s="1"/>
  <c r="BD151" i="1"/>
  <c r="BQ151" i="1" s="1"/>
  <c r="BC151" i="1"/>
  <c r="BP151" i="1" s="1"/>
  <c r="BB151" i="1"/>
  <c r="BO151" i="1" s="1"/>
  <c r="BA151" i="1"/>
  <c r="BN151" i="1" s="1"/>
  <c r="AZ151" i="1"/>
  <c r="BZ151" i="1" s="1"/>
  <c r="AY151" i="1"/>
  <c r="BY151" i="1" s="1"/>
  <c r="AX151" i="1"/>
  <c r="AW151" i="1"/>
  <c r="AV151" i="1"/>
  <c r="BM150" i="1"/>
  <c r="BV150" i="1" s="1"/>
  <c r="BL150" i="1"/>
  <c r="BT150" i="1" s="1"/>
  <c r="BK150" i="1"/>
  <c r="BJ150" i="1"/>
  <c r="BI150" i="1"/>
  <c r="CB150" i="1" s="1"/>
  <c r="BH150" i="1"/>
  <c r="BG150" i="1"/>
  <c r="BF150" i="1"/>
  <c r="BS150" i="1" s="1"/>
  <c r="BE150" i="1"/>
  <c r="BR150" i="1" s="1"/>
  <c r="BD150" i="1"/>
  <c r="BQ150" i="1" s="1"/>
  <c r="BC150" i="1"/>
  <c r="BP150" i="1" s="1"/>
  <c r="BB150" i="1"/>
  <c r="BO150" i="1" s="1"/>
  <c r="BA150" i="1"/>
  <c r="BN150" i="1" s="1"/>
  <c r="AZ150" i="1"/>
  <c r="BZ150" i="1" s="1"/>
  <c r="AY150" i="1"/>
  <c r="BY150" i="1" s="1"/>
  <c r="AX150" i="1"/>
  <c r="AW150" i="1"/>
  <c r="AV150" i="1"/>
  <c r="BW150" i="1" s="1"/>
  <c r="BM149" i="1"/>
  <c r="BV149" i="1" s="1"/>
  <c r="BL149" i="1"/>
  <c r="BT149" i="1" s="1"/>
  <c r="BK149" i="1"/>
  <c r="BJ149" i="1"/>
  <c r="BI149" i="1"/>
  <c r="CB149" i="1" s="1"/>
  <c r="BH149" i="1"/>
  <c r="BG149" i="1"/>
  <c r="BF149" i="1"/>
  <c r="BS149" i="1" s="1"/>
  <c r="BE149" i="1"/>
  <c r="BR149" i="1" s="1"/>
  <c r="BD149" i="1"/>
  <c r="BQ149" i="1" s="1"/>
  <c r="BC149" i="1"/>
  <c r="BP149" i="1" s="1"/>
  <c r="BB149" i="1"/>
  <c r="BO149" i="1" s="1"/>
  <c r="BA149" i="1"/>
  <c r="BN149" i="1" s="1"/>
  <c r="AZ149" i="1"/>
  <c r="BZ149" i="1" s="1"/>
  <c r="AY149" i="1"/>
  <c r="BY149" i="1" s="1"/>
  <c r="AX149" i="1"/>
  <c r="AW149" i="1"/>
  <c r="AV149" i="1"/>
  <c r="BW149" i="1" s="1"/>
  <c r="BM148" i="1"/>
  <c r="BV148" i="1" s="1"/>
  <c r="BL148" i="1"/>
  <c r="BT148" i="1" s="1"/>
  <c r="BK148" i="1"/>
  <c r="BJ148" i="1"/>
  <c r="BI148" i="1"/>
  <c r="CB148" i="1" s="1"/>
  <c r="BH148" i="1"/>
  <c r="BG148" i="1"/>
  <c r="BF148" i="1"/>
  <c r="BS148" i="1" s="1"/>
  <c r="BE148" i="1"/>
  <c r="BR148" i="1" s="1"/>
  <c r="BD148" i="1"/>
  <c r="BQ148" i="1" s="1"/>
  <c r="BC148" i="1"/>
  <c r="BP148" i="1" s="1"/>
  <c r="BB148" i="1"/>
  <c r="BO148" i="1" s="1"/>
  <c r="BA148" i="1"/>
  <c r="BN148" i="1" s="1"/>
  <c r="AZ148" i="1"/>
  <c r="BZ148" i="1" s="1"/>
  <c r="AY148" i="1"/>
  <c r="BY148" i="1" s="1"/>
  <c r="AX148" i="1"/>
  <c r="AW148" i="1"/>
  <c r="AV148" i="1"/>
  <c r="BW148" i="1" s="1"/>
  <c r="BM147" i="1"/>
  <c r="BV147" i="1" s="1"/>
  <c r="BL147" i="1"/>
  <c r="BT147" i="1" s="1"/>
  <c r="BK147" i="1"/>
  <c r="BJ147" i="1"/>
  <c r="BI147" i="1"/>
  <c r="CB147" i="1" s="1"/>
  <c r="BH147" i="1"/>
  <c r="BG147" i="1"/>
  <c r="BF147" i="1"/>
  <c r="BS147" i="1" s="1"/>
  <c r="BE147" i="1"/>
  <c r="BR147" i="1" s="1"/>
  <c r="BD147" i="1"/>
  <c r="BQ147" i="1" s="1"/>
  <c r="BC147" i="1"/>
  <c r="BP147" i="1" s="1"/>
  <c r="BB147" i="1"/>
  <c r="BO147" i="1" s="1"/>
  <c r="BA147" i="1"/>
  <c r="BN147" i="1" s="1"/>
  <c r="AZ147" i="1"/>
  <c r="BZ147" i="1" s="1"/>
  <c r="AY147" i="1"/>
  <c r="BY147" i="1" s="1"/>
  <c r="AX147" i="1"/>
  <c r="AW147" i="1"/>
  <c r="AV147" i="1"/>
  <c r="BM146" i="1"/>
  <c r="BV146" i="1" s="1"/>
  <c r="BL146" i="1"/>
  <c r="BT146" i="1" s="1"/>
  <c r="BK146" i="1"/>
  <c r="BJ146" i="1"/>
  <c r="BI146" i="1"/>
  <c r="CB146" i="1" s="1"/>
  <c r="BH146" i="1"/>
  <c r="BG146" i="1"/>
  <c r="BF146" i="1"/>
  <c r="BS146" i="1" s="1"/>
  <c r="BE146" i="1"/>
  <c r="BR146" i="1" s="1"/>
  <c r="BD146" i="1"/>
  <c r="BQ146" i="1" s="1"/>
  <c r="BC146" i="1"/>
  <c r="BP146" i="1" s="1"/>
  <c r="BB146" i="1"/>
  <c r="BO146" i="1" s="1"/>
  <c r="BA146" i="1"/>
  <c r="BN146" i="1" s="1"/>
  <c r="AZ146" i="1"/>
  <c r="BZ146" i="1" s="1"/>
  <c r="AY146" i="1"/>
  <c r="BY146" i="1" s="1"/>
  <c r="AX146" i="1"/>
  <c r="AW146" i="1"/>
  <c r="AV146" i="1"/>
  <c r="BM145" i="1"/>
  <c r="BV145" i="1" s="1"/>
  <c r="BL145" i="1"/>
  <c r="BT145" i="1" s="1"/>
  <c r="BK145" i="1"/>
  <c r="BJ145" i="1"/>
  <c r="BI145" i="1"/>
  <c r="CB145" i="1" s="1"/>
  <c r="BH145" i="1"/>
  <c r="BG145" i="1"/>
  <c r="BF145" i="1"/>
  <c r="BS145" i="1" s="1"/>
  <c r="BE145" i="1"/>
  <c r="BR145" i="1" s="1"/>
  <c r="BD145" i="1"/>
  <c r="BQ145" i="1" s="1"/>
  <c r="BC145" i="1"/>
  <c r="BP145" i="1" s="1"/>
  <c r="BB145" i="1"/>
  <c r="BO145" i="1" s="1"/>
  <c r="BA145" i="1"/>
  <c r="BN145" i="1" s="1"/>
  <c r="AZ145" i="1"/>
  <c r="BZ145" i="1" s="1"/>
  <c r="AY145" i="1"/>
  <c r="BY145" i="1" s="1"/>
  <c r="AX145" i="1"/>
  <c r="AW145" i="1"/>
  <c r="AV145" i="1"/>
  <c r="BW145" i="1" s="1"/>
  <c r="BM144" i="1"/>
  <c r="BV144" i="1" s="1"/>
  <c r="BL144" i="1"/>
  <c r="BT144" i="1" s="1"/>
  <c r="BK144" i="1"/>
  <c r="BJ144" i="1"/>
  <c r="BI144" i="1"/>
  <c r="CB144" i="1" s="1"/>
  <c r="BH144" i="1"/>
  <c r="BG144" i="1"/>
  <c r="BF144" i="1"/>
  <c r="BS144" i="1" s="1"/>
  <c r="BE144" i="1"/>
  <c r="BR144" i="1" s="1"/>
  <c r="BD144" i="1"/>
  <c r="BQ144" i="1" s="1"/>
  <c r="BC144" i="1"/>
  <c r="BP144" i="1" s="1"/>
  <c r="BB144" i="1"/>
  <c r="BO144" i="1" s="1"/>
  <c r="BA144" i="1"/>
  <c r="BN144" i="1" s="1"/>
  <c r="AZ144" i="1"/>
  <c r="BZ144" i="1" s="1"/>
  <c r="AY144" i="1"/>
  <c r="BY144" i="1" s="1"/>
  <c r="AX144" i="1"/>
  <c r="AW144" i="1"/>
  <c r="AV144" i="1"/>
  <c r="BM143" i="1"/>
  <c r="BV143" i="1" s="1"/>
  <c r="BL143" i="1"/>
  <c r="BT143" i="1" s="1"/>
  <c r="BK143" i="1"/>
  <c r="BJ143" i="1"/>
  <c r="BI143" i="1"/>
  <c r="CB143" i="1" s="1"/>
  <c r="BH143" i="1"/>
  <c r="BG143" i="1"/>
  <c r="BF143" i="1"/>
  <c r="BS143" i="1" s="1"/>
  <c r="BE143" i="1"/>
  <c r="BR143" i="1" s="1"/>
  <c r="BD143" i="1"/>
  <c r="BQ143" i="1" s="1"/>
  <c r="BC143" i="1"/>
  <c r="BP143" i="1" s="1"/>
  <c r="BB143" i="1"/>
  <c r="BO143" i="1" s="1"/>
  <c r="BA143" i="1"/>
  <c r="BN143" i="1" s="1"/>
  <c r="AZ143" i="1"/>
  <c r="BZ143" i="1" s="1"/>
  <c r="AY143" i="1"/>
  <c r="BY143" i="1" s="1"/>
  <c r="AX143" i="1"/>
  <c r="CA143" i="1" s="1"/>
  <c r="AW143" i="1"/>
  <c r="AV143" i="1"/>
  <c r="BM142" i="1"/>
  <c r="BV142" i="1" s="1"/>
  <c r="BL142" i="1"/>
  <c r="BT142" i="1" s="1"/>
  <c r="BK142" i="1"/>
  <c r="BJ142" i="1"/>
  <c r="BI142" i="1"/>
  <c r="CB142" i="1" s="1"/>
  <c r="BH142" i="1"/>
  <c r="BG142" i="1"/>
  <c r="BF142" i="1"/>
  <c r="BS142" i="1" s="1"/>
  <c r="BE142" i="1"/>
  <c r="BR142" i="1" s="1"/>
  <c r="BD142" i="1"/>
  <c r="BQ142" i="1" s="1"/>
  <c r="BC142" i="1"/>
  <c r="BP142" i="1" s="1"/>
  <c r="BB142" i="1"/>
  <c r="BO142" i="1" s="1"/>
  <c r="BA142" i="1"/>
  <c r="BN142" i="1" s="1"/>
  <c r="AZ142" i="1"/>
  <c r="BZ142" i="1" s="1"/>
  <c r="AY142" i="1"/>
  <c r="BY142" i="1" s="1"/>
  <c r="AX142" i="1"/>
  <c r="CA142" i="1" s="1"/>
  <c r="AW142" i="1"/>
  <c r="AV142" i="1"/>
  <c r="BW142" i="1" s="1"/>
  <c r="BM141" i="1"/>
  <c r="BV141" i="1" s="1"/>
  <c r="BL141" i="1"/>
  <c r="BT141" i="1" s="1"/>
  <c r="BK141" i="1"/>
  <c r="BJ141" i="1"/>
  <c r="BI141" i="1"/>
  <c r="CB141" i="1" s="1"/>
  <c r="BH141" i="1"/>
  <c r="BG141" i="1"/>
  <c r="BF141" i="1"/>
  <c r="BS141" i="1" s="1"/>
  <c r="BE141" i="1"/>
  <c r="BR141" i="1" s="1"/>
  <c r="BD141" i="1"/>
  <c r="BQ141" i="1" s="1"/>
  <c r="BC141" i="1"/>
  <c r="BP141" i="1" s="1"/>
  <c r="BB141" i="1"/>
  <c r="BO141" i="1" s="1"/>
  <c r="BA141" i="1"/>
  <c r="BN141" i="1" s="1"/>
  <c r="AZ141" i="1"/>
  <c r="BZ141" i="1" s="1"/>
  <c r="AY141" i="1"/>
  <c r="BY141" i="1" s="1"/>
  <c r="AX141" i="1"/>
  <c r="CA141" i="1" s="1"/>
  <c r="AW141" i="1"/>
  <c r="AV141" i="1"/>
  <c r="BM140" i="1"/>
  <c r="BV140" i="1" s="1"/>
  <c r="BL140" i="1"/>
  <c r="BT140" i="1" s="1"/>
  <c r="BK140" i="1"/>
  <c r="BJ140" i="1"/>
  <c r="BI140" i="1"/>
  <c r="CB140" i="1" s="1"/>
  <c r="BH140" i="1"/>
  <c r="BG140" i="1"/>
  <c r="BF140" i="1"/>
  <c r="BS140" i="1" s="1"/>
  <c r="BE140" i="1"/>
  <c r="BR140" i="1" s="1"/>
  <c r="BD140" i="1"/>
  <c r="BQ140" i="1" s="1"/>
  <c r="BC140" i="1"/>
  <c r="BP140" i="1" s="1"/>
  <c r="BB140" i="1"/>
  <c r="BO140" i="1" s="1"/>
  <c r="BA140" i="1"/>
  <c r="BN140" i="1" s="1"/>
  <c r="AZ140" i="1"/>
  <c r="BZ140" i="1" s="1"/>
  <c r="AY140" i="1"/>
  <c r="BY140" i="1" s="1"/>
  <c r="AX140" i="1"/>
  <c r="AW140" i="1"/>
  <c r="AV140" i="1"/>
  <c r="BM139" i="1"/>
  <c r="BV139" i="1" s="1"/>
  <c r="BL139" i="1"/>
  <c r="BT139" i="1" s="1"/>
  <c r="BK139" i="1"/>
  <c r="BJ139" i="1"/>
  <c r="BI139" i="1"/>
  <c r="CB139" i="1" s="1"/>
  <c r="BH139" i="1"/>
  <c r="BG139" i="1"/>
  <c r="BF139" i="1"/>
  <c r="BS139" i="1" s="1"/>
  <c r="BE139" i="1"/>
  <c r="BR139" i="1" s="1"/>
  <c r="BD139" i="1"/>
  <c r="BQ139" i="1" s="1"/>
  <c r="BC139" i="1"/>
  <c r="BP139" i="1" s="1"/>
  <c r="BB139" i="1"/>
  <c r="BO139" i="1" s="1"/>
  <c r="BA139" i="1"/>
  <c r="BN139" i="1" s="1"/>
  <c r="AZ139" i="1"/>
  <c r="BZ139" i="1" s="1"/>
  <c r="AY139" i="1"/>
  <c r="BY139" i="1" s="1"/>
  <c r="AX139" i="1"/>
  <c r="CA139" i="1" s="1"/>
  <c r="AW139" i="1"/>
  <c r="AV139" i="1"/>
  <c r="BW139" i="1" s="1"/>
  <c r="BM138" i="1"/>
  <c r="BV138" i="1" s="1"/>
  <c r="BL138" i="1"/>
  <c r="BT138" i="1" s="1"/>
  <c r="BK138" i="1"/>
  <c r="BJ138" i="1"/>
  <c r="BI138" i="1"/>
  <c r="CB138" i="1" s="1"/>
  <c r="BH138" i="1"/>
  <c r="BG138" i="1"/>
  <c r="BF138" i="1"/>
  <c r="BS138" i="1" s="1"/>
  <c r="BE138" i="1"/>
  <c r="BR138" i="1" s="1"/>
  <c r="BD138" i="1"/>
  <c r="BQ138" i="1" s="1"/>
  <c r="BC138" i="1"/>
  <c r="BP138" i="1" s="1"/>
  <c r="BB138" i="1"/>
  <c r="BO138" i="1" s="1"/>
  <c r="BA138" i="1"/>
  <c r="BN138" i="1" s="1"/>
  <c r="AZ138" i="1"/>
  <c r="BZ138" i="1" s="1"/>
  <c r="AY138" i="1"/>
  <c r="BY138" i="1" s="1"/>
  <c r="AX138" i="1"/>
  <c r="CA138" i="1" s="1"/>
  <c r="AW138" i="1"/>
  <c r="AV138" i="1"/>
  <c r="BW138" i="1" s="1"/>
  <c r="BM137" i="1"/>
  <c r="BV137" i="1" s="1"/>
  <c r="BL137" i="1"/>
  <c r="BT137" i="1" s="1"/>
  <c r="BK137" i="1"/>
  <c r="BJ137" i="1"/>
  <c r="BI137" i="1"/>
  <c r="CB137" i="1" s="1"/>
  <c r="BH137" i="1"/>
  <c r="BG137" i="1"/>
  <c r="BF137" i="1"/>
  <c r="BS137" i="1" s="1"/>
  <c r="BE137" i="1"/>
  <c r="BR137" i="1" s="1"/>
  <c r="BD137" i="1"/>
  <c r="BQ137" i="1" s="1"/>
  <c r="BC137" i="1"/>
  <c r="BP137" i="1" s="1"/>
  <c r="BB137" i="1"/>
  <c r="BO137" i="1" s="1"/>
  <c r="BA137" i="1"/>
  <c r="BN137" i="1" s="1"/>
  <c r="AZ137" i="1"/>
  <c r="BZ137" i="1" s="1"/>
  <c r="AY137" i="1"/>
  <c r="BY137" i="1" s="1"/>
  <c r="AX137" i="1"/>
  <c r="CA137" i="1" s="1"/>
  <c r="AW137" i="1"/>
  <c r="AV137" i="1"/>
  <c r="BM136" i="1"/>
  <c r="BV136" i="1" s="1"/>
  <c r="BL136" i="1"/>
  <c r="BT136" i="1" s="1"/>
  <c r="BK136" i="1"/>
  <c r="BJ136" i="1"/>
  <c r="BI136" i="1"/>
  <c r="CB136" i="1" s="1"/>
  <c r="BH136" i="1"/>
  <c r="BG136" i="1"/>
  <c r="BF136" i="1"/>
  <c r="BS136" i="1" s="1"/>
  <c r="BE136" i="1"/>
  <c r="BR136" i="1" s="1"/>
  <c r="BD136" i="1"/>
  <c r="BQ136" i="1" s="1"/>
  <c r="BC136" i="1"/>
  <c r="BP136" i="1" s="1"/>
  <c r="BB136" i="1"/>
  <c r="BO136" i="1" s="1"/>
  <c r="BA136" i="1"/>
  <c r="BN136" i="1" s="1"/>
  <c r="AZ136" i="1"/>
  <c r="BZ136" i="1" s="1"/>
  <c r="AY136" i="1"/>
  <c r="BY136" i="1" s="1"/>
  <c r="AX136" i="1"/>
  <c r="CA136" i="1" s="1"/>
  <c r="AW136" i="1"/>
  <c r="AV136" i="1"/>
  <c r="BW136" i="1" s="1"/>
  <c r="BM135" i="1"/>
  <c r="BV135" i="1" s="1"/>
  <c r="BL135" i="1"/>
  <c r="BT135" i="1" s="1"/>
  <c r="BK135" i="1"/>
  <c r="BJ135" i="1"/>
  <c r="BI135" i="1"/>
  <c r="CB135" i="1" s="1"/>
  <c r="BH135" i="1"/>
  <c r="BG135" i="1"/>
  <c r="BF135" i="1"/>
  <c r="BS135" i="1" s="1"/>
  <c r="BE135" i="1"/>
  <c r="BR135" i="1" s="1"/>
  <c r="BD135" i="1"/>
  <c r="BQ135" i="1" s="1"/>
  <c r="BC135" i="1"/>
  <c r="BP135" i="1" s="1"/>
  <c r="BB135" i="1"/>
  <c r="BO135" i="1" s="1"/>
  <c r="BA135" i="1"/>
  <c r="BN135" i="1" s="1"/>
  <c r="AZ135" i="1"/>
  <c r="BZ135" i="1" s="1"/>
  <c r="AY135" i="1"/>
  <c r="BY135" i="1" s="1"/>
  <c r="AX135" i="1"/>
  <c r="AW135" i="1"/>
  <c r="AV135" i="1"/>
  <c r="BM134" i="1"/>
  <c r="BV134" i="1" s="1"/>
  <c r="BL134" i="1"/>
  <c r="BT134" i="1" s="1"/>
  <c r="BK134" i="1"/>
  <c r="BJ134" i="1"/>
  <c r="BI134" i="1"/>
  <c r="CB134" i="1" s="1"/>
  <c r="BH134" i="1"/>
  <c r="BG134" i="1"/>
  <c r="BF134" i="1"/>
  <c r="BS134" i="1" s="1"/>
  <c r="BE134" i="1"/>
  <c r="BR134" i="1" s="1"/>
  <c r="BD134" i="1"/>
  <c r="BQ134" i="1" s="1"/>
  <c r="BC134" i="1"/>
  <c r="BP134" i="1" s="1"/>
  <c r="BB134" i="1"/>
  <c r="BO134" i="1" s="1"/>
  <c r="BA134" i="1"/>
  <c r="BN134" i="1" s="1"/>
  <c r="AZ134" i="1"/>
  <c r="BZ134" i="1" s="1"/>
  <c r="AY134" i="1"/>
  <c r="BY134" i="1" s="1"/>
  <c r="AX134" i="1"/>
  <c r="CA134" i="1" s="1"/>
  <c r="AW134" i="1"/>
  <c r="AV134" i="1"/>
  <c r="BM133" i="1"/>
  <c r="BV133" i="1" s="1"/>
  <c r="BL133" i="1"/>
  <c r="BT133" i="1" s="1"/>
  <c r="BK133" i="1"/>
  <c r="BJ133" i="1"/>
  <c r="BI133" i="1"/>
  <c r="CB133" i="1" s="1"/>
  <c r="BH133" i="1"/>
  <c r="BG133" i="1"/>
  <c r="BF133" i="1"/>
  <c r="BS133" i="1" s="1"/>
  <c r="BE133" i="1"/>
  <c r="BR133" i="1" s="1"/>
  <c r="BD133" i="1"/>
  <c r="BQ133" i="1" s="1"/>
  <c r="BC133" i="1"/>
  <c r="BP133" i="1" s="1"/>
  <c r="BB133" i="1"/>
  <c r="BO133" i="1" s="1"/>
  <c r="BA133" i="1"/>
  <c r="BN133" i="1" s="1"/>
  <c r="AZ133" i="1"/>
  <c r="BZ133" i="1" s="1"/>
  <c r="AY133" i="1"/>
  <c r="BY133" i="1" s="1"/>
  <c r="AX133" i="1"/>
  <c r="CA133" i="1" s="1"/>
  <c r="AW133" i="1"/>
  <c r="AV133" i="1"/>
  <c r="BW133" i="1" s="1"/>
  <c r="BM132" i="1"/>
  <c r="BV132" i="1" s="1"/>
  <c r="BL132" i="1"/>
  <c r="BT132" i="1" s="1"/>
  <c r="BK132" i="1"/>
  <c r="BJ132" i="1"/>
  <c r="BI132" i="1"/>
  <c r="CB132" i="1" s="1"/>
  <c r="BH132" i="1"/>
  <c r="BG132" i="1"/>
  <c r="BF132" i="1"/>
  <c r="BS132" i="1" s="1"/>
  <c r="BE132" i="1"/>
  <c r="BR132" i="1" s="1"/>
  <c r="BD132" i="1"/>
  <c r="BQ132" i="1" s="1"/>
  <c r="BC132" i="1"/>
  <c r="BP132" i="1" s="1"/>
  <c r="BB132" i="1"/>
  <c r="BO132" i="1" s="1"/>
  <c r="BA132" i="1"/>
  <c r="BN132" i="1" s="1"/>
  <c r="AZ132" i="1"/>
  <c r="BZ132" i="1" s="1"/>
  <c r="AY132" i="1"/>
  <c r="BY132" i="1" s="1"/>
  <c r="AX132" i="1"/>
  <c r="AW132" i="1"/>
  <c r="AV132" i="1"/>
  <c r="BW132" i="1" s="1"/>
  <c r="BM131" i="1"/>
  <c r="BV131" i="1" s="1"/>
  <c r="BL131" i="1"/>
  <c r="BT131" i="1" s="1"/>
  <c r="BK131" i="1"/>
  <c r="BJ131" i="1"/>
  <c r="BI131" i="1"/>
  <c r="CB131" i="1" s="1"/>
  <c r="BH131" i="1"/>
  <c r="BG131" i="1"/>
  <c r="BF131" i="1"/>
  <c r="BS131" i="1" s="1"/>
  <c r="BE131" i="1"/>
  <c r="BR131" i="1" s="1"/>
  <c r="BD131" i="1"/>
  <c r="BQ131" i="1" s="1"/>
  <c r="BC131" i="1"/>
  <c r="BP131" i="1" s="1"/>
  <c r="BB131" i="1"/>
  <c r="BO131" i="1" s="1"/>
  <c r="BA131" i="1"/>
  <c r="BN131" i="1" s="1"/>
  <c r="AZ131" i="1"/>
  <c r="BZ131" i="1" s="1"/>
  <c r="AY131" i="1"/>
  <c r="BY131" i="1" s="1"/>
  <c r="AX131" i="1"/>
  <c r="CA131" i="1" s="1"/>
  <c r="AW131" i="1"/>
  <c r="AV131" i="1"/>
  <c r="BM130" i="1"/>
  <c r="BV130" i="1" s="1"/>
  <c r="BL130" i="1"/>
  <c r="BT130" i="1" s="1"/>
  <c r="BK130" i="1"/>
  <c r="BJ130" i="1"/>
  <c r="BI130" i="1"/>
  <c r="CB130" i="1" s="1"/>
  <c r="BH130" i="1"/>
  <c r="BG130" i="1"/>
  <c r="BF130" i="1"/>
  <c r="BS130" i="1" s="1"/>
  <c r="BE130" i="1"/>
  <c r="BR130" i="1" s="1"/>
  <c r="BD130" i="1"/>
  <c r="BQ130" i="1" s="1"/>
  <c r="BC130" i="1"/>
  <c r="BP130" i="1" s="1"/>
  <c r="BB130" i="1"/>
  <c r="BO130" i="1" s="1"/>
  <c r="BA130" i="1"/>
  <c r="BN130" i="1" s="1"/>
  <c r="AZ130" i="1"/>
  <c r="BZ130" i="1" s="1"/>
  <c r="AY130" i="1"/>
  <c r="BY130" i="1" s="1"/>
  <c r="AX130" i="1"/>
  <c r="AW130" i="1"/>
  <c r="AV130" i="1"/>
  <c r="BW130" i="1" s="1"/>
  <c r="BM129" i="1"/>
  <c r="BV129" i="1" s="1"/>
  <c r="BL129" i="1"/>
  <c r="BT129" i="1" s="1"/>
  <c r="BK129" i="1"/>
  <c r="BJ129" i="1"/>
  <c r="BI129" i="1"/>
  <c r="CB129" i="1" s="1"/>
  <c r="BH129" i="1"/>
  <c r="BG129" i="1"/>
  <c r="BF129" i="1"/>
  <c r="BS129" i="1" s="1"/>
  <c r="BE129" i="1"/>
  <c r="BR129" i="1" s="1"/>
  <c r="BD129" i="1"/>
  <c r="BQ129" i="1" s="1"/>
  <c r="BC129" i="1"/>
  <c r="BP129" i="1" s="1"/>
  <c r="BB129" i="1"/>
  <c r="BO129" i="1" s="1"/>
  <c r="BA129" i="1"/>
  <c r="BN129" i="1" s="1"/>
  <c r="AZ129" i="1"/>
  <c r="BZ129" i="1" s="1"/>
  <c r="AY129" i="1"/>
  <c r="BY129" i="1" s="1"/>
  <c r="AX129" i="1"/>
  <c r="AW129" i="1"/>
  <c r="AV129" i="1"/>
  <c r="BM128" i="1"/>
  <c r="BV128" i="1" s="1"/>
  <c r="BL128" i="1"/>
  <c r="BT128" i="1" s="1"/>
  <c r="BK128" i="1"/>
  <c r="BJ128" i="1"/>
  <c r="BI128" i="1"/>
  <c r="CB128" i="1" s="1"/>
  <c r="BH128" i="1"/>
  <c r="BG128" i="1"/>
  <c r="BF128" i="1"/>
  <c r="BS128" i="1" s="1"/>
  <c r="BE128" i="1"/>
  <c r="BR128" i="1" s="1"/>
  <c r="BD128" i="1"/>
  <c r="BQ128" i="1" s="1"/>
  <c r="BC128" i="1"/>
  <c r="BP128" i="1" s="1"/>
  <c r="BB128" i="1"/>
  <c r="BO128" i="1" s="1"/>
  <c r="BA128" i="1"/>
  <c r="BN128" i="1" s="1"/>
  <c r="AZ128" i="1"/>
  <c r="BZ128" i="1" s="1"/>
  <c r="AY128" i="1"/>
  <c r="BY128" i="1" s="1"/>
  <c r="AX128" i="1"/>
  <c r="AW128" i="1"/>
  <c r="AV128" i="1"/>
  <c r="BM127" i="1"/>
  <c r="BV127" i="1" s="1"/>
  <c r="BL127" i="1"/>
  <c r="BT127" i="1" s="1"/>
  <c r="BK127" i="1"/>
  <c r="BJ127" i="1"/>
  <c r="BI127" i="1"/>
  <c r="CB127" i="1" s="1"/>
  <c r="BH127" i="1"/>
  <c r="BG127" i="1"/>
  <c r="BF127" i="1"/>
  <c r="BS127" i="1" s="1"/>
  <c r="BE127" i="1"/>
  <c r="BR127" i="1" s="1"/>
  <c r="BD127" i="1"/>
  <c r="BQ127" i="1" s="1"/>
  <c r="BC127" i="1"/>
  <c r="BP127" i="1" s="1"/>
  <c r="BB127" i="1"/>
  <c r="BO127" i="1" s="1"/>
  <c r="BA127" i="1"/>
  <c r="BN127" i="1" s="1"/>
  <c r="AZ127" i="1"/>
  <c r="BZ127" i="1" s="1"/>
  <c r="AY127" i="1"/>
  <c r="BY127" i="1" s="1"/>
  <c r="AX127" i="1"/>
  <c r="AW127" i="1"/>
  <c r="AV127" i="1"/>
  <c r="BW127" i="1" s="1"/>
  <c r="BM126" i="1"/>
  <c r="BV126" i="1" s="1"/>
  <c r="BL126" i="1"/>
  <c r="BT126" i="1" s="1"/>
  <c r="BK126" i="1"/>
  <c r="BJ126" i="1"/>
  <c r="BI126" i="1"/>
  <c r="CB126" i="1" s="1"/>
  <c r="BH126" i="1"/>
  <c r="BG126" i="1"/>
  <c r="BF126" i="1"/>
  <c r="BS126" i="1" s="1"/>
  <c r="BE126" i="1"/>
  <c r="BR126" i="1" s="1"/>
  <c r="BD126" i="1"/>
  <c r="BQ126" i="1" s="1"/>
  <c r="BC126" i="1"/>
  <c r="BP126" i="1" s="1"/>
  <c r="BB126" i="1"/>
  <c r="BO126" i="1" s="1"/>
  <c r="BA126" i="1"/>
  <c r="BN126" i="1" s="1"/>
  <c r="AZ126" i="1"/>
  <c r="BZ126" i="1" s="1"/>
  <c r="AY126" i="1"/>
  <c r="BY126" i="1" s="1"/>
  <c r="AX126" i="1"/>
  <c r="AW126" i="1"/>
  <c r="AV126" i="1"/>
  <c r="BW126" i="1" s="1"/>
  <c r="BM125" i="1"/>
  <c r="BV125" i="1" s="1"/>
  <c r="BL125" i="1"/>
  <c r="BT125" i="1" s="1"/>
  <c r="BK125" i="1"/>
  <c r="BJ125" i="1"/>
  <c r="BI125" i="1"/>
  <c r="CB125" i="1" s="1"/>
  <c r="BH125" i="1"/>
  <c r="BG125" i="1"/>
  <c r="BF125" i="1"/>
  <c r="BS125" i="1" s="1"/>
  <c r="BE125" i="1"/>
  <c r="BR125" i="1" s="1"/>
  <c r="BD125" i="1"/>
  <c r="BQ125" i="1" s="1"/>
  <c r="BC125" i="1"/>
  <c r="BP125" i="1" s="1"/>
  <c r="BB125" i="1"/>
  <c r="BO125" i="1" s="1"/>
  <c r="BA125" i="1"/>
  <c r="BN125" i="1" s="1"/>
  <c r="AZ125" i="1"/>
  <c r="BZ125" i="1" s="1"/>
  <c r="AY125" i="1"/>
  <c r="BY125" i="1" s="1"/>
  <c r="AX125" i="1"/>
  <c r="AW125" i="1"/>
  <c r="AV125" i="1"/>
  <c r="BW125" i="1" s="1"/>
  <c r="BM124" i="1"/>
  <c r="BV124" i="1" s="1"/>
  <c r="BL124" i="1"/>
  <c r="BT124" i="1" s="1"/>
  <c r="BK124" i="1"/>
  <c r="BJ124" i="1"/>
  <c r="BI124" i="1"/>
  <c r="CB124" i="1" s="1"/>
  <c r="BH124" i="1"/>
  <c r="BG124" i="1"/>
  <c r="BF124" i="1"/>
  <c r="BS124" i="1" s="1"/>
  <c r="BE124" i="1"/>
  <c r="BR124" i="1" s="1"/>
  <c r="BD124" i="1"/>
  <c r="BQ124" i="1" s="1"/>
  <c r="BC124" i="1"/>
  <c r="BP124" i="1" s="1"/>
  <c r="BB124" i="1"/>
  <c r="BO124" i="1" s="1"/>
  <c r="BA124" i="1"/>
  <c r="BN124" i="1" s="1"/>
  <c r="AZ124" i="1"/>
  <c r="BZ124" i="1" s="1"/>
  <c r="AY124" i="1"/>
  <c r="BY124" i="1" s="1"/>
  <c r="AX124" i="1"/>
  <c r="AW124" i="1"/>
  <c r="AV124" i="1"/>
  <c r="BM123" i="1"/>
  <c r="BV123" i="1" s="1"/>
  <c r="BL123" i="1"/>
  <c r="BT123" i="1" s="1"/>
  <c r="BK123" i="1"/>
  <c r="BJ123" i="1"/>
  <c r="BI123" i="1"/>
  <c r="CB123" i="1" s="1"/>
  <c r="BH123" i="1"/>
  <c r="BG123" i="1"/>
  <c r="BF123" i="1"/>
  <c r="BS123" i="1" s="1"/>
  <c r="BE123" i="1"/>
  <c r="BR123" i="1" s="1"/>
  <c r="BD123" i="1"/>
  <c r="BQ123" i="1" s="1"/>
  <c r="BC123" i="1"/>
  <c r="BP123" i="1" s="1"/>
  <c r="BB123" i="1"/>
  <c r="BO123" i="1" s="1"/>
  <c r="BA123" i="1"/>
  <c r="BN123" i="1" s="1"/>
  <c r="AZ123" i="1"/>
  <c r="BZ123" i="1" s="1"/>
  <c r="AY123" i="1"/>
  <c r="BY123" i="1" s="1"/>
  <c r="AX123" i="1"/>
  <c r="AW123" i="1"/>
  <c r="AV123" i="1"/>
  <c r="BW123" i="1" s="1"/>
  <c r="BM122" i="1"/>
  <c r="BV122" i="1" s="1"/>
  <c r="BL122" i="1"/>
  <c r="BT122" i="1" s="1"/>
  <c r="BK122" i="1"/>
  <c r="BJ122" i="1"/>
  <c r="BI122" i="1"/>
  <c r="CB122" i="1" s="1"/>
  <c r="BH122" i="1"/>
  <c r="BG122" i="1"/>
  <c r="BF122" i="1"/>
  <c r="BS122" i="1" s="1"/>
  <c r="BE122" i="1"/>
  <c r="BR122" i="1" s="1"/>
  <c r="BD122" i="1"/>
  <c r="BQ122" i="1" s="1"/>
  <c r="BC122" i="1"/>
  <c r="BP122" i="1" s="1"/>
  <c r="BB122" i="1"/>
  <c r="BO122" i="1" s="1"/>
  <c r="BA122" i="1"/>
  <c r="BN122" i="1" s="1"/>
  <c r="AZ122" i="1"/>
  <c r="BZ122" i="1" s="1"/>
  <c r="AY122" i="1"/>
  <c r="BY122" i="1" s="1"/>
  <c r="AX122" i="1"/>
  <c r="AW122" i="1"/>
  <c r="AV122" i="1"/>
  <c r="BW122" i="1" s="1"/>
  <c r="BM121" i="1"/>
  <c r="BV121" i="1" s="1"/>
  <c r="BL121" i="1"/>
  <c r="BT121" i="1" s="1"/>
  <c r="BK121" i="1"/>
  <c r="BJ121" i="1"/>
  <c r="BI121" i="1"/>
  <c r="CB121" i="1" s="1"/>
  <c r="BH121" i="1"/>
  <c r="BG121" i="1"/>
  <c r="BF121" i="1"/>
  <c r="BS121" i="1" s="1"/>
  <c r="BE121" i="1"/>
  <c r="BR121" i="1" s="1"/>
  <c r="BD121" i="1"/>
  <c r="BQ121" i="1" s="1"/>
  <c r="BC121" i="1"/>
  <c r="BP121" i="1" s="1"/>
  <c r="BB121" i="1"/>
  <c r="BO121" i="1" s="1"/>
  <c r="BA121" i="1"/>
  <c r="BN121" i="1" s="1"/>
  <c r="AZ121" i="1"/>
  <c r="BZ121" i="1" s="1"/>
  <c r="AY121" i="1"/>
  <c r="BY121" i="1" s="1"/>
  <c r="AX121" i="1"/>
  <c r="AW121" i="1"/>
  <c r="AV121" i="1"/>
  <c r="BW121" i="1" s="1"/>
  <c r="BM120" i="1"/>
  <c r="BV120" i="1" s="1"/>
  <c r="BL120" i="1"/>
  <c r="BT120" i="1" s="1"/>
  <c r="BK120" i="1"/>
  <c r="BJ120" i="1"/>
  <c r="BI120" i="1"/>
  <c r="CB120" i="1" s="1"/>
  <c r="BH120" i="1"/>
  <c r="BG120" i="1"/>
  <c r="BF120" i="1"/>
  <c r="BS120" i="1" s="1"/>
  <c r="BE120" i="1"/>
  <c r="BR120" i="1" s="1"/>
  <c r="BD120" i="1"/>
  <c r="BQ120" i="1" s="1"/>
  <c r="BC120" i="1"/>
  <c r="BP120" i="1" s="1"/>
  <c r="BB120" i="1"/>
  <c r="BO120" i="1" s="1"/>
  <c r="BA120" i="1"/>
  <c r="BN120" i="1" s="1"/>
  <c r="AZ120" i="1"/>
  <c r="BZ120" i="1" s="1"/>
  <c r="AY120" i="1"/>
  <c r="BY120" i="1" s="1"/>
  <c r="AX120" i="1"/>
  <c r="AW120" i="1"/>
  <c r="AV120" i="1"/>
  <c r="BW120" i="1" s="1"/>
  <c r="BM119" i="1"/>
  <c r="BV119" i="1" s="1"/>
  <c r="BL119" i="1"/>
  <c r="BT119" i="1" s="1"/>
  <c r="BK119" i="1"/>
  <c r="BJ119" i="1"/>
  <c r="BI119" i="1"/>
  <c r="CB119" i="1" s="1"/>
  <c r="BH119" i="1"/>
  <c r="BG119" i="1"/>
  <c r="BF119" i="1"/>
  <c r="BS119" i="1" s="1"/>
  <c r="BE119" i="1"/>
  <c r="BR119" i="1" s="1"/>
  <c r="BD119" i="1"/>
  <c r="BQ119" i="1" s="1"/>
  <c r="BC119" i="1"/>
  <c r="BP119" i="1" s="1"/>
  <c r="BB119" i="1"/>
  <c r="BO119" i="1" s="1"/>
  <c r="BA119" i="1"/>
  <c r="BN119" i="1" s="1"/>
  <c r="AZ119" i="1"/>
  <c r="BZ119" i="1" s="1"/>
  <c r="AY119" i="1"/>
  <c r="BY119" i="1" s="1"/>
  <c r="AX119" i="1"/>
  <c r="AW119" i="1"/>
  <c r="AV119" i="1"/>
  <c r="BW119" i="1" s="1"/>
  <c r="BM118" i="1"/>
  <c r="BV118" i="1" s="1"/>
  <c r="BL118" i="1"/>
  <c r="BT118" i="1" s="1"/>
  <c r="BK118" i="1"/>
  <c r="BJ118" i="1"/>
  <c r="BI118" i="1"/>
  <c r="CB118" i="1" s="1"/>
  <c r="BH118" i="1"/>
  <c r="BG118" i="1"/>
  <c r="BF118" i="1"/>
  <c r="BS118" i="1" s="1"/>
  <c r="BE118" i="1"/>
  <c r="BR118" i="1" s="1"/>
  <c r="BD118" i="1"/>
  <c r="BQ118" i="1" s="1"/>
  <c r="BC118" i="1"/>
  <c r="BP118" i="1" s="1"/>
  <c r="BB118" i="1"/>
  <c r="BO118" i="1" s="1"/>
  <c r="BA118" i="1"/>
  <c r="BN118" i="1" s="1"/>
  <c r="AZ118" i="1"/>
  <c r="BZ118" i="1" s="1"/>
  <c r="AY118" i="1"/>
  <c r="BY118" i="1" s="1"/>
  <c r="AX118" i="1"/>
  <c r="AW118" i="1"/>
  <c r="AV118" i="1"/>
  <c r="BW118" i="1" s="1"/>
  <c r="BM117" i="1"/>
  <c r="BV117" i="1" s="1"/>
  <c r="BL117" i="1"/>
  <c r="BT117" i="1" s="1"/>
  <c r="BK117" i="1"/>
  <c r="BJ117" i="1"/>
  <c r="BI117" i="1"/>
  <c r="CB117" i="1" s="1"/>
  <c r="BH117" i="1"/>
  <c r="BG117" i="1"/>
  <c r="BF117" i="1"/>
  <c r="BS117" i="1" s="1"/>
  <c r="BE117" i="1"/>
  <c r="BR117" i="1" s="1"/>
  <c r="BD117" i="1"/>
  <c r="BQ117" i="1" s="1"/>
  <c r="BC117" i="1"/>
  <c r="BP117" i="1" s="1"/>
  <c r="BB117" i="1"/>
  <c r="BO117" i="1" s="1"/>
  <c r="BA117" i="1"/>
  <c r="BN117" i="1" s="1"/>
  <c r="AZ117" i="1"/>
  <c r="BZ117" i="1" s="1"/>
  <c r="AY117" i="1"/>
  <c r="BY117" i="1" s="1"/>
  <c r="AX117" i="1"/>
  <c r="AW117" i="1"/>
  <c r="AV117" i="1"/>
  <c r="BW117" i="1" s="1"/>
  <c r="BM116" i="1"/>
  <c r="BV116" i="1" s="1"/>
  <c r="BL116" i="1"/>
  <c r="BT116" i="1" s="1"/>
  <c r="BK116" i="1"/>
  <c r="BJ116" i="1"/>
  <c r="BI116" i="1"/>
  <c r="CB116" i="1" s="1"/>
  <c r="BH116" i="1"/>
  <c r="BG116" i="1"/>
  <c r="BF116" i="1"/>
  <c r="BS116" i="1" s="1"/>
  <c r="BE116" i="1"/>
  <c r="BR116" i="1" s="1"/>
  <c r="BD116" i="1"/>
  <c r="BQ116" i="1" s="1"/>
  <c r="BC116" i="1"/>
  <c r="BP116" i="1" s="1"/>
  <c r="BB116" i="1"/>
  <c r="BO116" i="1" s="1"/>
  <c r="BA116" i="1"/>
  <c r="BN116" i="1" s="1"/>
  <c r="AZ116" i="1"/>
  <c r="BZ116" i="1" s="1"/>
  <c r="AY116" i="1"/>
  <c r="BY116" i="1" s="1"/>
  <c r="AX116" i="1"/>
  <c r="AW116" i="1"/>
  <c r="AV116" i="1"/>
  <c r="BW116" i="1" s="1"/>
  <c r="BM115" i="1"/>
  <c r="BV115" i="1" s="1"/>
  <c r="BL115" i="1"/>
  <c r="BT115" i="1" s="1"/>
  <c r="BK115" i="1"/>
  <c r="BJ115" i="1"/>
  <c r="BI115" i="1"/>
  <c r="CB115" i="1" s="1"/>
  <c r="BH115" i="1"/>
  <c r="BG115" i="1"/>
  <c r="BF115" i="1"/>
  <c r="BS115" i="1" s="1"/>
  <c r="BE115" i="1"/>
  <c r="BR115" i="1" s="1"/>
  <c r="BD115" i="1"/>
  <c r="BQ115" i="1" s="1"/>
  <c r="BC115" i="1"/>
  <c r="BP115" i="1" s="1"/>
  <c r="BB115" i="1"/>
  <c r="BO115" i="1" s="1"/>
  <c r="BA115" i="1"/>
  <c r="BN115" i="1" s="1"/>
  <c r="AZ115" i="1"/>
  <c r="BZ115" i="1" s="1"/>
  <c r="AY115" i="1"/>
  <c r="BY115" i="1" s="1"/>
  <c r="AX115" i="1"/>
  <c r="AW115" i="1"/>
  <c r="AV115" i="1"/>
  <c r="BW115" i="1" s="1"/>
  <c r="BM114" i="1"/>
  <c r="BV114" i="1" s="1"/>
  <c r="BL114" i="1"/>
  <c r="BT114" i="1" s="1"/>
  <c r="BK114" i="1"/>
  <c r="BJ114" i="1"/>
  <c r="BI114" i="1"/>
  <c r="CB114" i="1" s="1"/>
  <c r="BH114" i="1"/>
  <c r="BG114" i="1"/>
  <c r="BF114" i="1"/>
  <c r="BS114" i="1" s="1"/>
  <c r="BE114" i="1"/>
  <c r="BR114" i="1" s="1"/>
  <c r="BD114" i="1"/>
  <c r="BQ114" i="1" s="1"/>
  <c r="BC114" i="1"/>
  <c r="BP114" i="1" s="1"/>
  <c r="BB114" i="1"/>
  <c r="BO114" i="1" s="1"/>
  <c r="BA114" i="1"/>
  <c r="BN114" i="1" s="1"/>
  <c r="AZ114" i="1"/>
  <c r="BZ114" i="1" s="1"/>
  <c r="AY114" i="1"/>
  <c r="BY114" i="1" s="1"/>
  <c r="AX114" i="1"/>
  <c r="AW114" i="1"/>
  <c r="AV114" i="1"/>
  <c r="BW114" i="1" s="1"/>
  <c r="BM113" i="1"/>
  <c r="BV113" i="1" s="1"/>
  <c r="BL113" i="1"/>
  <c r="BT113" i="1" s="1"/>
  <c r="BK113" i="1"/>
  <c r="BJ113" i="1"/>
  <c r="BI113" i="1"/>
  <c r="CB113" i="1" s="1"/>
  <c r="BH113" i="1"/>
  <c r="BG113" i="1"/>
  <c r="BF113" i="1"/>
  <c r="BS113" i="1" s="1"/>
  <c r="BE113" i="1"/>
  <c r="BR113" i="1" s="1"/>
  <c r="BD113" i="1"/>
  <c r="BQ113" i="1" s="1"/>
  <c r="BC113" i="1"/>
  <c r="BP113" i="1" s="1"/>
  <c r="BB113" i="1"/>
  <c r="BO113" i="1" s="1"/>
  <c r="BA113" i="1"/>
  <c r="BN113" i="1" s="1"/>
  <c r="AZ113" i="1"/>
  <c r="BZ113" i="1" s="1"/>
  <c r="AY113" i="1"/>
  <c r="BY113" i="1" s="1"/>
  <c r="AX113" i="1"/>
  <c r="AW113" i="1"/>
  <c r="AV113" i="1"/>
  <c r="BW113" i="1" s="1"/>
  <c r="BM112" i="1"/>
  <c r="BV112" i="1" s="1"/>
  <c r="BL112" i="1"/>
  <c r="BT112" i="1" s="1"/>
  <c r="BK112" i="1"/>
  <c r="BJ112" i="1"/>
  <c r="BI112" i="1"/>
  <c r="CB112" i="1" s="1"/>
  <c r="BH112" i="1"/>
  <c r="BG112" i="1"/>
  <c r="BF112" i="1"/>
  <c r="BS112" i="1" s="1"/>
  <c r="BE112" i="1"/>
  <c r="BR112" i="1" s="1"/>
  <c r="BD112" i="1"/>
  <c r="BQ112" i="1" s="1"/>
  <c r="BC112" i="1"/>
  <c r="BP112" i="1" s="1"/>
  <c r="BB112" i="1"/>
  <c r="BO112" i="1" s="1"/>
  <c r="BA112" i="1"/>
  <c r="BN112" i="1" s="1"/>
  <c r="AZ112" i="1"/>
  <c r="BZ112" i="1" s="1"/>
  <c r="AY112" i="1"/>
  <c r="BY112" i="1" s="1"/>
  <c r="AX112" i="1"/>
  <c r="AW112" i="1"/>
  <c r="AV112" i="1"/>
  <c r="BW112" i="1" s="1"/>
  <c r="BM111" i="1"/>
  <c r="BV111" i="1" s="1"/>
  <c r="BL111" i="1"/>
  <c r="BT111" i="1" s="1"/>
  <c r="BK111" i="1"/>
  <c r="BJ111" i="1"/>
  <c r="BI111" i="1"/>
  <c r="CB111" i="1" s="1"/>
  <c r="BH111" i="1"/>
  <c r="BG111" i="1"/>
  <c r="BF111" i="1"/>
  <c r="BS111" i="1" s="1"/>
  <c r="BE111" i="1"/>
  <c r="BR111" i="1" s="1"/>
  <c r="BD111" i="1"/>
  <c r="BQ111" i="1" s="1"/>
  <c r="BC111" i="1"/>
  <c r="BP111" i="1" s="1"/>
  <c r="BB111" i="1"/>
  <c r="BO111" i="1" s="1"/>
  <c r="BA111" i="1"/>
  <c r="BN111" i="1" s="1"/>
  <c r="AZ111" i="1"/>
  <c r="BZ111" i="1" s="1"/>
  <c r="AY111" i="1"/>
  <c r="BY111" i="1" s="1"/>
  <c r="AX111" i="1"/>
  <c r="AW111" i="1"/>
  <c r="AV111" i="1"/>
  <c r="BM110" i="1"/>
  <c r="BV110" i="1" s="1"/>
  <c r="BL110" i="1"/>
  <c r="BT110" i="1" s="1"/>
  <c r="BK110" i="1"/>
  <c r="BJ110" i="1"/>
  <c r="BI110" i="1"/>
  <c r="CB110" i="1" s="1"/>
  <c r="BH110" i="1"/>
  <c r="BG110" i="1"/>
  <c r="BF110" i="1"/>
  <c r="BS110" i="1" s="1"/>
  <c r="BE110" i="1"/>
  <c r="BR110" i="1" s="1"/>
  <c r="BD110" i="1"/>
  <c r="BQ110" i="1" s="1"/>
  <c r="BC110" i="1"/>
  <c r="BP110" i="1" s="1"/>
  <c r="BB110" i="1"/>
  <c r="BO110" i="1" s="1"/>
  <c r="BA110" i="1"/>
  <c r="BN110" i="1" s="1"/>
  <c r="AZ110" i="1"/>
  <c r="BZ110" i="1" s="1"/>
  <c r="AY110" i="1"/>
  <c r="BY110" i="1" s="1"/>
  <c r="AX110" i="1"/>
  <c r="AW110" i="1"/>
  <c r="AV110" i="1"/>
  <c r="BW110" i="1" s="1"/>
  <c r="BM109" i="1"/>
  <c r="BV109" i="1" s="1"/>
  <c r="BL109" i="1"/>
  <c r="BT109" i="1" s="1"/>
  <c r="BK109" i="1"/>
  <c r="BJ109" i="1"/>
  <c r="BI109" i="1"/>
  <c r="CB109" i="1" s="1"/>
  <c r="BH109" i="1"/>
  <c r="BG109" i="1"/>
  <c r="BF109" i="1"/>
  <c r="BS109" i="1" s="1"/>
  <c r="BE109" i="1"/>
  <c r="BR109" i="1" s="1"/>
  <c r="BD109" i="1"/>
  <c r="BQ109" i="1" s="1"/>
  <c r="BC109" i="1"/>
  <c r="BP109" i="1" s="1"/>
  <c r="BB109" i="1"/>
  <c r="BO109" i="1" s="1"/>
  <c r="BA109" i="1"/>
  <c r="BN109" i="1" s="1"/>
  <c r="AZ109" i="1"/>
  <c r="BZ109" i="1" s="1"/>
  <c r="AY109" i="1"/>
  <c r="BY109" i="1" s="1"/>
  <c r="AX109" i="1"/>
  <c r="AW109" i="1"/>
  <c r="AV109" i="1"/>
  <c r="BW109" i="1" s="1"/>
  <c r="BM108" i="1"/>
  <c r="BV108" i="1" s="1"/>
  <c r="BL108" i="1"/>
  <c r="BT108" i="1" s="1"/>
  <c r="BK108" i="1"/>
  <c r="BJ108" i="1"/>
  <c r="BI108" i="1"/>
  <c r="CB108" i="1" s="1"/>
  <c r="BH108" i="1"/>
  <c r="BG108" i="1"/>
  <c r="BF108" i="1"/>
  <c r="BS108" i="1" s="1"/>
  <c r="BE108" i="1"/>
  <c r="BR108" i="1" s="1"/>
  <c r="BD108" i="1"/>
  <c r="BQ108" i="1" s="1"/>
  <c r="BC108" i="1"/>
  <c r="BP108" i="1" s="1"/>
  <c r="BB108" i="1"/>
  <c r="BO108" i="1" s="1"/>
  <c r="BA108" i="1"/>
  <c r="BN108" i="1" s="1"/>
  <c r="AZ108" i="1"/>
  <c r="BZ108" i="1" s="1"/>
  <c r="AY108" i="1"/>
  <c r="BY108" i="1" s="1"/>
  <c r="AX108" i="1"/>
  <c r="AW108" i="1"/>
  <c r="AV108" i="1"/>
  <c r="BM107" i="1"/>
  <c r="BV107" i="1" s="1"/>
  <c r="BL107" i="1"/>
  <c r="BT107" i="1" s="1"/>
  <c r="BK107" i="1"/>
  <c r="BJ107" i="1"/>
  <c r="BI107" i="1"/>
  <c r="CB107" i="1" s="1"/>
  <c r="BH107" i="1"/>
  <c r="BG107" i="1"/>
  <c r="BF107" i="1"/>
  <c r="BS107" i="1" s="1"/>
  <c r="BE107" i="1"/>
  <c r="BR107" i="1" s="1"/>
  <c r="BD107" i="1"/>
  <c r="BQ107" i="1" s="1"/>
  <c r="BC107" i="1"/>
  <c r="BP107" i="1" s="1"/>
  <c r="BB107" i="1"/>
  <c r="BO107" i="1" s="1"/>
  <c r="BA107" i="1"/>
  <c r="BN107" i="1" s="1"/>
  <c r="AZ107" i="1"/>
  <c r="BZ107" i="1" s="1"/>
  <c r="AY107" i="1"/>
  <c r="BY107" i="1" s="1"/>
  <c r="AX107" i="1"/>
  <c r="AW107" i="1"/>
  <c r="AV107" i="1"/>
  <c r="BW107" i="1" s="1"/>
  <c r="BM106" i="1"/>
  <c r="BV106" i="1" s="1"/>
  <c r="BL106" i="1"/>
  <c r="BT106" i="1" s="1"/>
  <c r="BK106" i="1"/>
  <c r="BJ106" i="1"/>
  <c r="BI106" i="1"/>
  <c r="CB106" i="1" s="1"/>
  <c r="BH106" i="1"/>
  <c r="BG106" i="1"/>
  <c r="BF106" i="1"/>
  <c r="BS106" i="1" s="1"/>
  <c r="BE106" i="1"/>
  <c r="BR106" i="1" s="1"/>
  <c r="BD106" i="1"/>
  <c r="BQ106" i="1" s="1"/>
  <c r="BC106" i="1"/>
  <c r="BP106" i="1" s="1"/>
  <c r="BB106" i="1"/>
  <c r="BO106" i="1" s="1"/>
  <c r="BA106" i="1"/>
  <c r="BN106" i="1" s="1"/>
  <c r="AZ106" i="1"/>
  <c r="BZ106" i="1" s="1"/>
  <c r="AY106" i="1"/>
  <c r="BY106" i="1" s="1"/>
  <c r="AX106" i="1"/>
  <c r="AW106" i="1"/>
  <c r="AV106" i="1"/>
  <c r="BW106" i="1" s="1"/>
  <c r="BM105" i="1"/>
  <c r="BV105" i="1" s="1"/>
  <c r="BL105" i="1"/>
  <c r="BT105" i="1" s="1"/>
  <c r="BK105" i="1"/>
  <c r="BJ105" i="1"/>
  <c r="BI105" i="1"/>
  <c r="CB105" i="1" s="1"/>
  <c r="BH105" i="1"/>
  <c r="BG105" i="1"/>
  <c r="BF105" i="1"/>
  <c r="BS105" i="1" s="1"/>
  <c r="BE105" i="1"/>
  <c r="BR105" i="1" s="1"/>
  <c r="BD105" i="1"/>
  <c r="BQ105" i="1" s="1"/>
  <c r="BC105" i="1"/>
  <c r="BP105" i="1" s="1"/>
  <c r="BB105" i="1"/>
  <c r="BO105" i="1" s="1"/>
  <c r="BA105" i="1"/>
  <c r="BN105" i="1" s="1"/>
  <c r="AZ105" i="1"/>
  <c r="BZ105" i="1" s="1"/>
  <c r="AY105" i="1"/>
  <c r="BY105" i="1" s="1"/>
  <c r="AX105" i="1"/>
  <c r="AW105" i="1"/>
  <c r="AV105" i="1"/>
  <c r="BW105" i="1" s="1"/>
  <c r="BM104" i="1"/>
  <c r="BV104" i="1" s="1"/>
  <c r="BL104" i="1"/>
  <c r="BT104" i="1" s="1"/>
  <c r="BK104" i="1"/>
  <c r="BJ104" i="1"/>
  <c r="BI104" i="1"/>
  <c r="CB104" i="1" s="1"/>
  <c r="BH104" i="1"/>
  <c r="BG104" i="1"/>
  <c r="BF104" i="1"/>
  <c r="BS104" i="1" s="1"/>
  <c r="BE104" i="1"/>
  <c r="BR104" i="1" s="1"/>
  <c r="BD104" i="1"/>
  <c r="BQ104" i="1" s="1"/>
  <c r="BC104" i="1"/>
  <c r="BP104" i="1" s="1"/>
  <c r="BB104" i="1"/>
  <c r="BO104" i="1" s="1"/>
  <c r="BA104" i="1"/>
  <c r="BN104" i="1" s="1"/>
  <c r="AZ104" i="1"/>
  <c r="BZ104" i="1" s="1"/>
  <c r="AY104" i="1"/>
  <c r="BY104" i="1" s="1"/>
  <c r="AX104" i="1"/>
  <c r="AW104" i="1"/>
  <c r="AV104" i="1"/>
  <c r="BM103" i="1"/>
  <c r="BV103" i="1" s="1"/>
  <c r="BL103" i="1"/>
  <c r="BT103" i="1" s="1"/>
  <c r="BK103" i="1"/>
  <c r="BJ103" i="1"/>
  <c r="BI103" i="1"/>
  <c r="CB103" i="1" s="1"/>
  <c r="BH103" i="1"/>
  <c r="BG103" i="1"/>
  <c r="BF103" i="1"/>
  <c r="BS103" i="1" s="1"/>
  <c r="BE103" i="1"/>
  <c r="BR103" i="1" s="1"/>
  <c r="BD103" i="1"/>
  <c r="BQ103" i="1" s="1"/>
  <c r="BC103" i="1"/>
  <c r="BP103" i="1" s="1"/>
  <c r="BB103" i="1"/>
  <c r="BO103" i="1" s="1"/>
  <c r="BA103" i="1"/>
  <c r="BN103" i="1" s="1"/>
  <c r="AZ103" i="1"/>
  <c r="BZ103" i="1" s="1"/>
  <c r="AY103" i="1"/>
  <c r="BY103" i="1" s="1"/>
  <c r="AX103" i="1"/>
  <c r="AW103" i="1"/>
  <c r="AV103" i="1"/>
  <c r="BW103" i="1" s="1"/>
  <c r="BM102" i="1"/>
  <c r="BV102" i="1" s="1"/>
  <c r="BL102" i="1"/>
  <c r="BT102" i="1" s="1"/>
  <c r="BK102" i="1"/>
  <c r="BJ102" i="1"/>
  <c r="BI102" i="1"/>
  <c r="CB102" i="1" s="1"/>
  <c r="BH102" i="1"/>
  <c r="BG102" i="1"/>
  <c r="BF102" i="1"/>
  <c r="BS102" i="1" s="1"/>
  <c r="BE102" i="1"/>
  <c r="BR102" i="1" s="1"/>
  <c r="BD102" i="1"/>
  <c r="BQ102" i="1" s="1"/>
  <c r="BC102" i="1"/>
  <c r="BP102" i="1" s="1"/>
  <c r="BB102" i="1"/>
  <c r="BO102" i="1" s="1"/>
  <c r="BA102" i="1"/>
  <c r="BN102" i="1" s="1"/>
  <c r="AZ102" i="1"/>
  <c r="BZ102" i="1" s="1"/>
  <c r="AY102" i="1"/>
  <c r="BY102" i="1" s="1"/>
  <c r="AX102" i="1"/>
  <c r="AW102" i="1"/>
  <c r="AV102" i="1"/>
  <c r="BM101" i="1"/>
  <c r="BV101" i="1" s="1"/>
  <c r="BL101" i="1"/>
  <c r="BT101" i="1" s="1"/>
  <c r="BK101" i="1"/>
  <c r="BJ101" i="1"/>
  <c r="BI101" i="1"/>
  <c r="CB101" i="1" s="1"/>
  <c r="BH101" i="1"/>
  <c r="BG101" i="1"/>
  <c r="BF101" i="1"/>
  <c r="BS101" i="1" s="1"/>
  <c r="BE101" i="1"/>
  <c r="BR101" i="1" s="1"/>
  <c r="BD101" i="1"/>
  <c r="BQ101" i="1" s="1"/>
  <c r="BC101" i="1"/>
  <c r="BP101" i="1" s="1"/>
  <c r="BB101" i="1"/>
  <c r="BO101" i="1" s="1"/>
  <c r="BA101" i="1"/>
  <c r="BN101" i="1" s="1"/>
  <c r="AZ101" i="1"/>
  <c r="BZ101" i="1" s="1"/>
  <c r="AY101" i="1"/>
  <c r="BY101" i="1" s="1"/>
  <c r="AX101" i="1"/>
  <c r="AW101" i="1"/>
  <c r="AV101" i="1"/>
  <c r="BM100" i="1"/>
  <c r="BV100" i="1" s="1"/>
  <c r="BL100" i="1"/>
  <c r="BT100" i="1" s="1"/>
  <c r="BK100" i="1"/>
  <c r="BJ100" i="1"/>
  <c r="BI100" i="1"/>
  <c r="CB100" i="1" s="1"/>
  <c r="BH100" i="1"/>
  <c r="BG100" i="1"/>
  <c r="BF100" i="1"/>
  <c r="BS100" i="1" s="1"/>
  <c r="BE100" i="1"/>
  <c r="BR100" i="1" s="1"/>
  <c r="BD100" i="1"/>
  <c r="BQ100" i="1" s="1"/>
  <c r="BC100" i="1"/>
  <c r="BP100" i="1" s="1"/>
  <c r="BB100" i="1"/>
  <c r="BO100" i="1" s="1"/>
  <c r="BA100" i="1"/>
  <c r="BN100" i="1" s="1"/>
  <c r="AZ100" i="1"/>
  <c r="BZ100" i="1" s="1"/>
  <c r="AY100" i="1"/>
  <c r="BY100" i="1" s="1"/>
  <c r="AX100" i="1"/>
  <c r="AW100" i="1"/>
  <c r="AV100" i="1"/>
  <c r="BW100" i="1" s="1"/>
  <c r="BM99" i="1"/>
  <c r="BV99" i="1" s="1"/>
  <c r="BL99" i="1"/>
  <c r="BT99" i="1" s="1"/>
  <c r="BK99" i="1"/>
  <c r="BJ99" i="1"/>
  <c r="BI99" i="1"/>
  <c r="CB99" i="1" s="1"/>
  <c r="BH99" i="1"/>
  <c r="BG99" i="1"/>
  <c r="BF99" i="1"/>
  <c r="BS99" i="1" s="1"/>
  <c r="BE99" i="1"/>
  <c r="BR99" i="1" s="1"/>
  <c r="BD99" i="1"/>
  <c r="BQ99" i="1" s="1"/>
  <c r="BC99" i="1"/>
  <c r="BP99" i="1" s="1"/>
  <c r="BB99" i="1"/>
  <c r="BO99" i="1" s="1"/>
  <c r="BA99" i="1"/>
  <c r="BN99" i="1" s="1"/>
  <c r="AZ99" i="1"/>
  <c r="BZ99" i="1" s="1"/>
  <c r="AY99" i="1"/>
  <c r="BY99" i="1" s="1"/>
  <c r="AX99" i="1"/>
  <c r="AW99" i="1"/>
  <c r="AV99" i="1"/>
  <c r="BM98" i="1"/>
  <c r="BV98" i="1" s="1"/>
  <c r="BL98" i="1"/>
  <c r="BT98" i="1" s="1"/>
  <c r="BK98" i="1"/>
  <c r="BJ98" i="1"/>
  <c r="BI98" i="1"/>
  <c r="CB98" i="1" s="1"/>
  <c r="BH98" i="1"/>
  <c r="BG98" i="1"/>
  <c r="BF98" i="1"/>
  <c r="BS98" i="1" s="1"/>
  <c r="BE98" i="1"/>
  <c r="BR98" i="1" s="1"/>
  <c r="BD98" i="1"/>
  <c r="BQ98" i="1" s="1"/>
  <c r="BC98" i="1"/>
  <c r="BP98" i="1" s="1"/>
  <c r="BB98" i="1"/>
  <c r="BO98" i="1" s="1"/>
  <c r="BA98" i="1"/>
  <c r="BN98" i="1" s="1"/>
  <c r="AZ98" i="1"/>
  <c r="BZ98" i="1" s="1"/>
  <c r="AY98" i="1"/>
  <c r="BY98" i="1" s="1"/>
  <c r="AX98" i="1"/>
  <c r="AW98" i="1"/>
  <c r="AV98" i="1"/>
  <c r="BW98" i="1" s="1"/>
  <c r="BM97" i="1"/>
  <c r="BV97" i="1" s="1"/>
  <c r="BL97" i="1"/>
  <c r="BT97" i="1" s="1"/>
  <c r="BK97" i="1"/>
  <c r="BJ97" i="1"/>
  <c r="BI97" i="1"/>
  <c r="CB97" i="1" s="1"/>
  <c r="BH97" i="1"/>
  <c r="BG97" i="1"/>
  <c r="BF97" i="1"/>
  <c r="BS97" i="1" s="1"/>
  <c r="BE97" i="1"/>
  <c r="BR97" i="1" s="1"/>
  <c r="BD97" i="1"/>
  <c r="BQ97" i="1" s="1"/>
  <c r="BC97" i="1"/>
  <c r="BP97" i="1" s="1"/>
  <c r="BB97" i="1"/>
  <c r="BO97" i="1" s="1"/>
  <c r="BA97" i="1"/>
  <c r="BN97" i="1" s="1"/>
  <c r="AZ97" i="1"/>
  <c r="BZ97" i="1" s="1"/>
  <c r="AY97" i="1"/>
  <c r="BY97" i="1" s="1"/>
  <c r="AX97" i="1"/>
  <c r="AW97" i="1"/>
  <c r="AV97" i="1"/>
  <c r="BW97" i="1" s="1"/>
  <c r="BM96" i="1"/>
  <c r="BV96" i="1" s="1"/>
  <c r="BL96" i="1"/>
  <c r="BT96" i="1" s="1"/>
  <c r="BK96" i="1"/>
  <c r="BJ96" i="1"/>
  <c r="BI96" i="1"/>
  <c r="CB96" i="1" s="1"/>
  <c r="BH96" i="1"/>
  <c r="BG96" i="1"/>
  <c r="BF96" i="1"/>
  <c r="BS96" i="1" s="1"/>
  <c r="BE96" i="1"/>
  <c r="BR96" i="1" s="1"/>
  <c r="BD96" i="1"/>
  <c r="BQ96" i="1" s="1"/>
  <c r="BC96" i="1"/>
  <c r="BP96" i="1" s="1"/>
  <c r="BB96" i="1"/>
  <c r="BO96" i="1" s="1"/>
  <c r="BA96" i="1"/>
  <c r="BN96" i="1" s="1"/>
  <c r="AZ96" i="1"/>
  <c r="BZ96" i="1" s="1"/>
  <c r="AY96" i="1"/>
  <c r="BY96" i="1" s="1"/>
  <c r="AX96" i="1"/>
  <c r="AW96" i="1"/>
  <c r="AV96" i="1"/>
  <c r="BW96" i="1" s="1"/>
  <c r="BM95" i="1"/>
  <c r="BV95" i="1" s="1"/>
  <c r="BL95" i="1"/>
  <c r="BT95" i="1" s="1"/>
  <c r="BK95" i="1"/>
  <c r="BJ95" i="1"/>
  <c r="BI95" i="1"/>
  <c r="CB95" i="1" s="1"/>
  <c r="BH95" i="1"/>
  <c r="BG95" i="1"/>
  <c r="BF95" i="1"/>
  <c r="BS95" i="1" s="1"/>
  <c r="BE95" i="1"/>
  <c r="BR95" i="1" s="1"/>
  <c r="BD95" i="1"/>
  <c r="BQ95" i="1" s="1"/>
  <c r="BC95" i="1"/>
  <c r="BP95" i="1" s="1"/>
  <c r="BB95" i="1"/>
  <c r="BO95" i="1" s="1"/>
  <c r="BA95" i="1"/>
  <c r="BN95" i="1" s="1"/>
  <c r="AZ95" i="1"/>
  <c r="BZ95" i="1" s="1"/>
  <c r="AY95" i="1"/>
  <c r="BY95" i="1" s="1"/>
  <c r="AX95" i="1"/>
  <c r="AW95" i="1"/>
  <c r="AV95" i="1"/>
  <c r="BM94" i="1"/>
  <c r="BV94" i="1" s="1"/>
  <c r="BL94" i="1"/>
  <c r="BT94" i="1" s="1"/>
  <c r="BK94" i="1"/>
  <c r="BJ94" i="1"/>
  <c r="BI94" i="1"/>
  <c r="CB94" i="1" s="1"/>
  <c r="BH94" i="1"/>
  <c r="BG94" i="1"/>
  <c r="BF94" i="1"/>
  <c r="BS94" i="1" s="1"/>
  <c r="BE94" i="1"/>
  <c r="BR94" i="1" s="1"/>
  <c r="BD94" i="1"/>
  <c r="BQ94" i="1" s="1"/>
  <c r="BC94" i="1"/>
  <c r="BP94" i="1" s="1"/>
  <c r="BB94" i="1"/>
  <c r="BO94" i="1" s="1"/>
  <c r="BA94" i="1"/>
  <c r="BN94" i="1" s="1"/>
  <c r="AZ94" i="1"/>
  <c r="BZ94" i="1" s="1"/>
  <c r="AY94" i="1"/>
  <c r="BY94" i="1" s="1"/>
  <c r="AX94" i="1"/>
  <c r="AW94" i="1"/>
  <c r="AV94" i="1"/>
  <c r="BW94" i="1" s="1"/>
  <c r="BM93" i="1"/>
  <c r="BV93" i="1" s="1"/>
  <c r="BL93" i="1"/>
  <c r="BT93" i="1" s="1"/>
  <c r="BK93" i="1"/>
  <c r="BJ93" i="1"/>
  <c r="BI93" i="1"/>
  <c r="CB93" i="1" s="1"/>
  <c r="BH93" i="1"/>
  <c r="BG93" i="1"/>
  <c r="BF93" i="1"/>
  <c r="BS93" i="1" s="1"/>
  <c r="BE93" i="1"/>
  <c r="BR93" i="1" s="1"/>
  <c r="BD93" i="1"/>
  <c r="BQ93" i="1" s="1"/>
  <c r="BC93" i="1"/>
  <c r="BP93" i="1" s="1"/>
  <c r="BB93" i="1"/>
  <c r="BO93" i="1" s="1"/>
  <c r="BA93" i="1"/>
  <c r="BN93" i="1" s="1"/>
  <c r="AZ93" i="1"/>
  <c r="BZ93" i="1" s="1"/>
  <c r="AY93" i="1"/>
  <c r="BY93" i="1" s="1"/>
  <c r="AX93" i="1"/>
  <c r="AW93" i="1"/>
  <c r="AV93" i="1"/>
  <c r="BM92" i="1"/>
  <c r="BV92" i="1" s="1"/>
  <c r="BL92" i="1"/>
  <c r="BT92" i="1" s="1"/>
  <c r="BK92" i="1"/>
  <c r="BJ92" i="1"/>
  <c r="BI92" i="1"/>
  <c r="CB92" i="1" s="1"/>
  <c r="BH92" i="1"/>
  <c r="BG92" i="1"/>
  <c r="BF92" i="1"/>
  <c r="BS92" i="1" s="1"/>
  <c r="BE92" i="1"/>
  <c r="BR92" i="1" s="1"/>
  <c r="BD92" i="1"/>
  <c r="BQ92" i="1" s="1"/>
  <c r="BC92" i="1"/>
  <c r="BP92" i="1" s="1"/>
  <c r="BB92" i="1"/>
  <c r="BO92" i="1" s="1"/>
  <c r="BA92" i="1"/>
  <c r="BN92" i="1" s="1"/>
  <c r="AZ92" i="1"/>
  <c r="BZ92" i="1" s="1"/>
  <c r="AY92" i="1"/>
  <c r="BY92" i="1" s="1"/>
  <c r="AX92" i="1"/>
  <c r="AW92" i="1"/>
  <c r="AV92" i="1"/>
  <c r="BM91" i="1"/>
  <c r="BV91" i="1" s="1"/>
  <c r="BL91" i="1"/>
  <c r="BT91" i="1" s="1"/>
  <c r="BK91" i="1"/>
  <c r="BJ91" i="1"/>
  <c r="BI91" i="1"/>
  <c r="CB91" i="1" s="1"/>
  <c r="BH91" i="1"/>
  <c r="BG91" i="1"/>
  <c r="BF91" i="1"/>
  <c r="BS91" i="1" s="1"/>
  <c r="BE91" i="1"/>
  <c r="BR91" i="1" s="1"/>
  <c r="BD91" i="1"/>
  <c r="BQ91" i="1" s="1"/>
  <c r="BC91" i="1"/>
  <c r="BP91" i="1" s="1"/>
  <c r="BB91" i="1"/>
  <c r="BO91" i="1" s="1"/>
  <c r="BA91" i="1"/>
  <c r="BN91" i="1" s="1"/>
  <c r="AZ91" i="1"/>
  <c r="BZ91" i="1" s="1"/>
  <c r="AY91" i="1"/>
  <c r="BY91" i="1" s="1"/>
  <c r="AX91" i="1"/>
  <c r="AW91" i="1"/>
  <c r="AV91" i="1"/>
  <c r="BM90" i="1"/>
  <c r="BV90" i="1" s="1"/>
  <c r="BL90" i="1"/>
  <c r="BT90" i="1" s="1"/>
  <c r="BK90" i="1"/>
  <c r="BJ90" i="1"/>
  <c r="BI90" i="1"/>
  <c r="CB90" i="1" s="1"/>
  <c r="BH90" i="1"/>
  <c r="BG90" i="1"/>
  <c r="BF90" i="1"/>
  <c r="BS90" i="1" s="1"/>
  <c r="BE90" i="1"/>
  <c r="BR90" i="1" s="1"/>
  <c r="BD90" i="1"/>
  <c r="BQ90" i="1" s="1"/>
  <c r="BC90" i="1"/>
  <c r="BP90" i="1" s="1"/>
  <c r="BB90" i="1"/>
  <c r="BO90" i="1" s="1"/>
  <c r="BA90" i="1"/>
  <c r="BN90" i="1" s="1"/>
  <c r="AZ90" i="1"/>
  <c r="BZ90" i="1" s="1"/>
  <c r="AY90" i="1"/>
  <c r="BY90" i="1" s="1"/>
  <c r="AX90" i="1"/>
  <c r="AW90" i="1"/>
  <c r="AV90" i="1"/>
  <c r="BW90" i="1" s="1"/>
  <c r="BM89" i="1"/>
  <c r="BV89" i="1" s="1"/>
  <c r="BL89" i="1"/>
  <c r="BT89" i="1" s="1"/>
  <c r="BK89" i="1"/>
  <c r="BJ89" i="1"/>
  <c r="BI89" i="1"/>
  <c r="CB89" i="1" s="1"/>
  <c r="BH89" i="1"/>
  <c r="BG89" i="1"/>
  <c r="BF89" i="1"/>
  <c r="BS89" i="1" s="1"/>
  <c r="BE89" i="1"/>
  <c r="BR89" i="1" s="1"/>
  <c r="BD89" i="1"/>
  <c r="BQ89" i="1" s="1"/>
  <c r="BC89" i="1"/>
  <c r="BP89" i="1" s="1"/>
  <c r="BB89" i="1"/>
  <c r="BO89" i="1" s="1"/>
  <c r="BA89" i="1"/>
  <c r="BN89" i="1" s="1"/>
  <c r="AZ89" i="1"/>
  <c r="BZ89" i="1" s="1"/>
  <c r="AY89" i="1"/>
  <c r="BY89" i="1" s="1"/>
  <c r="AX89" i="1"/>
  <c r="AW89" i="1"/>
  <c r="AV89" i="1"/>
  <c r="BM88" i="1"/>
  <c r="BV88" i="1" s="1"/>
  <c r="BL88" i="1"/>
  <c r="BT88" i="1" s="1"/>
  <c r="BK88" i="1"/>
  <c r="BJ88" i="1"/>
  <c r="BI88" i="1"/>
  <c r="CB88" i="1" s="1"/>
  <c r="BH88" i="1"/>
  <c r="BG88" i="1"/>
  <c r="BF88" i="1"/>
  <c r="BS88" i="1" s="1"/>
  <c r="BE88" i="1"/>
  <c r="BR88" i="1" s="1"/>
  <c r="BD88" i="1"/>
  <c r="BQ88" i="1" s="1"/>
  <c r="BC88" i="1"/>
  <c r="BP88" i="1" s="1"/>
  <c r="BB88" i="1"/>
  <c r="BO88" i="1" s="1"/>
  <c r="BA88" i="1"/>
  <c r="BN88" i="1" s="1"/>
  <c r="AZ88" i="1"/>
  <c r="BZ88" i="1" s="1"/>
  <c r="AY88" i="1"/>
  <c r="BY88" i="1" s="1"/>
  <c r="AX88" i="1"/>
  <c r="AW88" i="1"/>
  <c r="AV88" i="1"/>
  <c r="BM87" i="1"/>
  <c r="BV87" i="1" s="1"/>
  <c r="BL87" i="1"/>
  <c r="BT87" i="1" s="1"/>
  <c r="BK87" i="1"/>
  <c r="BJ87" i="1"/>
  <c r="BI87" i="1"/>
  <c r="CB87" i="1" s="1"/>
  <c r="BH87" i="1"/>
  <c r="BG87" i="1"/>
  <c r="BF87" i="1"/>
  <c r="BS87" i="1" s="1"/>
  <c r="BE87" i="1"/>
  <c r="BR87" i="1" s="1"/>
  <c r="BD87" i="1"/>
  <c r="BQ87" i="1" s="1"/>
  <c r="BC87" i="1"/>
  <c r="BP87" i="1" s="1"/>
  <c r="BB87" i="1"/>
  <c r="BO87" i="1" s="1"/>
  <c r="BA87" i="1"/>
  <c r="BN87" i="1" s="1"/>
  <c r="AZ87" i="1"/>
  <c r="BZ87" i="1" s="1"/>
  <c r="AY87" i="1"/>
  <c r="BY87" i="1" s="1"/>
  <c r="AX87" i="1"/>
  <c r="AW87" i="1"/>
  <c r="AV87" i="1"/>
  <c r="BW87" i="1" s="1"/>
  <c r="BM86" i="1"/>
  <c r="BV86" i="1" s="1"/>
  <c r="BL86" i="1"/>
  <c r="BT86" i="1" s="1"/>
  <c r="BK86" i="1"/>
  <c r="BJ86" i="1"/>
  <c r="BI86" i="1"/>
  <c r="CB86" i="1" s="1"/>
  <c r="BH86" i="1"/>
  <c r="BG86" i="1"/>
  <c r="BF86" i="1"/>
  <c r="BS86" i="1" s="1"/>
  <c r="BE86" i="1"/>
  <c r="BR86" i="1" s="1"/>
  <c r="BD86" i="1"/>
  <c r="BQ86" i="1" s="1"/>
  <c r="BC86" i="1"/>
  <c r="BP86" i="1" s="1"/>
  <c r="BB86" i="1"/>
  <c r="BO86" i="1" s="1"/>
  <c r="BA86" i="1"/>
  <c r="BN86" i="1" s="1"/>
  <c r="AZ86" i="1"/>
  <c r="BZ86" i="1" s="1"/>
  <c r="AY86" i="1"/>
  <c r="BY86" i="1" s="1"/>
  <c r="AX86" i="1"/>
  <c r="AW86" i="1"/>
  <c r="AV86" i="1"/>
  <c r="BW86" i="1" s="1"/>
  <c r="BM85" i="1"/>
  <c r="BV85" i="1" s="1"/>
  <c r="BL85" i="1"/>
  <c r="BT85" i="1" s="1"/>
  <c r="BK85" i="1"/>
  <c r="BJ85" i="1"/>
  <c r="BI85" i="1"/>
  <c r="CB85" i="1" s="1"/>
  <c r="BH85" i="1"/>
  <c r="BG85" i="1"/>
  <c r="BF85" i="1"/>
  <c r="BS85" i="1" s="1"/>
  <c r="BE85" i="1"/>
  <c r="BR85" i="1" s="1"/>
  <c r="BD85" i="1"/>
  <c r="BQ85" i="1" s="1"/>
  <c r="BC85" i="1"/>
  <c r="BP85" i="1" s="1"/>
  <c r="BB85" i="1"/>
  <c r="BO85" i="1" s="1"/>
  <c r="BA85" i="1"/>
  <c r="BN85" i="1" s="1"/>
  <c r="AZ85" i="1"/>
  <c r="BZ85" i="1" s="1"/>
  <c r="AY85" i="1"/>
  <c r="BY85" i="1" s="1"/>
  <c r="AX85" i="1"/>
  <c r="AW85" i="1"/>
  <c r="AV85" i="1"/>
  <c r="BW85" i="1" s="1"/>
  <c r="BM84" i="1"/>
  <c r="BV84" i="1" s="1"/>
  <c r="BL84" i="1"/>
  <c r="BT84" i="1" s="1"/>
  <c r="BK84" i="1"/>
  <c r="BJ84" i="1"/>
  <c r="BI84" i="1"/>
  <c r="CB84" i="1" s="1"/>
  <c r="BH84" i="1"/>
  <c r="BG84" i="1"/>
  <c r="BF84" i="1"/>
  <c r="BS84" i="1" s="1"/>
  <c r="BE84" i="1"/>
  <c r="BR84" i="1" s="1"/>
  <c r="BD84" i="1"/>
  <c r="BQ84" i="1" s="1"/>
  <c r="BC84" i="1"/>
  <c r="BP84" i="1" s="1"/>
  <c r="BB84" i="1"/>
  <c r="BO84" i="1" s="1"/>
  <c r="BA84" i="1"/>
  <c r="BN84" i="1" s="1"/>
  <c r="AZ84" i="1"/>
  <c r="BZ84" i="1" s="1"/>
  <c r="AY84" i="1"/>
  <c r="BY84" i="1" s="1"/>
  <c r="AX84" i="1"/>
  <c r="AW84" i="1"/>
  <c r="AV84" i="1"/>
  <c r="BW84" i="1" s="1"/>
  <c r="BM83" i="1"/>
  <c r="BV83" i="1" s="1"/>
  <c r="BL83" i="1"/>
  <c r="BT83" i="1" s="1"/>
  <c r="BK83" i="1"/>
  <c r="BJ83" i="1"/>
  <c r="BI83" i="1"/>
  <c r="CB83" i="1" s="1"/>
  <c r="BH83" i="1"/>
  <c r="BG83" i="1"/>
  <c r="BF83" i="1"/>
  <c r="BS83" i="1" s="1"/>
  <c r="BE83" i="1"/>
  <c r="BR83" i="1" s="1"/>
  <c r="BD83" i="1"/>
  <c r="BQ83" i="1" s="1"/>
  <c r="BC83" i="1"/>
  <c r="BP83" i="1" s="1"/>
  <c r="BB83" i="1"/>
  <c r="BO83" i="1" s="1"/>
  <c r="BA83" i="1"/>
  <c r="BN83" i="1" s="1"/>
  <c r="AZ83" i="1"/>
  <c r="BZ83" i="1" s="1"/>
  <c r="AY83" i="1"/>
  <c r="BY83" i="1" s="1"/>
  <c r="AX83" i="1"/>
  <c r="AW83" i="1"/>
  <c r="AV83" i="1"/>
  <c r="BM82" i="1"/>
  <c r="BV82" i="1" s="1"/>
  <c r="BL82" i="1"/>
  <c r="BT82" i="1" s="1"/>
  <c r="BK82" i="1"/>
  <c r="BJ82" i="1"/>
  <c r="BI82" i="1"/>
  <c r="CB82" i="1" s="1"/>
  <c r="BH82" i="1"/>
  <c r="BG82" i="1"/>
  <c r="BF82" i="1"/>
  <c r="BS82" i="1" s="1"/>
  <c r="BE82" i="1"/>
  <c r="BR82" i="1" s="1"/>
  <c r="BD82" i="1"/>
  <c r="BQ82" i="1" s="1"/>
  <c r="BC82" i="1"/>
  <c r="BP82" i="1" s="1"/>
  <c r="BB82" i="1"/>
  <c r="BO82" i="1" s="1"/>
  <c r="BA82" i="1"/>
  <c r="BN82" i="1" s="1"/>
  <c r="AZ82" i="1"/>
  <c r="BZ82" i="1" s="1"/>
  <c r="AY82" i="1"/>
  <c r="BY82" i="1" s="1"/>
  <c r="AX82" i="1"/>
  <c r="AW82" i="1"/>
  <c r="AV82" i="1"/>
  <c r="BM81" i="1"/>
  <c r="BV81" i="1" s="1"/>
  <c r="BL81" i="1"/>
  <c r="BT81" i="1" s="1"/>
  <c r="BK81" i="1"/>
  <c r="BJ81" i="1"/>
  <c r="BI81" i="1"/>
  <c r="CB81" i="1" s="1"/>
  <c r="BH81" i="1"/>
  <c r="BG81" i="1"/>
  <c r="BF81" i="1"/>
  <c r="BS81" i="1" s="1"/>
  <c r="BE81" i="1"/>
  <c r="BR81" i="1" s="1"/>
  <c r="BD81" i="1"/>
  <c r="BQ81" i="1" s="1"/>
  <c r="BC81" i="1"/>
  <c r="BP81" i="1" s="1"/>
  <c r="BB81" i="1"/>
  <c r="BO81" i="1" s="1"/>
  <c r="BA81" i="1"/>
  <c r="BN81" i="1" s="1"/>
  <c r="AZ81" i="1"/>
  <c r="BZ81" i="1" s="1"/>
  <c r="AY81" i="1"/>
  <c r="BY81" i="1" s="1"/>
  <c r="AX81" i="1"/>
  <c r="AW81" i="1"/>
  <c r="AV81" i="1"/>
  <c r="BM80" i="1"/>
  <c r="BV80" i="1" s="1"/>
  <c r="BL80" i="1"/>
  <c r="BT80" i="1" s="1"/>
  <c r="BK80" i="1"/>
  <c r="BJ80" i="1"/>
  <c r="BI80" i="1"/>
  <c r="CB80" i="1" s="1"/>
  <c r="BH80" i="1"/>
  <c r="BG80" i="1"/>
  <c r="BF80" i="1"/>
  <c r="BS80" i="1" s="1"/>
  <c r="BE80" i="1"/>
  <c r="BR80" i="1" s="1"/>
  <c r="BD80" i="1"/>
  <c r="BQ80" i="1" s="1"/>
  <c r="BC80" i="1"/>
  <c r="BP80" i="1" s="1"/>
  <c r="BB80" i="1"/>
  <c r="BO80" i="1" s="1"/>
  <c r="BA80" i="1"/>
  <c r="BN80" i="1" s="1"/>
  <c r="AZ80" i="1"/>
  <c r="BZ80" i="1" s="1"/>
  <c r="AY80" i="1"/>
  <c r="BY80" i="1" s="1"/>
  <c r="AX80" i="1"/>
  <c r="AW80" i="1"/>
  <c r="AV80" i="1"/>
  <c r="BW80" i="1" s="1"/>
  <c r="BM79" i="1"/>
  <c r="BV79" i="1" s="1"/>
  <c r="BL79" i="1"/>
  <c r="BT79" i="1" s="1"/>
  <c r="BK79" i="1"/>
  <c r="BJ79" i="1"/>
  <c r="BI79" i="1"/>
  <c r="CB79" i="1" s="1"/>
  <c r="BH79" i="1"/>
  <c r="BG79" i="1"/>
  <c r="BF79" i="1"/>
  <c r="BS79" i="1" s="1"/>
  <c r="BE79" i="1"/>
  <c r="BR79" i="1" s="1"/>
  <c r="BD79" i="1"/>
  <c r="BQ79" i="1" s="1"/>
  <c r="BC79" i="1"/>
  <c r="BP79" i="1" s="1"/>
  <c r="BB79" i="1"/>
  <c r="BO79" i="1" s="1"/>
  <c r="BA79" i="1"/>
  <c r="BN79" i="1" s="1"/>
  <c r="AZ79" i="1"/>
  <c r="BZ79" i="1" s="1"/>
  <c r="AY79" i="1"/>
  <c r="BY79" i="1" s="1"/>
  <c r="AX79" i="1"/>
  <c r="AW79" i="1"/>
  <c r="AV79" i="1"/>
  <c r="BW79" i="1" s="1"/>
  <c r="BM78" i="1"/>
  <c r="BV78" i="1" s="1"/>
  <c r="BL78" i="1"/>
  <c r="BT78" i="1" s="1"/>
  <c r="BK78" i="1"/>
  <c r="BJ78" i="1"/>
  <c r="BI78" i="1"/>
  <c r="CB78" i="1" s="1"/>
  <c r="BH78" i="1"/>
  <c r="BG78" i="1"/>
  <c r="BF78" i="1"/>
  <c r="BS78" i="1" s="1"/>
  <c r="BE78" i="1"/>
  <c r="BR78" i="1" s="1"/>
  <c r="BD78" i="1"/>
  <c r="BQ78" i="1" s="1"/>
  <c r="BC78" i="1"/>
  <c r="BP78" i="1" s="1"/>
  <c r="BB78" i="1"/>
  <c r="BO78" i="1" s="1"/>
  <c r="BA78" i="1"/>
  <c r="BN78" i="1" s="1"/>
  <c r="AZ78" i="1"/>
  <c r="BZ78" i="1" s="1"/>
  <c r="AY78" i="1"/>
  <c r="BY78" i="1" s="1"/>
  <c r="AX78" i="1"/>
  <c r="AW78" i="1"/>
  <c r="AV78" i="1"/>
  <c r="BW78" i="1" s="1"/>
  <c r="BM77" i="1"/>
  <c r="BV77" i="1" s="1"/>
  <c r="BL77" i="1"/>
  <c r="BT77" i="1" s="1"/>
  <c r="BK77" i="1"/>
  <c r="BJ77" i="1"/>
  <c r="BI77" i="1"/>
  <c r="CB77" i="1" s="1"/>
  <c r="BH77" i="1"/>
  <c r="BG77" i="1"/>
  <c r="BF77" i="1"/>
  <c r="BS77" i="1" s="1"/>
  <c r="BE77" i="1"/>
  <c r="BR77" i="1" s="1"/>
  <c r="BD77" i="1"/>
  <c r="BQ77" i="1" s="1"/>
  <c r="BC77" i="1"/>
  <c r="BP77" i="1" s="1"/>
  <c r="BB77" i="1"/>
  <c r="BO77" i="1" s="1"/>
  <c r="BA77" i="1"/>
  <c r="BN77" i="1" s="1"/>
  <c r="AZ77" i="1"/>
  <c r="BZ77" i="1" s="1"/>
  <c r="AY77" i="1"/>
  <c r="BY77" i="1" s="1"/>
  <c r="AX77" i="1"/>
  <c r="AW77" i="1"/>
  <c r="AV77" i="1"/>
  <c r="BW77" i="1" s="1"/>
  <c r="BM76" i="1"/>
  <c r="BV76" i="1" s="1"/>
  <c r="BL76" i="1"/>
  <c r="BT76" i="1" s="1"/>
  <c r="BK76" i="1"/>
  <c r="BJ76" i="1"/>
  <c r="BI76" i="1"/>
  <c r="CB76" i="1" s="1"/>
  <c r="BH76" i="1"/>
  <c r="BG76" i="1"/>
  <c r="BF76" i="1"/>
  <c r="BS76" i="1" s="1"/>
  <c r="BE76" i="1"/>
  <c r="BR76" i="1" s="1"/>
  <c r="BD76" i="1"/>
  <c r="BQ76" i="1" s="1"/>
  <c r="BC76" i="1"/>
  <c r="BP76" i="1" s="1"/>
  <c r="BB76" i="1"/>
  <c r="BO76" i="1" s="1"/>
  <c r="BA76" i="1"/>
  <c r="BN76" i="1" s="1"/>
  <c r="AZ76" i="1"/>
  <c r="BZ76" i="1" s="1"/>
  <c r="AY76" i="1"/>
  <c r="BY76" i="1" s="1"/>
  <c r="AX76" i="1"/>
  <c r="AW76" i="1"/>
  <c r="AV76" i="1"/>
  <c r="BW76" i="1" s="1"/>
  <c r="BM75" i="1"/>
  <c r="BV75" i="1" s="1"/>
  <c r="BL75" i="1"/>
  <c r="BT75" i="1" s="1"/>
  <c r="BK75" i="1"/>
  <c r="BJ75" i="1"/>
  <c r="BI75" i="1"/>
  <c r="CB75" i="1" s="1"/>
  <c r="BH75" i="1"/>
  <c r="BG75" i="1"/>
  <c r="BF75" i="1"/>
  <c r="BS75" i="1" s="1"/>
  <c r="BE75" i="1"/>
  <c r="BR75" i="1" s="1"/>
  <c r="BD75" i="1"/>
  <c r="BQ75" i="1" s="1"/>
  <c r="BC75" i="1"/>
  <c r="BP75" i="1" s="1"/>
  <c r="BB75" i="1"/>
  <c r="BO75" i="1" s="1"/>
  <c r="BA75" i="1"/>
  <c r="BN75" i="1" s="1"/>
  <c r="AZ75" i="1"/>
  <c r="BZ75" i="1" s="1"/>
  <c r="AY75" i="1"/>
  <c r="BY75" i="1" s="1"/>
  <c r="AX75" i="1"/>
  <c r="AW75" i="1"/>
  <c r="AV75" i="1"/>
  <c r="BM74" i="1"/>
  <c r="BV74" i="1" s="1"/>
  <c r="BL74" i="1"/>
  <c r="BT74" i="1" s="1"/>
  <c r="BK74" i="1"/>
  <c r="BJ74" i="1"/>
  <c r="BI74" i="1"/>
  <c r="CB74" i="1" s="1"/>
  <c r="BH74" i="1"/>
  <c r="BG74" i="1"/>
  <c r="BF74" i="1"/>
  <c r="BS74" i="1" s="1"/>
  <c r="BE74" i="1"/>
  <c r="BR74" i="1" s="1"/>
  <c r="BD74" i="1"/>
  <c r="BQ74" i="1" s="1"/>
  <c r="BC74" i="1"/>
  <c r="BP74" i="1" s="1"/>
  <c r="BB74" i="1"/>
  <c r="BO74" i="1" s="1"/>
  <c r="BA74" i="1"/>
  <c r="BN74" i="1" s="1"/>
  <c r="AZ74" i="1"/>
  <c r="BZ74" i="1" s="1"/>
  <c r="AY74" i="1"/>
  <c r="BY74" i="1" s="1"/>
  <c r="AX74" i="1"/>
  <c r="AW74" i="1"/>
  <c r="AV74" i="1"/>
  <c r="BW74" i="1" s="1"/>
  <c r="BM73" i="1"/>
  <c r="BV73" i="1" s="1"/>
  <c r="BL73" i="1"/>
  <c r="BT73" i="1" s="1"/>
  <c r="BK73" i="1"/>
  <c r="BJ73" i="1"/>
  <c r="BI73" i="1"/>
  <c r="CB73" i="1" s="1"/>
  <c r="BH73" i="1"/>
  <c r="BG73" i="1"/>
  <c r="BF73" i="1"/>
  <c r="BS73" i="1" s="1"/>
  <c r="BE73" i="1"/>
  <c r="BR73" i="1" s="1"/>
  <c r="BD73" i="1"/>
  <c r="BQ73" i="1" s="1"/>
  <c r="BC73" i="1"/>
  <c r="BP73" i="1" s="1"/>
  <c r="BB73" i="1"/>
  <c r="BO73" i="1" s="1"/>
  <c r="BA73" i="1"/>
  <c r="BN73" i="1" s="1"/>
  <c r="AZ73" i="1"/>
  <c r="BZ73" i="1" s="1"/>
  <c r="AY73" i="1"/>
  <c r="BY73" i="1" s="1"/>
  <c r="AX73" i="1"/>
  <c r="AW73" i="1"/>
  <c r="AV73" i="1"/>
  <c r="BW73" i="1" s="1"/>
  <c r="BM72" i="1"/>
  <c r="BV72" i="1" s="1"/>
  <c r="BL72" i="1"/>
  <c r="BT72" i="1" s="1"/>
  <c r="BK72" i="1"/>
  <c r="BJ72" i="1"/>
  <c r="BI72" i="1"/>
  <c r="CB72" i="1" s="1"/>
  <c r="BH72" i="1"/>
  <c r="BG72" i="1"/>
  <c r="BF72" i="1"/>
  <c r="BS72" i="1" s="1"/>
  <c r="BE72" i="1"/>
  <c r="BR72" i="1" s="1"/>
  <c r="BD72" i="1"/>
  <c r="BQ72" i="1" s="1"/>
  <c r="BC72" i="1"/>
  <c r="BP72" i="1" s="1"/>
  <c r="BB72" i="1"/>
  <c r="BO72" i="1" s="1"/>
  <c r="BA72" i="1"/>
  <c r="BN72" i="1" s="1"/>
  <c r="AZ72" i="1"/>
  <c r="BZ72" i="1" s="1"/>
  <c r="AY72" i="1"/>
  <c r="BY72" i="1" s="1"/>
  <c r="AX72" i="1"/>
  <c r="AW72" i="1"/>
  <c r="AV72" i="1"/>
  <c r="BW72" i="1" s="1"/>
  <c r="BM71" i="1"/>
  <c r="BV71" i="1" s="1"/>
  <c r="BL71" i="1"/>
  <c r="BT71" i="1" s="1"/>
  <c r="BK71" i="1"/>
  <c r="BJ71" i="1"/>
  <c r="BI71" i="1"/>
  <c r="CB71" i="1" s="1"/>
  <c r="BH71" i="1"/>
  <c r="BG71" i="1"/>
  <c r="BF71" i="1"/>
  <c r="BS71" i="1" s="1"/>
  <c r="BE71" i="1"/>
  <c r="BR71" i="1" s="1"/>
  <c r="BD71" i="1"/>
  <c r="BQ71" i="1" s="1"/>
  <c r="BC71" i="1"/>
  <c r="BP71" i="1" s="1"/>
  <c r="BB71" i="1"/>
  <c r="BO71" i="1" s="1"/>
  <c r="BA71" i="1"/>
  <c r="BN71" i="1" s="1"/>
  <c r="AZ71" i="1"/>
  <c r="BZ71" i="1" s="1"/>
  <c r="AY71" i="1"/>
  <c r="BY71" i="1" s="1"/>
  <c r="AX71" i="1"/>
  <c r="AW71" i="1"/>
  <c r="AV71" i="1"/>
  <c r="BM70" i="1"/>
  <c r="BV70" i="1" s="1"/>
  <c r="BL70" i="1"/>
  <c r="BT70" i="1" s="1"/>
  <c r="BK70" i="1"/>
  <c r="BJ70" i="1"/>
  <c r="BI70" i="1"/>
  <c r="CB70" i="1" s="1"/>
  <c r="BH70" i="1"/>
  <c r="BG70" i="1"/>
  <c r="BF70" i="1"/>
  <c r="BS70" i="1" s="1"/>
  <c r="BE70" i="1"/>
  <c r="BR70" i="1" s="1"/>
  <c r="BD70" i="1"/>
  <c r="BQ70" i="1" s="1"/>
  <c r="BC70" i="1"/>
  <c r="BP70" i="1" s="1"/>
  <c r="BB70" i="1"/>
  <c r="BO70" i="1" s="1"/>
  <c r="BA70" i="1"/>
  <c r="BN70" i="1" s="1"/>
  <c r="AZ70" i="1"/>
  <c r="BZ70" i="1" s="1"/>
  <c r="AY70" i="1"/>
  <c r="BY70" i="1" s="1"/>
  <c r="AX70" i="1"/>
  <c r="AW70" i="1"/>
  <c r="AV70" i="1"/>
  <c r="BW70" i="1" s="1"/>
  <c r="BM69" i="1"/>
  <c r="BV69" i="1" s="1"/>
  <c r="BL69" i="1"/>
  <c r="BT69" i="1" s="1"/>
  <c r="BK69" i="1"/>
  <c r="BJ69" i="1"/>
  <c r="BI69" i="1"/>
  <c r="CB69" i="1" s="1"/>
  <c r="BH69" i="1"/>
  <c r="BG69" i="1"/>
  <c r="BF69" i="1"/>
  <c r="BS69" i="1" s="1"/>
  <c r="BE69" i="1"/>
  <c r="BR69" i="1" s="1"/>
  <c r="BD69" i="1"/>
  <c r="BQ69" i="1" s="1"/>
  <c r="BC69" i="1"/>
  <c r="BP69" i="1" s="1"/>
  <c r="BB69" i="1"/>
  <c r="BO69" i="1" s="1"/>
  <c r="BA69" i="1"/>
  <c r="BN69" i="1" s="1"/>
  <c r="AZ69" i="1"/>
  <c r="BZ69" i="1" s="1"/>
  <c r="AY69" i="1"/>
  <c r="BY69" i="1" s="1"/>
  <c r="AX69" i="1"/>
  <c r="AW69" i="1"/>
  <c r="AV69" i="1"/>
  <c r="BM68" i="1"/>
  <c r="BV68" i="1" s="1"/>
  <c r="BL68" i="1"/>
  <c r="BT68" i="1" s="1"/>
  <c r="BK68" i="1"/>
  <c r="BJ68" i="1"/>
  <c r="BI68" i="1"/>
  <c r="CB68" i="1" s="1"/>
  <c r="BH68" i="1"/>
  <c r="BG68" i="1"/>
  <c r="BF68" i="1"/>
  <c r="BS68" i="1" s="1"/>
  <c r="BE68" i="1"/>
  <c r="BR68" i="1" s="1"/>
  <c r="BD68" i="1"/>
  <c r="BQ68" i="1" s="1"/>
  <c r="BC68" i="1"/>
  <c r="BP68" i="1" s="1"/>
  <c r="BB68" i="1"/>
  <c r="BO68" i="1" s="1"/>
  <c r="BA68" i="1"/>
  <c r="BN68" i="1" s="1"/>
  <c r="AZ68" i="1"/>
  <c r="BZ68" i="1" s="1"/>
  <c r="AY68" i="1"/>
  <c r="BY68" i="1" s="1"/>
  <c r="AX68" i="1"/>
  <c r="AW68" i="1"/>
  <c r="AV68" i="1"/>
  <c r="BM67" i="1"/>
  <c r="BV67" i="1" s="1"/>
  <c r="BL67" i="1"/>
  <c r="BT67" i="1" s="1"/>
  <c r="BK67" i="1"/>
  <c r="BJ67" i="1"/>
  <c r="BI67" i="1"/>
  <c r="CB67" i="1" s="1"/>
  <c r="BH67" i="1"/>
  <c r="BG67" i="1"/>
  <c r="BF67" i="1"/>
  <c r="BS67" i="1" s="1"/>
  <c r="BE67" i="1"/>
  <c r="BR67" i="1" s="1"/>
  <c r="BD67" i="1"/>
  <c r="BQ67" i="1" s="1"/>
  <c r="BC67" i="1"/>
  <c r="BP67" i="1" s="1"/>
  <c r="BB67" i="1"/>
  <c r="BO67" i="1" s="1"/>
  <c r="BA67" i="1"/>
  <c r="BN67" i="1" s="1"/>
  <c r="AZ67" i="1"/>
  <c r="BZ67" i="1" s="1"/>
  <c r="AY67" i="1"/>
  <c r="BY67" i="1" s="1"/>
  <c r="AX67" i="1"/>
  <c r="AW67" i="1"/>
  <c r="AV67" i="1"/>
  <c r="BW67" i="1" s="1"/>
  <c r="BM66" i="1"/>
  <c r="BV66" i="1" s="1"/>
  <c r="BL66" i="1"/>
  <c r="BT66" i="1" s="1"/>
  <c r="BK66" i="1"/>
  <c r="BJ66" i="1"/>
  <c r="BI66" i="1"/>
  <c r="CB66" i="1" s="1"/>
  <c r="BH66" i="1"/>
  <c r="BG66" i="1"/>
  <c r="BF66" i="1"/>
  <c r="BS66" i="1" s="1"/>
  <c r="BE66" i="1"/>
  <c r="BR66" i="1" s="1"/>
  <c r="BD66" i="1"/>
  <c r="BQ66" i="1" s="1"/>
  <c r="BC66" i="1"/>
  <c r="BP66" i="1" s="1"/>
  <c r="BB66" i="1"/>
  <c r="BO66" i="1" s="1"/>
  <c r="BA66" i="1"/>
  <c r="BN66" i="1" s="1"/>
  <c r="AZ66" i="1"/>
  <c r="BZ66" i="1" s="1"/>
  <c r="AY66" i="1"/>
  <c r="BY66" i="1" s="1"/>
  <c r="AX66" i="1"/>
  <c r="AW66" i="1"/>
  <c r="AV66" i="1"/>
  <c r="BW66" i="1" s="1"/>
  <c r="BM65" i="1"/>
  <c r="BV65" i="1" s="1"/>
  <c r="BL65" i="1"/>
  <c r="BT65" i="1" s="1"/>
  <c r="BK65" i="1"/>
  <c r="BJ65" i="1"/>
  <c r="BI65" i="1"/>
  <c r="CB65" i="1" s="1"/>
  <c r="BH65" i="1"/>
  <c r="BG65" i="1"/>
  <c r="BF65" i="1"/>
  <c r="BS65" i="1" s="1"/>
  <c r="BE65" i="1"/>
  <c r="BR65" i="1" s="1"/>
  <c r="BD65" i="1"/>
  <c r="BQ65" i="1" s="1"/>
  <c r="BC65" i="1"/>
  <c r="BP65" i="1" s="1"/>
  <c r="BB65" i="1"/>
  <c r="BO65" i="1" s="1"/>
  <c r="BA65" i="1"/>
  <c r="BN65" i="1" s="1"/>
  <c r="AZ65" i="1"/>
  <c r="BZ65" i="1" s="1"/>
  <c r="AY65" i="1"/>
  <c r="BY65" i="1" s="1"/>
  <c r="AX65" i="1"/>
  <c r="AW65" i="1"/>
  <c r="AV65" i="1"/>
  <c r="BW65" i="1" s="1"/>
  <c r="BM64" i="1"/>
  <c r="BV64" i="1" s="1"/>
  <c r="BL64" i="1"/>
  <c r="BT64" i="1" s="1"/>
  <c r="BK64" i="1"/>
  <c r="BJ64" i="1"/>
  <c r="BI64" i="1"/>
  <c r="CB64" i="1" s="1"/>
  <c r="BH64" i="1"/>
  <c r="BG64" i="1"/>
  <c r="BF64" i="1"/>
  <c r="BS64" i="1" s="1"/>
  <c r="BE64" i="1"/>
  <c r="BR64" i="1" s="1"/>
  <c r="BD64" i="1"/>
  <c r="BQ64" i="1" s="1"/>
  <c r="BC64" i="1"/>
  <c r="BP64" i="1" s="1"/>
  <c r="BB64" i="1"/>
  <c r="BO64" i="1" s="1"/>
  <c r="BA64" i="1"/>
  <c r="BN64" i="1" s="1"/>
  <c r="AZ64" i="1"/>
  <c r="BZ64" i="1" s="1"/>
  <c r="AY64" i="1"/>
  <c r="BY64" i="1" s="1"/>
  <c r="AX64" i="1"/>
  <c r="AW64" i="1"/>
  <c r="AV64" i="1"/>
  <c r="BM63" i="1"/>
  <c r="BV63" i="1" s="1"/>
  <c r="BL63" i="1"/>
  <c r="BT63" i="1" s="1"/>
  <c r="BK63" i="1"/>
  <c r="BJ63" i="1"/>
  <c r="BI63" i="1"/>
  <c r="CB63" i="1" s="1"/>
  <c r="BH63" i="1"/>
  <c r="BG63" i="1"/>
  <c r="BF63" i="1"/>
  <c r="BS63" i="1" s="1"/>
  <c r="BE63" i="1"/>
  <c r="BR63" i="1" s="1"/>
  <c r="BD63" i="1"/>
  <c r="BQ63" i="1" s="1"/>
  <c r="BC63" i="1"/>
  <c r="BP63" i="1" s="1"/>
  <c r="BB63" i="1"/>
  <c r="BO63" i="1" s="1"/>
  <c r="BA63" i="1"/>
  <c r="BN63" i="1" s="1"/>
  <c r="AZ63" i="1"/>
  <c r="BZ63" i="1" s="1"/>
  <c r="AY63" i="1"/>
  <c r="BY63" i="1" s="1"/>
  <c r="AX63" i="1"/>
  <c r="AW63" i="1"/>
  <c r="AV63" i="1"/>
  <c r="BM62" i="1"/>
  <c r="BV62" i="1" s="1"/>
  <c r="BL62" i="1"/>
  <c r="BT62" i="1" s="1"/>
  <c r="BK62" i="1"/>
  <c r="BJ62" i="1"/>
  <c r="BI62" i="1"/>
  <c r="CB62" i="1" s="1"/>
  <c r="BH62" i="1"/>
  <c r="BG62" i="1"/>
  <c r="BF62" i="1"/>
  <c r="BS62" i="1" s="1"/>
  <c r="BE62" i="1"/>
  <c r="BR62" i="1" s="1"/>
  <c r="BD62" i="1"/>
  <c r="BQ62" i="1" s="1"/>
  <c r="BC62" i="1"/>
  <c r="BP62" i="1" s="1"/>
  <c r="BB62" i="1"/>
  <c r="BO62" i="1" s="1"/>
  <c r="BA62" i="1"/>
  <c r="BN62" i="1" s="1"/>
  <c r="AZ62" i="1"/>
  <c r="BZ62" i="1" s="1"/>
  <c r="AY62" i="1"/>
  <c r="BY62" i="1" s="1"/>
  <c r="AX62" i="1"/>
  <c r="AW62" i="1"/>
  <c r="AV62" i="1"/>
  <c r="BM61" i="1"/>
  <c r="BV61" i="1" s="1"/>
  <c r="BL61" i="1"/>
  <c r="BT61" i="1" s="1"/>
  <c r="BK61" i="1"/>
  <c r="BJ61" i="1"/>
  <c r="BI61" i="1"/>
  <c r="CB61" i="1" s="1"/>
  <c r="BH61" i="1"/>
  <c r="BG61" i="1"/>
  <c r="BF61" i="1"/>
  <c r="BS61" i="1" s="1"/>
  <c r="BE61" i="1"/>
  <c r="BR61" i="1" s="1"/>
  <c r="BD61" i="1"/>
  <c r="BQ61" i="1" s="1"/>
  <c r="BC61" i="1"/>
  <c r="BP61" i="1" s="1"/>
  <c r="BB61" i="1"/>
  <c r="BO61" i="1" s="1"/>
  <c r="BA61" i="1"/>
  <c r="BN61" i="1" s="1"/>
  <c r="AZ61" i="1"/>
  <c r="BZ61" i="1" s="1"/>
  <c r="AY61" i="1"/>
  <c r="BY61" i="1" s="1"/>
  <c r="AX61" i="1"/>
  <c r="AW61" i="1"/>
  <c r="AV61" i="1"/>
  <c r="BW61" i="1" s="1"/>
  <c r="BM60" i="1"/>
  <c r="BV60" i="1" s="1"/>
  <c r="BL60" i="1"/>
  <c r="BT60" i="1" s="1"/>
  <c r="BK60" i="1"/>
  <c r="BJ60" i="1"/>
  <c r="BI60" i="1"/>
  <c r="CB60" i="1" s="1"/>
  <c r="BH60" i="1"/>
  <c r="BG60" i="1"/>
  <c r="BF60" i="1"/>
  <c r="BS60" i="1" s="1"/>
  <c r="BE60" i="1"/>
  <c r="BR60" i="1" s="1"/>
  <c r="BD60" i="1"/>
  <c r="BQ60" i="1" s="1"/>
  <c r="BC60" i="1"/>
  <c r="BP60" i="1" s="1"/>
  <c r="BB60" i="1"/>
  <c r="BO60" i="1" s="1"/>
  <c r="BA60" i="1"/>
  <c r="BN60" i="1" s="1"/>
  <c r="AZ60" i="1"/>
  <c r="BZ60" i="1" s="1"/>
  <c r="AY60" i="1"/>
  <c r="BY60" i="1" s="1"/>
  <c r="AX60" i="1"/>
  <c r="AW60" i="1"/>
  <c r="AV60" i="1"/>
  <c r="BW60" i="1" s="1"/>
  <c r="BM59" i="1"/>
  <c r="BV59" i="1" s="1"/>
  <c r="BL59" i="1"/>
  <c r="BT59" i="1" s="1"/>
  <c r="BK59" i="1"/>
  <c r="BJ59" i="1"/>
  <c r="BI59" i="1"/>
  <c r="CB59" i="1" s="1"/>
  <c r="BH59" i="1"/>
  <c r="BG59" i="1"/>
  <c r="BF59" i="1"/>
  <c r="BS59" i="1" s="1"/>
  <c r="BE59" i="1"/>
  <c r="BR59" i="1" s="1"/>
  <c r="BD59" i="1"/>
  <c r="BQ59" i="1" s="1"/>
  <c r="BC59" i="1"/>
  <c r="BP59" i="1" s="1"/>
  <c r="BB59" i="1"/>
  <c r="BO59" i="1" s="1"/>
  <c r="BA59" i="1"/>
  <c r="BN59" i="1" s="1"/>
  <c r="AZ59" i="1"/>
  <c r="BZ59" i="1" s="1"/>
  <c r="AY59" i="1"/>
  <c r="BY59" i="1" s="1"/>
  <c r="AX59" i="1"/>
  <c r="AW59" i="1"/>
  <c r="AV59" i="1"/>
  <c r="BM58" i="1"/>
  <c r="BV58" i="1" s="1"/>
  <c r="BL58" i="1"/>
  <c r="BT58" i="1" s="1"/>
  <c r="BK58" i="1"/>
  <c r="BJ58" i="1"/>
  <c r="BI58" i="1"/>
  <c r="CB58" i="1" s="1"/>
  <c r="BH58" i="1"/>
  <c r="BG58" i="1"/>
  <c r="BF58" i="1"/>
  <c r="BS58" i="1" s="1"/>
  <c r="BE58" i="1"/>
  <c r="BR58" i="1" s="1"/>
  <c r="BD58" i="1"/>
  <c r="BQ58" i="1" s="1"/>
  <c r="BC58" i="1"/>
  <c r="BP58" i="1" s="1"/>
  <c r="BB58" i="1"/>
  <c r="BO58" i="1" s="1"/>
  <c r="BA58" i="1"/>
  <c r="BN58" i="1" s="1"/>
  <c r="AZ58" i="1"/>
  <c r="BZ58" i="1" s="1"/>
  <c r="AY58" i="1"/>
  <c r="BY58" i="1" s="1"/>
  <c r="AX58" i="1"/>
  <c r="AW58" i="1"/>
  <c r="AV58" i="1"/>
  <c r="BW58" i="1" s="1"/>
  <c r="BM57" i="1"/>
  <c r="BV57" i="1" s="1"/>
  <c r="BL57" i="1"/>
  <c r="BT57" i="1" s="1"/>
  <c r="BK57" i="1"/>
  <c r="BJ57" i="1"/>
  <c r="BI57" i="1"/>
  <c r="CB57" i="1" s="1"/>
  <c r="BH57" i="1"/>
  <c r="BG57" i="1"/>
  <c r="BF57" i="1"/>
  <c r="BS57" i="1" s="1"/>
  <c r="BE57" i="1"/>
  <c r="BR57" i="1" s="1"/>
  <c r="BD57" i="1"/>
  <c r="BQ57" i="1" s="1"/>
  <c r="BC57" i="1"/>
  <c r="BP57" i="1" s="1"/>
  <c r="BB57" i="1"/>
  <c r="BO57" i="1" s="1"/>
  <c r="BA57" i="1"/>
  <c r="BN57" i="1" s="1"/>
  <c r="AZ57" i="1"/>
  <c r="BZ57" i="1" s="1"/>
  <c r="AY57" i="1"/>
  <c r="BY57" i="1" s="1"/>
  <c r="AX57" i="1"/>
  <c r="AW57" i="1"/>
  <c r="AV57" i="1"/>
  <c r="BW57" i="1" s="1"/>
  <c r="BM56" i="1"/>
  <c r="BV56" i="1" s="1"/>
  <c r="BL56" i="1"/>
  <c r="BT56" i="1" s="1"/>
  <c r="BK56" i="1"/>
  <c r="BJ56" i="1"/>
  <c r="BI56" i="1"/>
  <c r="CB56" i="1" s="1"/>
  <c r="BH56" i="1"/>
  <c r="BG56" i="1"/>
  <c r="BF56" i="1"/>
  <c r="BS56" i="1" s="1"/>
  <c r="BE56" i="1"/>
  <c r="BR56" i="1" s="1"/>
  <c r="BD56" i="1"/>
  <c r="BQ56" i="1" s="1"/>
  <c r="BC56" i="1"/>
  <c r="BP56" i="1" s="1"/>
  <c r="BB56" i="1"/>
  <c r="BO56" i="1" s="1"/>
  <c r="BA56" i="1"/>
  <c r="BN56" i="1" s="1"/>
  <c r="AZ56" i="1"/>
  <c r="BZ56" i="1" s="1"/>
  <c r="AY56" i="1"/>
  <c r="BY56" i="1" s="1"/>
  <c r="AX56" i="1"/>
  <c r="AW56" i="1"/>
  <c r="AV56" i="1"/>
  <c r="BW56" i="1" s="1"/>
  <c r="BM55" i="1"/>
  <c r="BV55" i="1" s="1"/>
  <c r="BL55" i="1"/>
  <c r="BT55" i="1" s="1"/>
  <c r="BK55" i="1"/>
  <c r="BJ55" i="1"/>
  <c r="BI55" i="1"/>
  <c r="CB55" i="1" s="1"/>
  <c r="BH55" i="1"/>
  <c r="BG55" i="1"/>
  <c r="BF55" i="1"/>
  <c r="BS55" i="1" s="1"/>
  <c r="BE55" i="1"/>
  <c r="BR55" i="1" s="1"/>
  <c r="BD55" i="1"/>
  <c r="BQ55" i="1" s="1"/>
  <c r="BC55" i="1"/>
  <c r="BP55" i="1" s="1"/>
  <c r="BB55" i="1"/>
  <c r="BO55" i="1" s="1"/>
  <c r="BA55" i="1"/>
  <c r="BN55" i="1" s="1"/>
  <c r="AZ55" i="1"/>
  <c r="BZ55" i="1" s="1"/>
  <c r="AY55" i="1"/>
  <c r="BY55" i="1" s="1"/>
  <c r="AX55" i="1"/>
  <c r="AW55" i="1"/>
  <c r="AV55" i="1"/>
  <c r="BW55" i="1" s="1"/>
  <c r="BM54" i="1"/>
  <c r="BV54" i="1" s="1"/>
  <c r="BL54" i="1"/>
  <c r="BT54" i="1" s="1"/>
  <c r="BK54" i="1"/>
  <c r="BJ54" i="1"/>
  <c r="BI54" i="1"/>
  <c r="CB54" i="1" s="1"/>
  <c r="BH54" i="1"/>
  <c r="BG54" i="1"/>
  <c r="BF54" i="1"/>
  <c r="BS54" i="1" s="1"/>
  <c r="BE54" i="1"/>
  <c r="BR54" i="1" s="1"/>
  <c r="BD54" i="1"/>
  <c r="BQ54" i="1" s="1"/>
  <c r="BC54" i="1"/>
  <c r="BP54" i="1" s="1"/>
  <c r="BB54" i="1"/>
  <c r="BO54" i="1" s="1"/>
  <c r="BA54" i="1"/>
  <c r="BN54" i="1" s="1"/>
  <c r="AZ54" i="1"/>
  <c r="BZ54" i="1" s="1"/>
  <c r="AY54" i="1"/>
  <c r="BY54" i="1" s="1"/>
  <c r="AX54" i="1"/>
  <c r="AW54" i="1"/>
  <c r="AV54" i="1"/>
  <c r="BM53" i="1"/>
  <c r="BV53" i="1" s="1"/>
  <c r="BL53" i="1"/>
  <c r="BT53" i="1" s="1"/>
  <c r="BK53" i="1"/>
  <c r="BJ53" i="1"/>
  <c r="BI53" i="1"/>
  <c r="CB53" i="1" s="1"/>
  <c r="BH53" i="1"/>
  <c r="BG53" i="1"/>
  <c r="BF53" i="1"/>
  <c r="BS53" i="1" s="1"/>
  <c r="BE53" i="1"/>
  <c r="BR53" i="1" s="1"/>
  <c r="BD53" i="1"/>
  <c r="BQ53" i="1" s="1"/>
  <c r="BC53" i="1"/>
  <c r="BP53" i="1" s="1"/>
  <c r="BB53" i="1"/>
  <c r="BO53" i="1" s="1"/>
  <c r="BA53" i="1"/>
  <c r="BN53" i="1" s="1"/>
  <c r="AZ53" i="1"/>
  <c r="BZ53" i="1" s="1"/>
  <c r="AY53" i="1"/>
  <c r="BY53" i="1" s="1"/>
  <c r="AX53" i="1"/>
  <c r="AW53" i="1"/>
  <c r="AV53" i="1"/>
  <c r="BW53" i="1" s="1"/>
  <c r="BM52" i="1"/>
  <c r="BV52" i="1" s="1"/>
  <c r="BL52" i="1"/>
  <c r="BT52" i="1" s="1"/>
  <c r="BK52" i="1"/>
  <c r="BJ52" i="1"/>
  <c r="BI52" i="1"/>
  <c r="CB52" i="1" s="1"/>
  <c r="BH52" i="1"/>
  <c r="BG52" i="1"/>
  <c r="BF52" i="1"/>
  <c r="BS52" i="1" s="1"/>
  <c r="BE52" i="1"/>
  <c r="BR52" i="1" s="1"/>
  <c r="BD52" i="1"/>
  <c r="BQ52" i="1" s="1"/>
  <c r="BC52" i="1"/>
  <c r="BP52" i="1" s="1"/>
  <c r="BB52" i="1"/>
  <c r="BO52" i="1" s="1"/>
  <c r="BA52" i="1"/>
  <c r="BN52" i="1" s="1"/>
  <c r="AZ52" i="1"/>
  <c r="BZ52" i="1" s="1"/>
  <c r="AY52" i="1"/>
  <c r="BY52" i="1" s="1"/>
  <c r="AX52" i="1"/>
  <c r="AW52" i="1"/>
  <c r="AV52" i="1"/>
  <c r="BW52" i="1" s="1"/>
  <c r="BM51" i="1"/>
  <c r="BV51" i="1" s="1"/>
  <c r="BL51" i="1"/>
  <c r="BT51" i="1" s="1"/>
  <c r="BK51" i="1"/>
  <c r="BJ51" i="1"/>
  <c r="BI51" i="1"/>
  <c r="CB51" i="1" s="1"/>
  <c r="BH51" i="1"/>
  <c r="BG51" i="1"/>
  <c r="BF51" i="1"/>
  <c r="BS51" i="1" s="1"/>
  <c r="BE51" i="1"/>
  <c r="BR51" i="1" s="1"/>
  <c r="BD51" i="1"/>
  <c r="BQ51" i="1" s="1"/>
  <c r="BC51" i="1"/>
  <c r="BP51" i="1" s="1"/>
  <c r="BB51" i="1"/>
  <c r="BO51" i="1" s="1"/>
  <c r="BA51" i="1"/>
  <c r="BN51" i="1" s="1"/>
  <c r="AZ51" i="1"/>
  <c r="BZ51" i="1" s="1"/>
  <c r="AY51" i="1"/>
  <c r="BY51" i="1" s="1"/>
  <c r="AX51" i="1"/>
  <c r="AW51" i="1"/>
  <c r="AV51" i="1"/>
  <c r="BM50" i="1"/>
  <c r="BV50" i="1" s="1"/>
  <c r="BL50" i="1"/>
  <c r="BT50" i="1" s="1"/>
  <c r="BK50" i="1"/>
  <c r="BJ50" i="1"/>
  <c r="BI50" i="1"/>
  <c r="CB50" i="1" s="1"/>
  <c r="BH50" i="1"/>
  <c r="BG50" i="1"/>
  <c r="BF50" i="1"/>
  <c r="BS50" i="1" s="1"/>
  <c r="BE50" i="1"/>
  <c r="BR50" i="1" s="1"/>
  <c r="BD50" i="1"/>
  <c r="BQ50" i="1" s="1"/>
  <c r="BC50" i="1"/>
  <c r="BP50" i="1" s="1"/>
  <c r="BB50" i="1"/>
  <c r="BO50" i="1" s="1"/>
  <c r="BA50" i="1"/>
  <c r="BN50" i="1" s="1"/>
  <c r="AZ50" i="1"/>
  <c r="BZ50" i="1" s="1"/>
  <c r="AY50" i="1"/>
  <c r="BY50" i="1" s="1"/>
  <c r="AX50" i="1"/>
  <c r="AW50" i="1"/>
  <c r="AV50" i="1"/>
  <c r="BW50" i="1" s="1"/>
  <c r="BM49" i="1"/>
  <c r="BV49" i="1" s="1"/>
  <c r="BL49" i="1"/>
  <c r="BT49" i="1" s="1"/>
  <c r="BK49" i="1"/>
  <c r="BJ49" i="1"/>
  <c r="BI49" i="1"/>
  <c r="CB49" i="1" s="1"/>
  <c r="BH49" i="1"/>
  <c r="BG49" i="1"/>
  <c r="BF49" i="1"/>
  <c r="BS49" i="1" s="1"/>
  <c r="BE49" i="1"/>
  <c r="BR49" i="1" s="1"/>
  <c r="BD49" i="1"/>
  <c r="BQ49" i="1" s="1"/>
  <c r="BC49" i="1"/>
  <c r="BP49" i="1" s="1"/>
  <c r="BB49" i="1"/>
  <c r="BO49" i="1" s="1"/>
  <c r="BA49" i="1"/>
  <c r="BN49" i="1" s="1"/>
  <c r="AZ49" i="1"/>
  <c r="BZ49" i="1" s="1"/>
  <c r="AY49" i="1"/>
  <c r="BY49" i="1" s="1"/>
  <c r="AX49" i="1"/>
  <c r="AW49" i="1"/>
  <c r="AV49" i="1"/>
  <c r="BW49" i="1" s="1"/>
  <c r="BM48" i="1"/>
  <c r="BV48" i="1" s="1"/>
  <c r="BL48" i="1"/>
  <c r="BT48" i="1" s="1"/>
  <c r="BK48" i="1"/>
  <c r="BJ48" i="1"/>
  <c r="BI48" i="1"/>
  <c r="CB48" i="1" s="1"/>
  <c r="BH48" i="1"/>
  <c r="BG48" i="1"/>
  <c r="BF48" i="1"/>
  <c r="BS48" i="1" s="1"/>
  <c r="BE48" i="1"/>
  <c r="BR48" i="1" s="1"/>
  <c r="BD48" i="1"/>
  <c r="BQ48" i="1" s="1"/>
  <c r="BC48" i="1"/>
  <c r="BP48" i="1" s="1"/>
  <c r="BB48" i="1"/>
  <c r="BO48" i="1" s="1"/>
  <c r="BA48" i="1"/>
  <c r="BN48" i="1" s="1"/>
  <c r="AZ48" i="1"/>
  <c r="BZ48" i="1" s="1"/>
  <c r="AY48" i="1"/>
  <c r="BY48" i="1" s="1"/>
  <c r="AX48" i="1"/>
  <c r="AW48" i="1"/>
  <c r="AV48" i="1"/>
  <c r="BM47" i="1"/>
  <c r="BV47" i="1" s="1"/>
  <c r="BL47" i="1"/>
  <c r="BT47" i="1" s="1"/>
  <c r="BK47" i="1"/>
  <c r="BJ47" i="1"/>
  <c r="BI47" i="1"/>
  <c r="CB47" i="1" s="1"/>
  <c r="BH47" i="1"/>
  <c r="BG47" i="1"/>
  <c r="BF47" i="1"/>
  <c r="BS47" i="1" s="1"/>
  <c r="BE47" i="1"/>
  <c r="BR47" i="1" s="1"/>
  <c r="BD47" i="1"/>
  <c r="BQ47" i="1" s="1"/>
  <c r="BC47" i="1"/>
  <c r="BP47" i="1" s="1"/>
  <c r="BB47" i="1"/>
  <c r="BO47" i="1" s="1"/>
  <c r="BA47" i="1"/>
  <c r="BN47" i="1" s="1"/>
  <c r="AZ47" i="1"/>
  <c r="BZ47" i="1" s="1"/>
  <c r="AY47" i="1"/>
  <c r="BY47" i="1" s="1"/>
  <c r="AX47" i="1"/>
  <c r="AW47" i="1"/>
  <c r="AV47" i="1"/>
  <c r="BW47" i="1" s="1"/>
  <c r="BM46" i="1"/>
  <c r="BV46" i="1" s="1"/>
  <c r="BL46" i="1"/>
  <c r="BT46" i="1" s="1"/>
  <c r="BK46" i="1"/>
  <c r="BJ46" i="1"/>
  <c r="BI46" i="1"/>
  <c r="CB46" i="1" s="1"/>
  <c r="BH46" i="1"/>
  <c r="BG46" i="1"/>
  <c r="BF46" i="1"/>
  <c r="BS46" i="1" s="1"/>
  <c r="BE46" i="1"/>
  <c r="BR46" i="1" s="1"/>
  <c r="BD46" i="1"/>
  <c r="BQ46" i="1" s="1"/>
  <c r="BC46" i="1"/>
  <c r="BP46" i="1" s="1"/>
  <c r="BB46" i="1"/>
  <c r="BO46" i="1" s="1"/>
  <c r="BA46" i="1"/>
  <c r="BN46" i="1" s="1"/>
  <c r="AZ46" i="1"/>
  <c r="BZ46" i="1" s="1"/>
  <c r="AY46" i="1"/>
  <c r="BY46" i="1" s="1"/>
  <c r="AX46" i="1"/>
  <c r="AW46" i="1"/>
  <c r="AV46" i="1"/>
  <c r="BW46" i="1" s="1"/>
  <c r="BM45" i="1"/>
  <c r="BV45" i="1" s="1"/>
  <c r="BL45" i="1"/>
  <c r="BT45" i="1" s="1"/>
  <c r="BK45" i="1"/>
  <c r="BJ45" i="1"/>
  <c r="BI45" i="1"/>
  <c r="CB45" i="1" s="1"/>
  <c r="BH45" i="1"/>
  <c r="BG45" i="1"/>
  <c r="BF45" i="1"/>
  <c r="BS45" i="1" s="1"/>
  <c r="BE45" i="1"/>
  <c r="BR45" i="1" s="1"/>
  <c r="BD45" i="1"/>
  <c r="BQ45" i="1" s="1"/>
  <c r="BC45" i="1"/>
  <c r="BP45" i="1" s="1"/>
  <c r="BB45" i="1"/>
  <c r="BO45" i="1" s="1"/>
  <c r="BA45" i="1"/>
  <c r="BN45" i="1" s="1"/>
  <c r="AZ45" i="1"/>
  <c r="BZ45" i="1" s="1"/>
  <c r="AY45" i="1"/>
  <c r="BY45" i="1" s="1"/>
  <c r="AX45" i="1"/>
  <c r="AW45" i="1"/>
  <c r="AV45" i="1"/>
  <c r="BW45" i="1" s="1"/>
  <c r="BM44" i="1"/>
  <c r="BV44" i="1" s="1"/>
  <c r="BL44" i="1"/>
  <c r="BT44" i="1" s="1"/>
  <c r="BK44" i="1"/>
  <c r="BJ44" i="1"/>
  <c r="BI44" i="1"/>
  <c r="CB44" i="1" s="1"/>
  <c r="BH44" i="1"/>
  <c r="BG44" i="1"/>
  <c r="BF44" i="1"/>
  <c r="BS44" i="1" s="1"/>
  <c r="BE44" i="1"/>
  <c r="BR44" i="1" s="1"/>
  <c r="BD44" i="1"/>
  <c r="BQ44" i="1" s="1"/>
  <c r="BC44" i="1"/>
  <c r="BP44" i="1" s="1"/>
  <c r="BB44" i="1"/>
  <c r="BO44" i="1" s="1"/>
  <c r="BA44" i="1"/>
  <c r="BN44" i="1" s="1"/>
  <c r="AZ44" i="1"/>
  <c r="BZ44" i="1" s="1"/>
  <c r="AY44" i="1"/>
  <c r="BY44" i="1" s="1"/>
  <c r="AX44" i="1"/>
  <c r="AW44" i="1"/>
  <c r="AV44" i="1"/>
  <c r="BW44" i="1" s="1"/>
  <c r="BM43" i="1"/>
  <c r="BV43" i="1" s="1"/>
  <c r="BL43" i="1"/>
  <c r="BT43" i="1" s="1"/>
  <c r="BK43" i="1"/>
  <c r="BJ43" i="1"/>
  <c r="BI43" i="1"/>
  <c r="CB43" i="1" s="1"/>
  <c r="BH43" i="1"/>
  <c r="BG43" i="1"/>
  <c r="BF43" i="1"/>
  <c r="BS43" i="1" s="1"/>
  <c r="BE43" i="1"/>
  <c r="BR43" i="1" s="1"/>
  <c r="BD43" i="1"/>
  <c r="BQ43" i="1" s="1"/>
  <c r="BC43" i="1"/>
  <c r="BP43" i="1" s="1"/>
  <c r="BB43" i="1"/>
  <c r="BO43" i="1" s="1"/>
  <c r="BA43" i="1"/>
  <c r="BN43" i="1" s="1"/>
  <c r="AZ43" i="1"/>
  <c r="BZ43" i="1" s="1"/>
  <c r="AY43" i="1"/>
  <c r="BY43" i="1" s="1"/>
  <c r="AX43" i="1"/>
  <c r="AW43" i="1"/>
  <c r="AV43" i="1"/>
  <c r="BW43" i="1" s="1"/>
  <c r="BM42" i="1"/>
  <c r="BV42" i="1" s="1"/>
  <c r="BL42" i="1"/>
  <c r="BT42" i="1" s="1"/>
  <c r="BK42" i="1"/>
  <c r="BJ42" i="1"/>
  <c r="BI42" i="1"/>
  <c r="CB42" i="1" s="1"/>
  <c r="BH42" i="1"/>
  <c r="BG42" i="1"/>
  <c r="BF42" i="1"/>
  <c r="BS42" i="1" s="1"/>
  <c r="BE42" i="1"/>
  <c r="BR42" i="1" s="1"/>
  <c r="BD42" i="1"/>
  <c r="BQ42" i="1" s="1"/>
  <c r="BC42" i="1"/>
  <c r="BP42" i="1" s="1"/>
  <c r="BB42" i="1"/>
  <c r="BO42" i="1" s="1"/>
  <c r="BA42" i="1"/>
  <c r="BN42" i="1" s="1"/>
  <c r="AZ42" i="1"/>
  <c r="BZ42" i="1" s="1"/>
  <c r="AY42" i="1"/>
  <c r="BY42" i="1" s="1"/>
  <c r="AX42" i="1"/>
  <c r="AW42" i="1"/>
  <c r="AV42" i="1"/>
  <c r="BW42" i="1" s="1"/>
  <c r="BM41" i="1"/>
  <c r="BV41" i="1" s="1"/>
  <c r="BL41" i="1"/>
  <c r="BT41" i="1" s="1"/>
  <c r="BK41" i="1"/>
  <c r="BJ41" i="1"/>
  <c r="BI41" i="1"/>
  <c r="CB41" i="1" s="1"/>
  <c r="BH41" i="1"/>
  <c r="BG41" i="1"/>
  <c r="BF41" i="1"/>
  <c r="BS41" i="1" s="1"/>
  <c r="BE41" i="1"/>
  <c r="BR41" i="1" s="1"/>
  <c r="BD41" i="1"/>
  <c r="BQ41" i="1" s="1"/>
  <c r="BC41" i="1"/>
  <c r="BP41" i="1" s="1"/>
  <c r="BB41" i="1"/>
  <c r="BO41" i="1" s="1"/>
  <c r="BA41" i="1"/>
  <c r="BN41" i="1" s="1"/>
  <c r="AZ41" i="1"/>
  <c r="BZ41" i="1" s="1"/>
  <c r="AY41" i="1"/>
  <c r="BY41" i="1" s="1"/>
  <c r="AX41" i="1"/>
  <c r="AW41" i="1"/>
  <c r="AV41" i="1"/>
  <c r="BW41" i="1" s="1"/>
  <c r="BM40" i="1"/>
  <c r="BV40" i="1" s="1"/>
  <c r="BL40" i="1"/>
  <c r="BT40" i="1" s="1"/>
  <c r="BK40" i="1"/>
  <c r="BJ40" i="1"/>
  <c r="BI40" i="1"/>
  <c r="CB40" i="1" s="1"/>
  <c r="BH40" i="1"/>
  <c r="BG40" i="1"/>
  <c r="BF40" i="1"/>
  <c r="BS40" i="1" s="1"/>
  <c r="BE40" i="1"/>
  <c r="BR40" i="1" s="1"/>
  <c r="BD40" i="1"/>
  <c r="BQ40" i="1" s="1"/>
  <c r="BC40" i="1"/>
  <c r="BP40" i="1" s="1"/>
  <c r="BB40" i="1"/>
  <c r="BO40" i="1" s="1"/>
  <c r="BA40" i="1"/>
  <c r="BN40" i="1" s="1"/>
  <c r="AZ40" i="1"/>
  <c r="BZ40" i="1" s="1"/>
  <c r="AY40" i="1"/>
  <c r="BY40" i="1" s="1"/>
  <c r="AX40" i="1"/>
  <c r="AW40" i="1"/>
  <c r="AV40" i="1"/>
  <c r="BW40" i="1" s="1"/>
  <c r="BM39" i="1"/>
  <c r="BV39" i="1" s="1"/>
  <c r="BL39" i="1"/>
  <c r="BT39" i="1" s="1"/>
  <c r="BK39" i="1"/>
  <c r="BJ39" i="1"/>
  <c r="BI39" i="1"/>
  <c r="CB39" i="1" s="1"/>
  <c r="BH39" i="1"/>
  <c r="BG39" i="1"/>
  <c r="BF39" i="1"/>
  <c r="BS39" i="1" s="1"/>
  <c r="BE39" i="1"/>
  <c r="BR39" i="1" s="1"/>
  <c r="BD39" i="1"/>
  <c r="BQ39" i="1" s="1"/>
  <c r="BC39" i="1"/>
  <c r="BP39" i="1" s="1"/>
  <c r="BB39" i="1"/>
  <c r="BO39" i="1" s="1"/>
  <c r="BA39" i="1"/>
  <c r="BN39" i="1" s="1"/>
  <c r="AZ39" i="1"/>
  <c r="BZ39" i="1" s="1"/>
  <c r="AY39" i="1"/>
  <c r="BY39" i="1" s="1"/>
  <c r="AX39" i="1"/>
  <c r="AW39" i="1"/>
  <c r="AV39" i="1"/>
  <c r="BM38" i="1"/>
  <c r="BV38" i="1" s="1"/>
  <c r="BL38" i="1"/>
  <c r="BT38" i="1" s="1"/>
  <c r="BK38" i="1"/>
  <c r="BJ38" i="1"/>
  <c r="BI38" i="1"/>
  <c r="CB38" i="1" s="1"/>
  <c r="BH38" i="1"/>
  <c r="BG38" i="1"/>
  <c r="BF38" i="1"/>
  <c r="BS38" i="1" s="1"/>
  <c r="BE38" i="1"/>
  <c r="BR38" i="1" s="1"/>
  <c r="BD38" i="1"/>
  <c r="BQ38" i="1" s="1"/>
  <c r="BC38" i="1"/>
  <c r="BP38" i="1" s="1"/>
  <c r="BB38" i="1"/>
  <c r="BO38" i="1" s="1"/>
  <c r="BA38" i="1"/>
  <c r="BN38" i="1" s="1"/>
  <c r="AZ38" i="1"/>
  <c r="BZ38" i="1" s="1"/>
  <c r="AY38" i="1"/>
  <c r="BY38" i="1" s="1"/>
  <c r="AX38" i="1"/>
  <c r="AW38" i="1"/>
  <c r="AV38" i="1"/>
  <c r="BW38" i="1" s="1"/>
  <c r="BM37" i="1"/>
  <c r="BV37" i="1" s="1"/>
  <c r="BL37" i="1"/>
  <c r="BT37" i="1" s="1"/>
  <c r="BK37" i="1"/>
  <c r="BJ37" i="1"/>
  <c r="BI37" i="1"/>
  <c r="CB37" i="1" s="1"/>
  <c r="BH37" i="1"/>
  <c r="BG37" i="1"/>
  <c r="BF37" i="1"/>
  <c r="BS37" i="1" s="1"/>
  <c r="BE37" i="1"/>
  <c r="BR37" i="1" s="1"/>
  <c r="BD37" i="1"/>
  <c r="BQ37" i="1" s="1"/>
  <c r="BC37" i="1"/>
  <c r="BP37" i="1" s="1"/>
  <c r="BB37" i="1"/>
  <c r="BO37" i="1" s="1"/>
  <c r="BA37" i="1"/>
  <c r="BN37" i="1" s="1"/>
  <c r="AZ37" i="1"/>
  <c r="BZ37" i="1" s="1"/>
  <c r="AY37" i="1"/>
  <c r="BY37" i="1" s="1"/>
  <c r="AX37" i="1"/>
  <c r="AW37" i="1"/>
  <c r="AV37" i="1"/>
  <c r="BW37" i="1" s="1"/>
  <c r="BM36" i="1"/>
  <c r="BV36" i="1" s="1"/>
  <c r="BL36" i="1"/>
  <c r="BT36" i="1" s="1"/>
  <c r="BK36" i="1"/>
  <c r="BJ36" i="1"/>
  <c r="BI36" i="1"/>
  <c r="CB36" i="1" s="1"/>
  <c r="BH36" i="1"/>
  <c r="BG36" i="1"/>
  <c r="BF36" i="1"/>
  <c r="BS36" i="1" s="1"/>
  <c r="BE36" i="1"/>
  <c r="BR36" i="1" s="1"/>
  <c r="BD36" i="1"/>
  <c r="BQ36" i="1" s="1"/>
  <c r="BC36" i="1"/>
  <c r="BP36" i="1" s="1"/>
  <c r="BB36" i="1"/>
  <c r="BO36" i="1" s="1"/>
  <c r="BA36" i="1"/>
  <c r="BN36" i="1" s="1"/>
  <c r="AZ36" i="1"/>
  <c r="BZ36" i="1" s="1"/>
  <c r="AY36" i="1"/>
  <c r="BY36" i="1" s="1"/>
  <c r="AX36" i="1"/>
  <c r="CA36" i="1" s="1"/>
  <c r="AW36" i="1"/>
  <c r="AV36" i="1"/>
  <c r="BW36" i="1" s="1"/>
  <c r="BM35" i="1"/>
  <c r="BV35" i="1" s="1"/>
  <c r="BL35" i="1"/>
  <c r="BT35" i="1" s="1"/>
  <c r="BK35" i="1"/>
  <c r="BJ35" i="1"/>
  <c r="BI35" i="1"/>
  <c r="CB35" i="1" s="1"/>
  <c r="BH35" i="1"/>
  <c r="BG35" i="1"/>
  <c r="BF35" i="1"/>
  <c r="BS35" i="1" s="1"/>
  <c r="BE35" i="1"/>
  <c r="BR35" i="1" s="1"/>
  <c r="BD35" i="1"/>
  <c r="BQ35" i="1" s="1"/>
  <c r="BC35" i="1"/>
  <c r="BP35" i="1" s="1"/>
  <c r="BB35" i="1"/>
  <c r="BO35" i="1" s="1"/>
  <c r="BA35" i="1"/>
  <c r="BN35" i="1" s="1"/>
  <c r="AZ35" i="1"/>
  <c r="BZ35" i="1" s="1"/>
  <c r="AY35" i="1"/>
  <c r="BY35" i="1" s="1"/>
  <c r="AX35" i="1"/>
  <c r="AW35" i="1"/>
  <c r="AV35" i="1"/>
  <c r="BM34" i="1"/>
  <c r="BV34" i="1" s="1"/>
  <c r="BL34" i="1"/>
  <c r="BT34" i="1" s="1"/>
  <c r="BK34" i="1"/>
  <c r="BJ34" i="1"/>
  <c r="BI34" i="1"/>
  <c r="CB34" i="1" s="1"/>
  <c r="BH34" i="1"/>
  <c r="BG34" i="1"/>
  <c r="BF34" i="1"/>
  <c r="BS34" i="1" s="1"/>
  <c r="BE34" i="1"/>
  <c r="BR34" i="1" s="1"/>
  <c r="BD34" i="1"/>
  <c r="BQ34" i="1" s="1"/>
  <c r="BC34" i="1"/>
  <c r="BP34" i="1" s="1"/>
  <c r="BB34" i="1"/>
  <c r="BO34" i="1" s="1"/>
  <c r="BA34" i="1"/>
  <c r="BN34" i="1" s="1"/>
  <c r="AZ34" i="1"/>
  <c r="BZ34" i="1" s="1"/>
  <c r="AY34" i="1"/>
  <c r="BY34" i="1" s="1"/>
  <c r="AX34" i="1"/>
  <c r="AW34" i="1"/>
  <c r="AV34" i="1"/>
  <c r="BM33" i="1"/>
  <c r="BV33" i="1" s="1"/>
  <c r="BL33" i="1"/>
  <c r="BT33" i="1" s="1"/>
  <c r="BK33" i="1"/>
  <c r="BJ33" i="1"/>
  <c r="BI33" i="1"/>
  <c r="CB33" i="1" s="1"/>
  <c r="BH33" i="1"/>
  <c r="BG33" i="1"/>
  <c r="BF33" i="1"/>
  <c r="BS33" i="1" s="1"/>
  <c r="BE33" i="1"/>
  <c r="BR33" i="1" s="1"/>
  <c r="BD33" i="1"/>
  <c r="BQ33" i="1" s="1"/>
  <c r="BC33" i="1"/>
  <c r="BP33" i="1" s="1"/>
  <c r="BB33" i="1"/>
  <c r="BO33" i="1" s="1"/>
  <c r="BA33" i="1"/>
  <c r="BN33" i="1" s="1"/>
  <c r="AZ33" i="1"/>
  <c r="BZ33" i="1" s="1"/>
  <c r="AY33" i="1"/>
  <c r="BY33" i="1" s="1"/>
  <c r="AX33" i="1"/>
  <c r="AW33" i="1"/>
  <c r="AV33" i="1"/>
  <c r="BW33" i="1" s="1"/>
  <c r="BM32" i="1"/>
  <c r="BV32" i="1" s="1"/>
  <c r="BL32" i="1"/>
  <c r="BT32" i="1" s="1"/>
  <c r="BK32" i="1"/>
  <c r="BJ32" i="1"/>
  <c r="BI32" i="1"/>
  <c r="CB32" i="1" s="1"/>
  <c r="BH32" i="1"/>
  <c r="BG32" i="1"/>
  <c r="BF32" i="1"/>
  <c r="BS32" i="1" s="1"/>
  <c r="BE32" i="1"/>
  <c r="BR32" i="1" s="1"/>
  <c r="BD32" i="1"/>
  <c r="BQ32" i="1" s="1"/>
  <c r="BC32" i="1"/>
  <c r="BP32" i="1" s="1"/>
  <c r="BB32" i="1"/>
  <c r="BO32" i="1" s="1"/>
  <c r="BA32" i="1"/>
  <c r="BN32" i="1" s="1"/>
  <c r="AZ32" i="1"/>
  <c r="BZ32" i="1" s="1"/>
  <c r="AY32" i="1"/>
  <c r="BY32" i="1" s="1"/>
  <c r="AX32" i="1"/>
  <c r="AW32" i="1"/>
  <c r="AV32" i="1"/>
  <c r="BW32" i="1" s="1"/>
  <c r="BM31" i="1"/>
  <c r="BV31" i="1" s="1"/>
  <c r="BL31" i="1"/>
  <c r="BT31" i="1" s="1"/>
  <c r="BK31" i="1"/>
  <c r="BJ31" i="1"/>
  <c r="BI31" i="1"/>
  <c r="CB31" i="1" s="1"/>
  <c r="BH31" i="1"/>
  <c r="BG31" i="1"/>
  <c r="BF31" i="1"/>
  <c r="BS31" i="1" s="1"/>
  <c r="BE31" i="1"/>
  <c r="BR31" i="1" s="1"/>
  <c r="BD31" i="1"/>
  <c r="BQ31" i="1" s="1"/>
  <c r="BC31" i="1"/>
  <c r="BP31" i="1" s="1"/>
  <c r="BB31" i="1"/>
  <c r="BO31" i="1" s="1"/>
  <c r="BA31" i="1"/>
  <c r="BN31" i="1" s="1"/>
  <c r="AZ31" i="1"/>
  <c r="BZ31" i="1" s="1"/>
  <c r="AY31" i="1"/>
  <c r="BY31" i="1" s="1"/>
  <c r="AX31" i="1"/>
  <c r="AW31" i="1"/>
  <c r="AV31" i="1"/>
  <c r="BW31" i="1" s="1"/>
  <c r="BM30" i="1"/>
  <c r="BV30" i="1" s="1"/>
  <c r="BL30" i="1"/>
  <c r="BT30" i="1" s="1"/>
  <c r="BK30" i="1"/>
  <c r="BJ30" i="1"/>
  <c r="BI30" i="1"/>
  <c r="CB30" i="1" s="1"/>
  <c r="BH30" i="1"/>
  <c r="BG30" i="1"/>
  <c r="BF30" i="1"/>
  <c r="BS30" i="1" s="1"/>
  <c r="BE30" i="1"/>
  <c r="BR30" i="1" s="1"/>
  <c r="BD30" i="1"/>
  <c r="BQ30" i="1" s="1"/>
  <c r="BC30" i="1"/>
  <c r="BP30" i="1" s="1"/>
  <c r="BB30" i="1"/>
  <c r="BO30" i="1" s="1"/>
  <c r="BA30" i="1"/>
  <c r="BN30" i="1" s="1"/>
  <c r="AZ30" i="1"/>
  <c r="BZ30" i="1" s="1"/>
  <c r="AY30" i="1"/>
  <c r="BY30" i="1" s="1"/>
  <c r="AX30" i="1"/>
  <c r="AW30" i="1"/>
  <c r="AV30" i="1"/>
  <c r="BW30" i="1" s="1"/>
  <c r="BM29" i="1"/>
  <c r="BV29" i="1" s="1"/>
  <c r="BL29" i="1"/>
  <c r="BT29" i="1" s="1"/>
  <c r="BK29" i="1"/>
  <c r="BJ29" i="1"/>
  <c r="BI29" i="1"/>
  <c r="CB29" i="1" s="1"/>
  <c r="BH29" i="1"/>
  <c r="BG29" i="1"/>
  <c r="BF29" i="1"/>
  <c r="BS29" i="1" s="1"/>
  <c r="BE29" i="1"/>
  <c r="BR29" i="1" s="1"/>
  <c r="BD29" i="1"/>
  <c r="BQ29" i="1" s="1"/>
  <c r="BC29" i="1"/>
  <c r="BP29" i="1" s="1"/>
  <c r="BB29" i="1"/>
  <c r="BO29" i="1" s="1"/>
  <c r="BA29" i="1"/>
  <c r="BN29" i="1" s="1"/>
  <c r="AZ29" i="1"/>
  <c r="BZ29" i="1" s="1"/>
  <c r="AY29" i="1"/>
  <c r="BY29" i="1" s="1"/>
  <c r="AX29" i="1"/>
  <c r="AW29" i="1"/>
  <c r="AV29" i="1"/>
  <c r="BM28" i="1"/>
  <c r="BV28" i="1" s="1"/>
  <c r="BL28" i="1"/>
  <c r="BT28" i="1" s="1"/>
  <c r="BK28" i="1"/>
  <c r="BJ28" i="1"/>
  <c r="BI28" i="1"/>
  <c r="CB28" i="1" s="1"/>
  <c r="BH28" i="1"/>
  <c r="BG28" i="1"/>
  <c r="BF28" i="1"/>
  <c r="BS28" i="1" s="1"/>
  <c r="BE28" i="1"/>
  <c r="BR28" i="1" s="1"/>
  <c r="BD28" i="1"/>
  <c r="BQ28" i="1" s="1"/>
  <c r="BC28" i="1"/>
  <c r="BP28" i="1" s="1"/>
  <c r="BB28" i="1"/>
  <c r="BO28" i="1" s="1"/>
  <c r="BA28" i="1"/>
  <c r="BN28" i="1" s="1"/>
  <c r="AZ28" i="1"/>
  <c r="BZ28" i="1" s="1"/>
  <c r="AY28" i="1"/>
  <c r="BY28" i="1" s="1"/>
  <c r="AX28" i="1"/>
  <c r="AW28" i="1"/>
  <c r="AV28" i="1"/>
  <c r="BW28" i="1" s="1"/>
  <c r="BM27" i="1"/>
  <c r="BV27" i="1" s="1"/>
  <c r="BL27" i="1"/>
  <c r="BT27" i="1" s="1"/>
  <c r="BK27" i="1"/>
  <c r="BJ27" i="1"/>
  <c r="BI27" i="1"/>
  <c r="CB27" i="1" s="1"/>
  <c r="BH27" i="1"/>
  <c r="BG27" i="1"/>
  <c r="BF27" i="1"/>
  <c r="BS27" i="1" s="1"/>
  <c r="BE27" i="1"/>
  <c r="BR27" i="1" s="1"/>
  <c r="BD27" i="1"/>
  <c r="BQ27" i="1" s="1"/>
  <c r="BC27" i="1"/>
  <c r="BP27" i="1" s="1"/>
  <c r="BB27" i="1"/>
  <c r="BO27" i="1" s="1"/>
  <c r="BA27" i="1"/>
  <c r="BN27" i="1" s="1"/>
  <c r="AZ27" i="1"/>
  <c r="BZ27" i="1" s="1"/>
  <c r="AY27" i="1"/>
  <c r="BY27" i="1" s="1"/>
  <c r="AX27" i="1"/>
  <c r="AW27" i="1"/>
  <c r="AV27" i="1"/>
  <c r="BW27" i="1" s="1"/>
  <c r="BM26" i="1"/>
  <c r="BV26" i="1" s="1"/>
  <c r="BL26" i="1"/>
  <c r="BT26" i="1" s="1"/>
  <c r="BK26" i="1"/>
  <c r="BJ26" i="1"/>
  <c r="BI26" i="1"/>
  <c r="CB26" i="1" s="1"/>
  <c r="BH26" i="1"/>
  <c r="BG26" i="1"/>
  <c r="BF26" i="1"/>
  <c r="BS26" i="1" s="1"/>
  <c r="BE26" i="1"/>
  <c r="BR26" i="1" s="1"/>
  <c r="BD26" i="1"/>
  <c r="BQ26" i="1" s="1"/>
  <c r="BC26" i="1"/>
  <c r="BP26" i="1" s="1"/>
  <c r="BB26" i="1"/>
  <c r="BO26" i="1" s="1"/>
  <c r="BA26" i="1"/>
  <c r="BN26" i="1" s="1"/>
  <c r="AZ26" i="1"/>
  <c r="BZ26" i="1" s="1"/>
  <c r="AY26" i="1"/>
  <c r="BY26" i="1" s="1"/>
  <c r="AX26" i="1"/>
  <c r="AW26" i="1"/>
  <c r="AV26" i="1"/>
  <c r="BW26" i="1" s="1"/>
  <c r="BM25" i="1"/>
  <c r="BV25" i="1" s="1"/>
  <c r="BL25" i="1"/>
  <c r="BT25" i="1" s="1"/>
  <c r="BK25" i="1"/>
  <c r="BJ25" i="1"/>
  <c r="BI25" i="1"/>
  <c r="CB25" i="1" s="1"/>
  <c r="BH25" i="1"/>
  <c r="BG25" i="1"/>
  <c r="BF25" i="1"/>
  <c r="BS25" i="1" s="1"/>
  <c r="BE25" i="1"/>
  <c r="BR25" i="1" s="1"/>
  <c r="BD25" i="1"/>
  <c r="BQ25" i="1" s="1"/>
  <c r="BC25" i="1"/>
  <c r="BP25" i="1" s="1"/>
  <c r="BB25" i="1"/>
  <c r="BO25" i="1" s="1"/>
  <c r="BA25" i="1"/>
  <c r="BN25" i="1" s="1"/>
  <c r="AZ25" i="1"/>
  <c r="BZ25" i="1" s="1"/>
  <c r="AY25" i="1"/>
  <c r="BY25" i="1" s="1"/>
  <c r="AX25" i="1"/>
  <c r="AW25" i="1"/>
  <c r="AV25" i="1"/>
  <c r="BW25" i="1" s="1"/>
  <c r="BM24" i="1"/>
  <c r="BV24" i="1" s="1"/>
  <c r="BL24" i="1"/>
  <c r="BT24" i="1" s="1"/>
  <c r="BK24" i="1"/>
  <c r="BJ24" i="1"/>
  <c r="BI24" i="1"/>
  <c r="CB24" i="1" s="1"/>
  <c r="BH24" i="1"/>
  <c r="BG24" i="1"/>
  <c r="BF24" i="1"/>
  <c r="BS24" i="1" s="1"/>
  <c r="BE24" i="1"/>
  <c r="BR24" i="1" s="1"/>
  <c r="BD24" i="1"/>
  <c r="BQ24" i="1" s="1"/>
  <c r="BC24" i="1"/>
  <c r="BP24" i="1" s="1"/>
  <c r="BB24" i="1"/>
  <c r="BO24" i="1" s="1"/>
  <c r="BA24" i="1"/>
  <c r="BN24" i="1" s="1"/>
  <c r="AZ24" i="1"/>
  <c r="BZ24" i="1" s="1"/>
  <c r="AY24" i="1"/>
  <c r="BY24" i="1" s="1"/>
  <c r="AX24" i="1"/>
  <c r="AW24" i="1"/>
  <c r="AV24" i="1"/>
  <c r="BM23" i="1"/>
  <c r="BV23" i="1" s="1"/>
  <c r="BL23" i="1"/>
  <c r="BT23" i="1" s="1"/>
  <c r="BK23" i="1"/>
  <c r="BJ23" i="1"/>
  <c r="BI23" i="1"/>
  <c r="CB23" i="1" s="1"/>
  <c r="BH23" i="1"/>
  <c r="BG23" i="1"/>
  <c r="BF23" i="1"/>
  <c r="BS23" i="1" s="1"/>
  <c r="BE23" i="1"/>
  <c r="BR23" i="1" s="1"/>
  <c r="BD23" i="1"/>
  <c r="BQ23" i="1" s="1"/>
  <c r="BC23" i="1"/>
  <c r="BP23" i="1" s="1"/>
  <c r="BB23" i="1"/>
  <c r="BO23" i="1" s="1"/>
  <c r="BA23" i="1"/>
  <c r="BN23" i="1" s="1"/>
  <c r="AZ23" i="1"/>
  <c r="BZ23" i="1" s="1"/>
  <c r="AY23" i="1"/>
  <c r="BY23" i="1" s="1"/>
  <c r="AX23" i="1"/>
  <c r="AW23" i="1"/>
  <c r="AV23" i="1"/>
  <c r="BW23" i="1" s="1"/>
  <c r="BM22" i="1"/>
  <c r="BV22" i="1" s="1"/>
  <c r="BL22" i="1"/>
  <c r="BT22" i="1" s="1"/>
  <c r="BK22" i="1"/>
  <c r="BJ22" i="1"/>
  <c r="BI22" i="1"/>
  <c r="CB22" i="1" s="1"/>
  <c r="BH22" i="1"/>
  <c r="BG22" i="1"/>
  <c r="BF22" i="1"/>
  <c r="BS22" i="1" s="1"/>
  <c r="BE22" i="1"/>
  <c r="BR22" i="1" s="1"/>
  <c r="BD22" i="1"/>
  <c r="BQ22" i="1" s="1"/>
  <c r="BC22" i="1"/>
  <c r="BP22" i="1" s="1"/>
  <c r="BB22" i="1"/>
  <c r="BO22" i="1" s="1"/>
  <c r="BA22" i="1"/>
  <c r="BN22" i="1" s="1"/>
  <c r="AZ22" i="1"/>
  <c r="BZ22" i="1" s="1"/>
  <c r="AY22" i="1"/>
  <c r="BY22" i="1" s="1"/>
  <c r="AX22" i="1"/>
  <c r="CA22" i="1" s="1"/>
  <c r="AW22" i="1"/>
  <c r="AV22" i="1"/>
  <c r="BM21" i="1"/>
  <c r="BV21" i="1" s="1"/>
  <c r="BL21" i="1"/>
  <c r="BT21" i="1" s="1"/>
  <c r="BK21" i="1"/>
  <c r="BJ21" i="1"/>
  <c r="BI21" i="1"/>
  <c r="CB21" i="1" s="1"/>
  <c r="BH21" i="1"/>
  <c r="BG21" i="1"/>
  <c r="BF21" i="1"/>
  <c r="BS21" i="1" s="1"/>
  <c r="BE21" i="1"/>
  <c r="BR21" i="1" s="1"/>
  <c r="BD21" i="1"/>
  <c r="BQ21" i="1" s="1"/>
  <c r="BC21" i="1"/>
  <c r="BP21" i="1" s="1"/>
  <c r="BB21" i="1"/>
  <c r="BO21" i="1" s="1"/>
  <c r="BA21" i="1"/>
  <c r="BN21" i="1" s="1"/>
  <c r="AZ21" i="1"/>
  <c r="BZ21" i="1" s="1"/>
  <c r="AY21" i="1"/>
  <c r="BY21" i="1" s="1"/>
  <c r="AX21" i="1"/>
  <c r="CA21" i="1" s="1"/>
  <c r="AW21" i="1"/>
  <c r="AV21" i="1"/>
  <c r="BW21" i="1" s="1"/>
  <c r="BM20" i="1"/>
  <c r="BV20" i="1" s="1"/>
  <c r="BL20" i="1"/>
  <c r="BT20" i="1" s="1"/>
  <c r="BK20" i="1"/>
  <c r="BJ20" i="1"/>
  <c r="BI20" i="1"/>
  <c r="CB20" i="1" s="1"/>
  <c r="BH20" i="1"/>
  <c r="BG20" i="1"/>
  <c r="BF20" i="1"/>
  <c r="BS20" i="1" s="1"/>
  <c r="BE20" i="1"/>
  <c r="BR20" i="1" s="1"/>
  <c r="BD20" i="1"/>
  <c r="BQ20" i="1" s="1"/>
  <c r="BC20" i="1"/>
  <c r="BP20" i="1" s="1"/>
  <c r="BB20" i="1"/>
  <c r="BO20" i="1" s="1"/>
  <c r="BA20" i="1"/>
  <c r="BN20" i="1" s="1"/>
  <c r="AZ20" i="1"/>
  <c r="BZ20" i="1" s="1"/>
  <c r="AY20" i="1"/>
  <c r="BY20" i="1" s="1"/>
  <c r="AX20" i="1"/>
  <c r="AW20" i="1"/>
  <c r="AV20" i="1"/>
  <c r="BW20" i="1" s="1"/>
  <c r="BM19" i="1"/>
  <c r="BV19" i="1" s="1"/>
  <c r="BL19" i="1"/>
  <c r="BT19" i="1" s="1"/>
  <c r="BK19" i="1"/>
  <c r="BJ19" i="1"/>
  <c r="BI19" i="1"/>
  <c r="CB19" i="1" s="1"/>
  <c r="BH19" i="1"/>
  <c r="BG19" i="1"/>
  <c r="BF19" i="1"/>
  <c r="BS19" i="1" s="1"/>
  <c r="BE19" i="1"/>
  <c r="BR19" i="1" s="1"/>
  <c r="BD19" i="1"/>
  <c r="BQ19" i="1" s="1"/>
  <c r="BC19" i="1"/>
  <c r="BP19" i="1" s="1"/>
  <c r="BB19" i="1"/>
  <c r="BO19" i="1" s="1"/>
  <c r="BA19" i="1"/>
  <c r="BN19" i="1" s="1"/>
  <c r="AZ19" i="1"/>
  <c r="BZ19" i="1" s="1"/>
  <c r="AY19" i="1"/>
  <c r="BY19" i="1" s="1"/>
  <c r="AX19" i="1"/>
  <c r="AW19" i="1"/>
  <c r="AV19" i="1"/>
  <c r="BW19" i="1" s="1"/>
  <c r="BM18" i="1"/>
  <c r="BV18" i="1" s="1"/>
  <c r="BL18" i="1"/>
  <c r="BT18" i="1" s="1"/>
  <c r="BK18" i="1"/>
  <c r="BJ18" i="1"/>
  <c r="BI18" i="1"/>
  <c r="CB18" i="1" s="1"/>
  <c r="BH18" i="1"/>
  <c r="BG18" i="1"/>
  <c r="BF18" i="1"/>
  <c r="BS18" i="1" s="1"/>
  <c r="BE18" i="1"/>
  <c r="BR18" i="1" s="1"/>
  <c r="BD18" i="1"/>
  <c r="BQ18" i="1" s="1"/>
  <c r="BC18" i="1"/>
  <c r="BP18" i="1" s="1"/>
  <c r="BB18" i="1"/>
  <c r="BO18" i="1" s="1"/>
  <c r="BA18" i="1"/>
  <c r="BN18" i="1" s="1"/>
  <c r="AZ18" i="1"/>
  <c r="BZ18" i="1" s="1"/>
  <c r="AY18" i="1"/>
  <c r="BY18" i="1" s="1"/>
  <c r="AX18" i="1"/>
  <c r="AW18" i="1"/>
  <c r="AV18" i="1"/>
  <c r="BW18" i="1" s="1"/>
  <c r="BM17" i="1"/>
  <c r="BV17" i="1" s="1"/>
  <c r="BL17" i="1"/>
  <c r="BT17" i="1" s="1"/>
  <c r="BK17" i="1"/>
  <c r="BJ17" i="1"/>
  <c r="BI17" i="1"/>
  <c r="CB17" i="1" s="1"/>
  <c r="BH17" i="1"/>
  <c r="BG17" i="1"/>
  <c r="BF17" i="1"/>
  <c r="BS17" i="1" s="1"/>
  <c r="BE17" i="1"/>
  <c r="BR17" i="1" s="1"/>
  <c r="BD17" i="1"/>
  <c r="BQ17" i="1" s="1"/>
  <c r="BC17" i="1"/>
  <c r="BP17" i="1" s="1"/>
  <c r="BB17" i="1"/>
  <c r="BO17" i="1" s="1"/>
  <c r="BA17" i="1"/>
  <c r="BN17" i="1" s="1"/>
  <c r="AZ17" i="1"/>
  <c r="BZ17" i="1" s="1"/>
  <c r="AY17" i="1"/>
  <c r="BY17" i="1" s="1"/>
  <c r="AX17" i="1"/>
  <c r="AW17" i="1"/>
  <c r="AV17" i="1"/>
  <c r="BW17" i="1" s="1"/>
  <c r="BM16" i="1"/>
  <c r="BV16" i="1" s="1"/>
  <c r="BL16" i="1"/>
  <c r="BT16" i="1" s="1"/>
  <c r="BK16" i="1"/>
  <c r="BJ16" i="1"/>
  <c r="BI16" i="1"/>
  <c r="CB16" i="1" s="1"/>
  <c r="BH16" i="1"/>
  <c r="BG16" i="1"/>
  <c r="BF16" i="1"/>
  <c r="BS16" i="1" s="1"/>
  <c r="BE16" i="1"/>
  <c r="BR16" i="1" s="1"/>
  <c r="BD16" i="1"/>
  <c r="BQ16" i="1" s="1"/>
  <c r="BC16" i="1"/>
  <c r="BP16" i="1" s="1"/>
  <c r="BB16" i="1"/>
  <c r="BO16" i="1" s="1"/>
  <c r="BA16" i="1"/>
  <c r="BN16" i="1" s="1"/>
  <c r="AZ16" i="1"/>
  <c r="BZ16" i="1" s="1"/>
  <c r="AY16" i="1"/>
  <c r="BY16" i="1" s="1"/>
  <c r="AX16" i="1"/>
  <c r="AW16" i="1"/>
  <c r="AV16" i="1"/>
  <c r="BW16" i="1" s="1"/>
  <c r="BM15" i="1"/>
  <c r="BV15" i="1" s="1"/>
  <c r="BL15" i="1"/>
  <c r="BT15" i="1" s="1"/>
  <c r="BK15" i="1"/>
  <c r="BJ15" i="1"/>
  <c r="BI15" i="1"/>
  <c r="CB15" i="1" s="1"/>
  <c r="BH15" i="1"/>
  <c r="BG15" i="1"/>
  <c r="BF15" i="1"/>
  <c r="BS15" i="1" s="1"/>
  <c r="BE15" i="1"/>
  <c r="BR15" i="1" s="1"/>
  <c r="BD15" i="1"/>
  <c r="BQ15" i="1" s="1"/>
  <c r="BC15" i="1"/>
  <c r="BP15" i="1" s="1"/>
  <c r="BB15" i="1"/>
  <c r="BO15" i="1" s="1"/>
  <c r="BA15" i="1"/>
  <c r="BN15" i="1" s="1"/>
  <c r="AZ15" i="1"/>
  <c r="BZ15" i="1" s="1"/>
  <c r="AY15" i="1"/>
  <c r="BY15" i="1" s="1"/>
  <c r="AX15" i="1"/>
  <c r="AW15" i="1"/>
  <c r="AV15" i="1"/>
  <c r="BM14" i="1"/>
  <c r="BV14" i="1" s="1"/>
  <c r="BL14" i="1"/>
  <c r="BT14" i="1" s="1"/>
  <c r="BK14" i="1"/>
  <c r="BJ14" i="1"/>
  <c r="BI14" i="1"/>
  <c r="CB14" i="1" s="1"/>
  <c r="BH14" i="1"/>
  <c r="BG14" i="1"/>
  <c r="BF14" i="1"/>
  <c r="BS14" i="1" s="1"/>
  <c r="BE14" i="1"/>
  <c r="BR14" i="1" s="1"/>
  <c r="BD14" i="1"/>
  <c r="BQ14" i="1" s="1"/>
  <c r="BC14" i="1"/>
  <c r="BP14" i="1" s="1"/>
  <c r="BB14" i="1"/>
  <c r="BO14" i="1" s="1"/>
  <c r="BA14" i="1"/>
  <c r="BN14" i="1" s="1"/>
  <c r="AZ14" i="1"/>
  <c r="BZ14" i="1" s="1"/>
  <c r="AY14" i="1"/>
  <c r="BY14" i="1" s="1"/>
  <c r="AX14" i="1"/>
  <c r="AW14" i="1"/>
  <c r="AV14" i="1"/>
  <c r="BW14" i="1" s="1"/>
  <c r="BM13" i="1"/>
  <c r="BV13" i="1" s="1"/>
  <c r="BL13" i="1"/>
  <c r="BT13" i="1" s="1"/>
  <c r="BK13" i="1"/>
  <c r="BJ13" i="1"/>
  <c r="BI13" i="1"/>
  <c r="CB13" i="1" s="1"/>
  <c r="BH13" i="1"/>
  <c r="BG13" i="1"/>
  <c r="BF13" i="1"/>
  <c r="BS13" i="1" s="1"/>
  <c r="BE13" i="1"/>
  <c r="BR13" i="1" s="1"/>
  <c r="BD13" i="1"/>
  <c r="BQ13" i="1" s="1"/>
  <c r="BC13" i="1"/>
  <c r="BP13" i="1" s="1"/>
  <c r="BB13" i="1"/>
  <c r="BO13" i="1" s="1"/>
  <c r="BA13" i="1"/>
  <c r="BN13" i="1" s="1"/>
  <c r="AZ13" i="1"/>
  <c r="BZ13" i="1" s="1"/>
  <c r="AY13" i="1"/>
  <c r="BY13" i="1" s="1"/>
  <c r="AX13" i="1"/>
  <c r="AW13" i="1"/>
  <c r="AV13" i="1"/>
  <c r="BW13" i="1" s="1"/>
  <c r="BM12" i="1"/>
  <c r="BV12" i="1" s="1"/>
  <c r="BL12" i="1"/>
  <c r="BT12" i="1" s="1"/>
  <c r="BK12" i="1"/>
  <c r="BJ12" i="1"/>
  <c r="BI12" i="1"/>
  <c r="CB12" i="1" s="1"/>
  <c r="BH12" i="1"/>
  <c r="BG12" i="1"/>
  <c r="BF12" i="1"/>
  <c r="BS12" i="1" s="1"/>
  <c r="BE12" i="1"/>
  <c r="BR12" i="1" s="1"/>
  <c r="BD12" i="1"/>
  <c r="BQ12" i="1" s="1"/>
  <c r="BC12" i="1"/>
  <c r="BP12" i="1" s="1"/>
  <c r="BB12" i="1"/>
  <c r="BO12" i="1" s="1"/>
  <c r="BA12" i="1"/>
  <c r="BN12" i="1" s="1"/>
  <c r="AZ12" i="1"/>
  <c r="BZ12" i="1" s="1"/>
  <c r="AY12" i="1"/>
  <c r="BY12" i="1" s="1"/>
  <c r="AX12" i="1"/>
  <c r="AW12" i="1"/>
  <c r="AV12" i="1"/>
  <c r="BM11" i="1"/>
  <c r="BV11" i="1" s="1"/>
  <c r="BL11" i="1"/>
  <c r="BT11" i="1" s="1"/>
  <c r="BK11" i="1"/>
  <c r="BJ11" i="1"/>
  <c r="BI11" i="1"/>
  <c r="CB11" i="1" s="1"/>
  <c r="BH11" i="1"/>
  <c r="BG11" i="1"/>
  <c r="BF11" i="1"/>
  <c r="BS11" i="1" s="1"/>
  <c r="BE11" i="1"/>
  <c r="BR11" i="1" s="1"/>
  <c r="BD11" i="1"/>
  <c r="BQ11" i="1" s="1"/>
  <c r="BC11" i="1"/>
  <c r="BP11" i="1" s="1"/>
  <c r="BB11" i="1"/>
  <c r="BO11" i="1" s="1"/>
  <c r="BA11" i="1"/>
  <c r="BN11" i="1" s="1"/>
  <c r="AZ11" i="1"/>
  <c r="BZ11" i="1" s="1"/>
  <c r="AY11" i="1"/>
  <c r="BY11" i="1" s="1"/>
  <c r="AX11" i="1"/>
  <c r="AW11" i="1"/>
  <c r="AV11" i="1"/>
  <c r="BW11" i="1" s="1"/>
  <c r="BM10" i="1"/>
  <c r="BV10" i="1" s="1"/>
  <c r="BL10" i="1"/>
  <c r="BT10" i="1" s="1"/>
  <c r="BK10" i="1"/>
  <c r="BJ10" i="1"/>
  <c r="BI10" i="1"/>
  <c r="CB10" i="1" s="1"/>
  <c r="BH10" i="1"/>
  <c r="BG10" i="1"/>
  <c r="BF10" i="1"/>
  <c r="BS10" i="1" s="1"/>
  <c r="BE10" i="1"/>
  <c r="BR10" i="1" s="1"/>
  <c r="BD10" i="1"/>
  <c r="BQ10" i="1" s="1"/>
  <c r="BC10" i="1"/>
  <c r="BP10" i="1" s="1"/>
  <c r="BB10" i="1"/>
  <c r="BO10" i="1" s="1"/>
  <c r="BA10" i="1"/>
  <c r="BN10" i="1" s="1"/>
  <c r="AZ10" i="1"/>
  <c r="BZ10" i="1" s="1"/>
  <c r="AY10" i="1"/>
  <c r="BY10" i="1" s="1"/>
  <c r="AX10" i="1"/>
  <c r="AW10" i="1"/>
  <c r="AV10" i="1"/>
  <c r="BW10" i="1" s="1"/>
  <c r="BM9" i="1"/>
  <c r="BV9" i="1" s="1"/>
  <c r="BL9" i="1"/>
  <c r="BT9" i="1" s="1"/>
  <c r="BK9" i="1"/>
  <c r="BJ9" i="1"/>
  <c r="BI9" i="1"/>
  <c r="CB9" i="1" s="1"/>
  <c r="BH9" i="1"/>
  <c r="BG9" i="1"/>
  <c r="BF9" i="1"/>
  <c r="BS9" i="1" s="1"/>
  <c r="BE9" i="1"/>
  <c r="BR9" i="1" s="1"/>
  <c r="BD9" i="1"/>
  <c r="BQ9" i="1" s="1"/>
  <c r="BC9" i="1"/>
  <c r="BP9" i="1" s="1"/>
  <c r="BB9" i="1"/>
  <c r="BO9" i="1" s="1"/>
  <c r="BA9" i="1"/>
  <c r="BN9" i="1" s="1"/>
  <c r="AZ9" i="1"/>
  <c r="BZ9" i="1" s="1"/>
  <c r="AY9" i="1"/>
  <c r="BY9" i="1" s="1"/>
  <c r="AX9" i="1"/>
  <c r="AW9" i="1"/>
  <c r="AV9" i="1"/>
  <c r="BW9" i="1" s="1"/>
  <c r="BM8" i="1"/>
  <c r="BV8" i="1" s="1"/>
  <c r="BL8" i="1"/>
  <c r="BT8" i="1" s="1"/>
  <c r="BK8" i="1"/>
  <c r="BJ8" i="1"/>
  <c r="BI8" i="1"/>
  <c r="CB8" i="1" s="1"/>
  <c r="BH8" i="1"/>
  <c r="BG8" i="1"/>
  <c r="BF8" i="1"/>
  <c r="BS8" i="1" s="1"/>
  <c r="BE8" i="1"/>
  <c r="BR8" i="1" s="1"/>
  <c r="BD8" i="1"/>
  <c r="BQ8" i="1" s="1"/>
  <c r="BC8" i="1"/>
  <c r="BP8" i="1" s="1"/>
  <c r="BB8" i="1"/>
  <c r="BO8" i="1" s="1"/>
  <c r="BA8" i="1"/>
  <c r="BN8" i="1" s="1"/>
  <c r="AZ8" i="1"/>
  <c r="BZ8" i="1" s="1"/>
  <c r="AY8" i="1"/>
  <c r="BY8" i="1" s="1"/>
  <c r="AX8" i="1"/>
  <c r="AW8" i="1"/>
  <c r="AV8" i="1"/>
  <c r="BW8" i="1" s="1"/>
  <c r="BM7" i="1"/>
  <c r="BV7" i="1" s="1"/>
  <c r="BL7" i="1"/>
  <c r="BT7" i="1" s="1"/>
  <c r="BK7" i="1"/>
  <c r="BJ7" i="1"/>
  <c r="BI7" i="1"/>
  <c r="CB7" i="1" s="1"/>
  <c r="BH7" i="1"/>
  <c r="BG7" i="1"/>
  <c r="BF7" i="1"/>
  <c r="BS7" i="1" s="1"/>
  <c r="BE7" i="1"/>
  <c r="BR7" i="1" s="1"/>
  <c r="BD7" i="1"/>
  <c r="BQ7" i="1" s="1"/>
  <c r="BC7" i="1"/>
  <c r="BP7" i="1" s="1"/>
  <c r="BB7" i="1"/>
  <c r="BO7" i="1" s="1"/>
  <c r="BA7" i="1"/>
  <c r="BN7" i="1" s="1"/>
  <c r="AZ7" i="1"/>
  <c r="BZ7" i="1" s="1"/>
  <c r="AY7" i="1"/>
  <c r="BY7" i="1" s="1"/>
  <c r="AX7" i="1"/>
  <c r="AW7" i="1"/>
  <c r="AV7" i="1"/>
  <c r="BW7" i="1" s="1"/>
  <c r="BM6" i="1"/>
  <c r="BV6" i="1" s="1"/>
  <c r="BL6" i="1"/>
  <c r="BT6" i="1" s="1"/>
  <c r="BK6" i="1"/>
  <c r="BJ6" i="1"/>
  <c r="BI6" i="1"/>
  <c r="CB6" i="1" s="1"/>
  <c r="BH6" i="1"/>
  <c r="BG6" i="1"/>
  <c r="BF6" i="1"/>
  <c r="BS6" i="1" s="1"/>
  <c r="BE6" i="1"/>
  <c r="BR6" i="1" s="1"/>
  <c r="BD6" i="1"/>
  <c r="BQ6" i="1" s="1"/>
  <c r="BC6" i="1"/>
  <c r="BP6" i="1" s="1"/>
  <c r="BB6" i="1"/>
  <c r="BO6" i="1" s="1"/>
  <c r="BA6" i="1"/>
  <c r="BN6" i="1" s="1"/>
  <c r="AZ6" i="1"/>
  <c r="BZ6" i="1" s="1"/>
  <c r="AY6" i="1"/>
  <c r="BY6" i="1" s="1"/>
  <c r="AX6" i="1"/>
  <c r="AW6" i="1"/>
  <c r="AV6" i="1"/>
  <c r="BW6" i="1" s="1"/>
  <c r="BM5" i="1"/>
  <c r="BV5" i="1" s="1"/>
  <c r="BL5" i="1"/>
  <c r="BT5" i="1" s="1"/>
  <c r="BK5" i="1"/>
  <c r="BJ5" i="1"/>
  <c r="BI5" i="1"/>
  <c r="CB5" i="1" s="1"/>
  <c r="BH5" i="1"/>
  <c r="BG5" i="1"/>
  <c r="BF5" i="1"/>
  <c r="BS5" i="1" s="1"/>
  <c r="BE5" i="1"/>
  <c r="BR5" i="1" s="1"/>
  <c r="BD5" i="1"/>
  <c r="BQ5" i="1" s="1"/>
  <c r="BC5" i="1"/>
  <c r="BP5" i="1" s="1"/>
  <c r="BB5" i="1"/>
  <c r="BO5" i="1" s="1"/>
  <c r="BA5" i="1"/>
  <c r="BN5" i="1" s="1"/>
  <c r="AZ5" i="1"/>
  <c r="BZ5" i="1" s="1"/>
  <c r="AY5" i="1"/>
  <c r="BY5" i="1" s="1"/>
  <c r="AX5" i="1"/>
  <c r="AW5" i="1"/>
  <c r="AV5" i="1"/>
  <c r="BW5" i="1" s="1"/>
  <c r="BM4" i="1"/>
  <c r="BV4" i="1" s="1"/>
  <c r="BL4" i="1"/>
  <c r="BT4" i="1" s="1"/>
  <c r="BK4" i="1"/>
  <c r="BJ4" i="1"/>
  <c r="BI4" i="1"/>
  <c r="CB4" i="1" s="1"/>
  <c r="BH4" i="1"/>
  <c r="BG4" i="1"/>
  <c r="BF4" i="1"/>
  <c r="BS4" i="1" s="1"/>
  <c r="BE4" i="1"/>
  <c r="BR4" i="1" s="1"/>
  <c r="BD4" i="1"/>
  <c r="BQ4" i="1" s="1"/>
  <c r="BC4" i="1"/>
  <c r="BP4" i="1" s="1"/>
  <c r="BB4" i="1"/>
  <c r="BO4" i="1" s="1"/>
  <c r="BA4" i="1"/>
  <c r="BN4" i="1" s="1"/>
  <c r="AZ4" i="1"/>
  <c r="BZ4" i="1" s="1"/>
  <c r="AY4" i="1"/>
  <c r="BY4" i="1" s="1"/>
  <c r="AX4" i="1"/>
  <c r="AW4" i="1"/>
  <c r="AV4" i="1"/>
  <c r="BW4" i="1" s="1"/>
  <c r="BM3" i="1"/>
  <c r="BV3" i="1" s="1"/>
  <c r="BL3" i="1"/>
  <c r="BT3" i="1" s="1"/>
  <c r="BK3" i="1"/>
  <c r="BJ3" i="1"/>
  <c r="BI3" i="1"/>
  <c r="CB3" i="1" s="1"/>
  <c r="BH3" i="1"/>
  <c r="BG3" i="1"/>
  <c r="BF3" i="1"/>
  <c r="BS3" i="1" s="1"/>
  <c r="BE3" i="1"/>
  <c r="BR3" i="1" s="1"/>
  <c r="BD3" i="1"/>
  <c r="BQ3" i="1" s="1"/>
  <c r="BC3" i="1"/>
  <c r="BP3" i="1" s="1"/>
  <c r="BB3" i="1"/>
  <c r="BO3" i="1" s="1"/>
  <c r="BA3" i="1"/>
  <c r="BN3" i="1" s="1"/>
  <c r="AZ3" i="1"/>
  <c r="BZ3" i="1" s="1"/>
  <c r="AY3" i="1"/>
  <c r="BY3" i="1" s="1"/>
  <c r="AX3" i="1"/>
  <c r="AW3" i="1"/>
  <c r="AV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BM2" i="1"/>
  <c r="BV2" i="1" s="1"/>
  <c r="BL2" i="1"/>
  <c r="BT2" i="1" s="1"/>
  <c r="BK2" i="1"/>
  <c r="BJ2" i="1"/>
  <c r="BI2" i="1"/>
  <c r="CB2" i="1" s="1"/>
  <c r="BH2" i="1"/>
  <c r="BG2" i="1"/>
  <c r="BF2" i="1"/>
  <c r="BS2" i="1" s="1"/>
  <c r="BE2" i="1"/>
  <c r="BR2" i="1" s="1"/>
  <c r="BD2" i="1"/>
  <c r="BQ2" i="1" s="1"/>
  <c r="BC2" i="1"/>
  <c r="BP2" i="1" s="1"/>
  <c r="BB2" i="1"/>
  <c r="BO2" i="1" s="1"/>
  <c r="BA2" i="1"/>
  <c r="BN2" i="1" s="1"/>
  <c r="AZ2" i="1"/>
  <c r="BZ2" i="1" s="1"/>
  <c r="AY2" i="1"/>
  <c r="BY2" i="1" s="1"/>
  <c r="AX2" i="1"/>
  <c r="AW2" i="1"/>
  <c r="AV2" i="1"/>
  <c r="BW2" i="1" s="1"/>
  <c r="CA276" i="1" l="1"/>
  <c r="CA296" i="1"/>
  <c r="CA316" i="1"/>
  <c r="CA336" i="1"/>
  <c r="CA356" i="1"/>
  <c r="CA376" i="1"/>
  <c r="CA156" i="1"/>
  <c r="CA196" i="1"/>
  <c r="CA76" i="1"/>
  <c r="CA116" i="1"/>
  <c r="CA236" i="1"/>
  <c r="CA96" i="1"/>
  <c r="CA176" i="1"/>
  <c r="CA216" i="1"/>
  <c r="CA16" i="1"/>
  <c r="CA56" i="1"/>
  <c r="CA15" i="1"/>
  <c r="CA35" i="1"/>
  <c r="CA55" i="1"/>
  <c r="CA75" i="1"/>
  <c r="CA95" i="1"/>
  <c r="CA115" i="1"/>
  <c r="CA135" i="1"/>
  <c r="CA155" i="1"/>
  <c r="CA175" i="1"/>
  <c r="CA195" i="1"/>
  <c r="CA215" i="1"/>
  <c r="CA235" i="1"/>
  <c r="CA255" i="1"/>
  <c r="CA275" i="1"/>
  <c r="CA295" i="1"/>
  <c r="CA315" i="1"/>
  <c r="CA335" i="1"/>
  <c r="CA355" i="1"/>
  <c r="CA375" i="1"/>
  <c r="BU567" i="1"/>
  <c r="BU566" i="1"/>
  <c r="BU307" i="1"/>
  <c r="BU407" i="1"/>
  <c r="BU446" i="1"/>
  <c r="BU305" i="1"/>
  <c r="BU323" i="1"/>
  <c r="BU343" i="1"/>
  <c r="BU363" i="1"/>
  <c r="BU383" i="1"/>
  <c r="BU403" i="1"/>
  <c r="BU423" i="1"/>
  <c r="BU443" i="1"/>
  <c r="BU463" i="1"/>
  <c r="BU483" i="1"/>
  <c r="BU523" i="1"/>
  <c r="BU543" i="1"/>
  <c r="BU563" i="1"/>
  <c r="BU560" i="1"/>
  <c r="BU518" i="1"/>
  <c r="BU538" i="1"/>
  <c r="BU558" i="1"/>
  <c r="BU267" i="1"/>
  <c r="BU527" i="1"/>
  <c r="BU306" i="1"/>
  <c r="BU526" i="1"/>
  <c r="BU546" i="1"/>
  <c r="BU485" i="1"/>
  <c r="BU384" i="1"/>
  <c r="BU444" i="1"/>
  <c r="BU464" i="1"/>
  <c r="BU524" i="1"/>
  <c r="BU544" i="1"/>
  <c r="BU564" i="1"/>
  <c r="BU302" i="1"/>
  <c r="BU462" i="1"/>
  <c r="BU482" i="1"/>
  <c r="BU420" i="1"/>
  <c r="BU460" i="1"/>
  <c r="BU480" i="1"/>
  <c r="BU520" i="1"/>
  <c r="BU497" i="1"/>
  <c r="BU517" i="1"/>
  <c r="BU537" i="1"/>
  <c r="BU557" i="1"/>
  <c r="BU227" i="1"/>
  <c r="BU226" i="1"/>
  <c r="BU266" i="1"/>
  <c r="BU466" i="1"/>
  <c r="BU325" i="1"/>
  <c r="BU425" i="1"/>
  <c r="BU498" i="1"/>
  <c r="BU536" i="1"/>
  <c r="BU556" i="1"/>
  <c r="BU559" i="1"/>
  <c r="BU535" i="1"/>
  <c r="BU555" i="1"/>
  <c r="BU427" i="1"/>
  <c r="BU487" i="1"/>
  <c r="BU286" i="1"/>
  <c r="BU366" i="1"/>
  <c r="BU486" i="1"/>
  <c r="BU245" i="1"/>
  <c r="BU345" i="1"/>
  <c r="BU242" i="1"/>
  <c r="BU241" i="1"/>
  <c r="BU481" i="1"/>
  <c r="BU257" i="1"/>
  <c r="BU297" i="1"/>
  <c r="BU356" i="1"/>
  <c r="BU396" i="1"/>
  <c r="BU395" i="1"/>
  <c r="BU455" i="1"/>
  <c r="BU475" i="1"/>
  <c r="BU234" i="1"/>
  <c r="BU254" i="1"/>
  <c r="BU274" i="1"/>
  <c r="BU294" i="1"/>
  <c r="BU314" i="1"/>
  <c r="BU334" i="1"/>
  <c r="BU354" i="1"/>
  <c r="BU374" i="1"/>
  <c r="BU394" i="1"/>
  <c r="BU414" i="1"/>
  <c r="BU434" i="1"/>
  <c r="BU454" i="1"/>
  <c r="BU474" i="1"/>
  <c r="BU494" i="1"/>
  <c r="BU514" i="1"/>
  <c r="BU534" i="1"/>
  <c r="BU554" i="1"/>
  <c r="BU347" i="1"/>
  <c r="BU386" i="1"/>
  <c r="BU406" i="1"/>
  <c r="BU525" i="1"/>
  <c r="BU284" i="1"/>
  <c r="BU243" i="1"/>
  <c r="BU402" i="1"/>
  <c r="BU301" i="1"/>
  <c r="BU401" i="1"/>
  <c r="BU441" i="1"/>
  <c r="BU238" i="1"/>
  <c r="BU237" i="1"/>
  <c r="BU476" i="1"/>
  <c r="BU516" i="1"/>
  <c r="BU355" i="1"/>
  <c r="BU375" i="1"/>
  <c r="BU415" i="1"/>
  <c r="BU435" i="1"/>
  <c r="BU515" i="1"/>
  <c r="BU233" i="1"/>
  <c r="BU253" i="1"/>
  <c r="BU273" i="1"/>
  <c r="BU293" i="1"/>
  <c r="BU313" i="1"/>
  <c r="BU333" i="1"/>
  <c r="BU353" i="1"/>
  <c r="BU373" i="1"/>
  <c r="BU393" i="1"/>
  <c r="BU413" i="1"/>
  <c r="BU433" i="1"/>
  <c r="BU453" i="1"/>
  <c r="BU473" i="1"/>
  <c r="BU493" i="1"/>
  <c r="BU533" i="1"/>
  <c r="BU553" i="1"/>
  <c r="BU367" i="1"/>
  <c r="BU547" i="1"/>
  <c r="BU246" i="1"/>
  <c r="BU285" i="1"/>
  <c r="BU405" i="1"/>
  <c r="BU224" i="1"/>
  <c r="BU282" i="1"/>
  <c r="BU342" i="1"/>
  <c r="BU542" i="1"/>
  <c r="BU562" i="1"/>
  <c r="BU320" i="1"/>
  <c r="BU239" i="1"/>
  <c r="BU479" i="1"/>
  <c r="BU438" i="1"/>
  <c r="BU436" i="1"/>
  <c r="BU232" i="1"/>
  <c r="BU252" i="1"/>
  <c r="BU272" i="1"/>
  <c r="BU292" i="1"/>
  <c r="BU312" i="1"/>
  <c r="BU332" i="1"/>
  <c r="BU352" i="1"/>
  <c r="BU372" i="1"/>
  <c r="BU392" i="1"/>
  <c r="BU412" i="1"/>
  <c r="BU432" i="1"/>
  <c r="BU452" i="1"/>
  <c r="BU472" i="1"/>
  <c r="BU492" i="1"/>
  <c r="BU512" i="1"/>
  <c r="BU532" i="1"/>
  <c r="BU552" i="1"/>
  <c r="BU571" i="1"/>
  <c r="BU327" i="1"/>
  <c r="BU447" i="1"/>
  <c r="BU326" i="1"/>
  <c r="BU426" i="1"/>
  <c r="BU445" i="1"/>
  <c r="BU465" i="1"/>
  <c r="BU545" i="1"/>
  <c r="BU362" i="1"/>
  <c r="BU522" i="1"/>
  <c r="BU361" i="1"/>
  <c r="BU461" i="1"/>
  <c r="BU298" i="1"/>
  <c r="BU338" i="1"/>
  <c r="BU358" i="1"/>
  <c r="BU377" i="1"/>
  <c r="BU275" i="1"/>
  <c r="BU231" i="1"/>
  <c r="BU251" i="1"/>
  <c r="BU271" i="1"/>
  <c r="BU291" i="1"/>
  <c r="BU311" i="1"/>
  <c r="BU331" i="1"/>
  <c r="BU351" i="1"/>
  <c r="BU371" i="1"/>
  <c r="BU391" i="1"/>
  <c r="BU411" i="1"/>
  <c r="BU431" i="1"/>
  <c r="BU451" i="1"/>
  <c r="BU471" i="1"/>
  <c r="BU491" i="1"/>
  <c r="BU511" i="1"/>
  <c r="BU531" i="1"/>
  <c r="BU551" i="1"/>
  <c r="BU570" i="1"/>
  <c r="BU264" i="1"/>
  <c r="BU364" i="1"/>
  <c r="BU322" i="1"/>
  <c r="BU422" i="1"/>
  <c r="BU381" i="1"/>
  <c r="BU521" i="1"/>
  <c r="BU561" i="1"/>
  <c r="BU380" i="1"/>
  <c r="BU259" i="1"/>
  <c r="BU299" i="1"/>
  <c r="BU319" i="1"/>
  <c r="BU459" i="1"/>
  <c r="BU499" i="1"/>
  <c r="BU258" i="1"/>
  <c r="BU318" i="1"/>
  <c r="BU378" i="1"/>
  <c r="BU478" i="1"/>
  <c r="BU397" i="1"/>
  <c r="BU236" i="1"/>
  <c r="BU256" i="1"/>
  <c r="BU296" i="1"/>
  <c r="BU335" i="1"/>
  <c r="BU230" i="1"/>
  <c r="BU250" i="1"/>
  <c r="BU270" i="1"/>
  <c r="BU290" i="1"/>
  <c r="BU310" i="1"/>
  <c r="BU330" i="1"/>
  <c r="BU350" i="1"/>
  <c r="BU370" i="1"/>
  <c r="BU390" i="1"/>
  <c r="BU410" i="1"/>
  <c r="BU430" i="1"/>
  <c r="BU450" i="1"/>
  <c r="BU470" i="1"/>
  <c r="BU490" i="1"/>
  <c r="BU510" i="1"/>
  <c r="BU530" i="1"/>
  <c r="BU550" i="1"/>
  <c r="BU569" i="1"/>
  <c r="BU387" i="1"/>
  <c r="BU346" i="1"/>
  <c r="BU385" i="1"/>
  <c r="BU565" i="1"/>
  <c r="BU244" i="1"/>
  <c r="BU304" i="1"/>
  <c r="BU324" i="1"/>
  <c r="BU344" i="1"/>
  <c r="BU424" i="1"/>
  <c r="BU223" i="1"/>
  <c r="BU263" i="1"/>
  <c r="BU283" i="1"/>
  <c r="BU262" i="1"/>
  <c r="BU382" i="1"/>
  <c r="BU442" i="1"/>
  <c r="BU321" i="1"/>
  <c r="BU341" i="1"/>
  <c r="BU541" i="1"/>
  <c r="BU280" i="1"/>
  <c r="BU340" i="1"/>
  <c r="BU400" i="1"/>
  <c r="BU279" i="1"/>
  <c r="BU278" i="1"/>
  <c r="BU418" i="1"/>
  <c r="BU477" i="1"/>
  <c r="BU276" i="1"/>
  <c r="BU316" i="1"/>
  <c r="BU376" i="1"/>
  <c r="BU416" i="1"/>
  <c r="BU456" i="1"/>
  <c r="BU255" i="1"/>
  <c r="BU315" i="1"/>
  <c r="BU229" i="1"/>
  <c r="BU249" i="1"/>
  <c r="BU269" i="1"/>
  <c r="BU289" i="1"/>
  <c r="BU309" i="1"/>
  <c r="BU329" i="1"/>
  <c r="BU349" i="1"/>
  <c r="BU369" i="1"/>
  <c r="BU389" i="1"/>
  <c r="BU409" i="1"/>
  <c r="BU429" i="1"/>
  <c r="BU449" i="1"/>
  <c r="BU469" i="1"/>
  <c r="BU489" i="1"/>
  <c r="BU529" i="1"/>
  <c r="BU549" i="1"/>
  <c r="BU247" i="1"/>
  <c r="BU287" i="1"/>
  <c r="BU467" i="1"/>
  <c r="BU225" i="1"/>
  <c r="BU265" i="1"/>
  <c r="BU365" i="1"/>
  <c r="BU404" i="1"/>
  <c r="BU484" i="1"/>
  <c r="BU303" i="1"/>
  <c r="BU281" i="1"/>
  <c r="BU421" i="1"/>
  <c r="BU240" i="1"/>
  <c r="BU300" i="1"/>
  <c r="BU360" i="1"/>
  <c r="BU440" i="1"/>
  <c r="BU540" i="1"/>
  <c r="BU339" i="1"/>
  <c r="BU359" i="1"/>
  <c r="BU379" i="1"/>
  <c r="BU399" i="1"/>
  <c r="BU419" i="1"/>
  <c r="BU439" i="1"/>
  <c r="BU519" i="1"/>
  <c r="BU539" i="1"/>
  <c r="BU398" i="1"/>
  <c r="BU458" i="1"/>
  <c r="BU277" i="1"/>
  <c r="BU317" i="1"/>
  <c r="BU337" i="1"/>
  <c r="BU357" i="1"/>
  <c r="BU417" i="1"/>
  <c r="BU437" i="1"/>
  <c r="BU457" i="1"/>
  <c r="BU336" i="1"/>
  <c r="BU496" i="1"/>
  <c r="BU235" i="1"/>
  <c r="BU295" i="1"/>
  <c r="BU228" i="1"/>
  <c r="BU248" i="1"/>
  <c r="BU268" i="1"/>
  <c r="BU288" i="1"/>
  <c r="BU308" i="1"/>
  <c r="BU328" i="1"/>
  <c r="BU348" i="1"/>
  <c r="BU368" i="1"/>
  <c r="BU388" i="1"/>
  <c r="BU408" i="1"/>
  <c r="BU428" i="1"/>
  <c r="BU448" i="1"/>
  <c r="BU468" i="1"/>
  <c r="BU488" i="1"/>
  <c r="BU528" i="1"/>
  <c r="BU548" i="1"/>
  <c r="BU568" i="1"/>
  <c r="CA256" i="1"/>
  <c r="CA231" i="1"/>
  <c r="CA102" i="1"/>
  <c r="CA122" i="1"/>
  <c r="CA162" i="1"/>
  <c r="CA182" i="1"/>
  <c r="CA202" i="1"/>
  <c r="CA222" i="1"/>
  <c r="CA242" i="1"/>
  <c r="CA262" i="1"/>
  <c r="CA282" i="1"/>
  <c r="CA302" i="1"/>
  <c r="CA322" i="1"/>
  <c r="CA342" i="1"/>
  <c r="CA362" i="1"/>
  <c r="CA101" i="1"/>
  <c r="CA121" i="1"/>
  <c r="CA62" i="1"/>
  <c r="CA82" i="1"/>
  <c r="BX533" i="1"/>
  <c r="CA533" i="1"/>
  <c r="BX553" i="1"/>
  <c r="CA553" i="1"/>
  <c r="BX492" i="1"/>
  <c r="CA492" i="1"/>
  <c r="BX512" i="1"/>
  <c r="CA512" i="1"/>
  <c r="BX532" i="1"/>
  <c r="CA532" i="1"/>
  <c r="BX552" i="1"/>
  <c r="CA552" i="1"/>
  <c r="BX571" i="1"/>
  <c r="CA571" i="1"/>
  <c r="BX395" i="1"/>
  <c r="CA395" i="1"/>
  <c r="BX570" i="1"/>
  <c r="CA570" i="1"/>
  <c r="CA214" i="1"/>
  <c r="CA153" i="1"/>
  <c r="BX472" i="1"/>
  <c r="CA472" i="1"/>
  <c r="CA311" i="1"/>
  <c r="BX451" i="1"/>
  <c r="CA451" i="1"/>
  <c r="BX471" i="1"/>
  <c r="CA471" i="1"/>
  <c r="CA170" i="1"/>
  <c r="CA290" i="1"/>
  <c r="BX410" i="1"/>
  <c r="CA410" i="1"/>
  <c r="BX470" i="1"/>
  <c r="CA470" i="1"/>
  <c r="CA309" i="1"/>
  <c r="CA329" i="1"/>
  <c r="CA349" i="1"/>
  <c r="CA369" i="1"/>
  <c r="BX389" i="1"/>
  <c r="CA389" i="1"/>
  <c r="BX409" i="1"/>
  <c r="CA409" i="1"/>
  <c r="BX429" i="1"/>
  <c r="CA429" i="1"/>
  <c r="BX449" i="1"/>
  <c r="CA449" i="1"/>
  <c r="BX469" i="1"/>
  <c r="CA469" i="1"/>
  <c r="BX489" i="1"/>
  <c r="CA489" i="1"/>
  <c r="BX509" i="1"/>
  <c r="CA509" i="1"/>
  <c r="BX529" i="1"/>
  <c r="CA529" i="1"/>
  <c r="BX549" i="1"/>
  <c r="CA549" i="1"/>
  <c r="BX569" i="1"/>
  <c r="CA569" i="1"/>
  <c r="BX456" i="1"/>
  <c r="CA456" i="1"/>
  <c r="CA107" i="1"/>
  <c r="CA207" i="1"/>
  <c r="CA287" i="1"/>
  <c r="CA347" i="1"/>
  <c r="CA367" i="1"/>
  <c r="BX387" i="1"/>
  <c r="CA387" i="1"/>
  <c r="BX427" i="1"/>
  <c r="CA427" i="1"/>
  <c r="BX487" i="1"/>
  <c r="CA487" i="1"/>
  <c r="CA286" i="1"/>
  <c r="CA306" i="1"/>
  <c r="CA326" i="1"/>
  <c r="CA346" i="1"/>
  <c r="CA366" i="1"/>
  <c r="BX386" i="1"/>
  <c r="CA386" i="1"/>
  <c r="BX406" i="1"/>
  <c r="CA406" i="1"/>
  <c r="BX426" i="1"/>
  <c r="CA426" i="1"/>
  <c r="BX446" i="1"/>
  <c r="CA446" i="1"/>
  <c r="BX466" i="1"/>
  <c r="CA466" i="1"/>
  <c r="BX486" i="1"/>
  <c r="CA486" i="1"/>
  <c r="BX506" i="1"/>
  <c r="CA506" i="1"/>
  <c r="BX526" i="1"/>
  <c r="CA526" i="1"/>
  <c r="BX546" i="1"/>
  <c r="CA546" i="1"/>
  <c r="BX566" i="1"/>
  <c r="CA566" i="1"/>
  <c r="CA114" i="1"/>
  <c r="CA68" i="1"/>
  <c r="CA7" i="1"/>
  <c r="CA105" i="1"/>
  <c r="BX505" i="1"/>
  <c r="CA505" i="1"/>
  <c r="BX545" i="1"/>
  <c r="CA545" i="1"/>
  <c r="BX565" i="1"/>
  <c r="CA565" i="1"/>
  <c r="BX496" i="1"/>
  <c r="CA496" i="1"/>
  <c r="BX415" i="1"/>
  <c r="CA415" i="1"/>
  <c r="BX495" i="1"/>
  <c r="CA495" i="1"/>
  <c r="CA194" i="1"/>
  <c r="CA93" i="1"/>
  <c r="BX413" i="1"/>
  <c r="CA413" i="1"/>
  <c r="BX433" i="1"/>
  <c r="CA433" i="1"/>
  <c r="BX473" i="1"/>
  <c r="CA473" i="1"/>
  <c r="CA112" i="1"/>
  <c r="CA292" i="1"/>
  <c r="BX412" i="1"/>
  <c r="CA412" i="1"/>
  <c r="BX432" i="1"/>
  <c r="CA432" i="1"/>
  <c r="CA111" i="1"/>
  <c r="CA211" i="1"/>
  <c r="BX491" i="1"/>
  <c r="CA491" i="1"/>
  <c r="CA30" i="1"/>
  <c r="CA190" i="1"/>
  <c r="CA350" i="1"/>
  <c r="BX390" i="1"/>
  <c r="CA390" i="1"/>
  <c r="CA29" i="1"/>
  <c r="CA69" i="1"/>
  <c r="CA129" i="1"/>
  <c r="CA169" i="1"/>
  <c r="CA46" i="1"/>
  <c r="CA106" i="1"/>
  <c r="CA285" i="1"/>
  <c r="CA44" i="1"/>
  <c r="CA64" i="1"/>
  <c r="CA84" i="1"/>
  <c r="CA104" i="1"/>
  <c r="CA124" i="1"/>
  <c r="CA144" i="1"/>
  <c r="CA164" i="1"/>
  <c r="CA184" i="1"/>
  <c r="CA204" i="1"/>
  <c r="CA224" i="1"/>
  <c r="CA244" i="1"/>
  <c r="CA264" i="1"/>
  <c r="CA284" i="1"/>
  <c r="CA304" i="1"/>
  <c r="CA324" i="1"/>
  <c r="CA344" i="1"/>
  <c r="CA364" i="1"/>
  <c r="BX384" i="1"/>
  <c r="CA384" i="1"/>
  <c r="BX404" i="1"/>
  <c r="CA404" i="1"/>
  <c r="BX424" i="1"/>
  <c r="CA424" i="1"/>
  <c r="BX444" i="1"/>
  <c r="CA444" i="1"/>
  <c r="BX464" i="1"/>
  <c r="CA464" i="1"/>
  <c r="BX484" i="1"/>
  <c r="CA484" i="1"/>
  <c r="BX504" i="1"/>
  <c r="CA504" i="1"/>
  <c r="BX524" i="1"/>
  <c r="CA524" i="1"/>
  <c r="BX544" i="1"/>
  <c r="CA544" i="1"/>
  <c r="BX564" i="1"/>
  <c r="CA564" i="1"/>
  <c r="BX516" i="1"/>
  <c r="CA516" i="1"/>
  <c r="CA74" i="1"/>
  <c r="CA274" i="1"/>
  <c r="BX394" i="1"/>
  <c r="CA394" i="1"/>
  <c r="CA173" i="1"/>
  <c r="CA273" i="1"/>
  <c r="CA333" i="1"/>
  <c r="CA52" i="1"/>
  <c r="BX392" i="1"/>
  <c r="CA392" i="1"/>
  <c r="CA310" i="1"/>
  <c r="BX530" i="1"/>
  <c r="CA530" i="1"/>
  <c r="BX550" i="1"/>
  <c r="CA550" i="1"/>
  <c r="CA89" i="1"/>
  <c r="CA268" i="1"/>
  <c r="CA327" i="1"/>
  <c r="BX467" i="1"/>
  <c r="CA467" i="1"/>
  <c r="BX547" i="1"/>
  <c r="CA547" i="1"/>
  <c r="CA86" i="1"/>
  <c r="CA226" i="1"/>
  <c r="CA145" i="1"/>
  <c r="CA345" i="1"/>
  <c r="BX385" i="1"/>
  <c r="CA385" i="1"/>
  <c r="BX425" i="1"/>
  <c r="CA425" i="1"/>
  <c r="CA63" i="1"/>
  <c r="CA83" i="1"/>
  <c r="CA103" i="1"/>
  <c r="CA123" i="1"/>
  <c r="CA163" i="1"/>
  <c r="CA183" i="1"/>
  <c r="CA203" i="1"/>
  <c r="CA223" i="1"/>
  <c r="CA243" i="1"/>
  <c r="CA263" i="1"/>
  <c r="CA283" i="1"/>
  <c r="CA303" i="1"/>
  <c r="CA323" i="1"/>
  <c r="CA343" i="1"/>
  <c r="CA363" i="1"/>
  <c r="BX383" i="1"/>
  <c r="CA383" i="1"/>
  <c r="BX403" i="1"/>
  <c r="CA403" i="1"/>
  <c r="BX423" i="1"/>
  <c r="CA423" i="1"/>
  <c r="BX443" i="1"/>
  <c r="CA443" i="1"/>
  <c r="BX463" i="1"/>
  <c r="CA463" i="1"/>
  <c r="BX483" i="1"/>
  <c r="CA483" i="1"/>
  <c r="BX503" i="1"/>
  <c r="CA503" i="1"/>
  <c r="BX523" i="1"/>
  <c r="CA523" i="1"/>
  <c r="BX543" i="1"/>
  <c r="CA543" i="1"/>
  <c r="BX563" i="1"/>
  <c r="CA563" i="1"/>
  <c r="CA354" i="1"/>
  <c r="BX414" i="1"/>
  <c r="CA414" i="1"/>
  <c r="CA13" i="1"/>
  <c r="CA313" i="1"/>
  <c r="BX393" i="1"/>
  <c r="CA393" i="1"/>
  <c r="BX453" i="1"/>
  <c r="CA453" i="1"/>
  <c r="BX493" i="1"/>
  <c r="CA493" i="1"/>
  <c r="CA72" i="1"/>
  <c r="CA372" i="1"/>
  <c r="CA271" i="1"/>
  <c r="CA371" i="1"/>
  <c r="BX551" i="1"/>
  <c r="CA551" i="1"/>
  <c r="CA370" i="1"/>
  <c r="BX510" i="1"/>
  <c r="CA510" i="1"/>
  <c r="CA289" i="1"/>
  <c r="CA6" i="1"/>
  <c r="CA26" i="1"/>
  <c r="CA186" i="1"/>
  <c r="CA246" i="1"/>
  <c r="CA5" i="1"/>
  <c r="CA65" i="1"/>
  <c r="CA185" i="1"/>
  <c r="CA225" i="1"/>
  <c r="CA265" i="1"/>
  <c r="BX465" i="1"/>
  <c r="CA465" i="1"/>
  <c r="CA4" i="1"/>
  <c r="CA24" i="1"/>
  <c r="BX382" i="1"/>
  <c r="CA382" i="1"/>
  <c r="BX402" i="1"/>
  <c r="CA402" i="1"/>
  <c r="BX422" i="1"/>
  <c r="CA422" i="1"/>
  <c r="BX442" i="1"/>
  <c r="CA442" i="1"/>
  <c r="BX462" i="1"/>
  <c r="CA462" i="1"/>
  <c r="BX482" i="1"/>
  <c r="CA482" i="1"/>
  <c r="BX502" i="1"/>
  <c r="CA502" i="1"/>
  <c r="BX522" i="1"/>
  <c r="CA522" i="1"/>
  <c r="BX542" i="1"/>
  <c r="CA542" i="1"/>
  <c r="BX562" i="1"/>
  <c r="CA562" i="1"/>
  <c r="BX436" i="1"/>
  <c r="CA436" i="1"/>
  <c r="BX556" i="1"/>
  <c r="CA556" i="1"/>
  <c r="BX475" i="1"/>
  <c r="CA475" i="1"/>
  <c r="BX515" i="1"/>
  <c r="CA515" i="1"/>
  <c r="BX555" i="1"/>
  <c r="CA555" i="1"/>
  <c r="CA34" i="1"/>
  <c r="CA294" i="1"/>
  <c r="BX514" i="1"/>
  <c r="CA514" i="1"/>
  <c r="CA233" i="1"/>
  <c r="CA132" i="1"/>
  <c r="CA172" i="1"/>
  <c r="CA232" i="1"/>
  <c r="BX391" i="1"/>
  <c r="CA391" i="1"/>
  <c r="CA250" i="1"/>
  <c r="BX490" i="1"/>
  <c r="CA490" i="1"/>
  <c r="CA168" i="1"/>
  <c r="CA228" i="1"/>
  <c r="BX528" i="1"/>
  <c r="CA528" i="1"/>
  <c r="BX548" i="1"/>
  <c r="CA548" i="1"/>
  <c r="CA27" i="1"/>
  <c r="CA266" i="1"/>
  <c r="CA81" i="1"/>
  <c r="CA161" i="1"/>
  <c r="CA181" i="1"/>
  <c r="CA201" i="1"/>
  <c r="CA221" i="1"/>
  <c r="CA241" i="1"/>
  <c r="CA281" i="1"/>
  <c r="CA301" i="1"/>
  <c r="CA321" i="1"/>
  <c r="CA341" i="1"/>
  <c r="CA361" i="1"/>
  <c r="BX381" i="1"/>
  <c r="CA381" i="1"/>
  <c r="BX401" i="1"/>
  <c r="CA401" i="1"/>
  <c r="BX421" i="1"/>
  <c r="CA421" i="1"/>
  <c r="BX441" i="1"/>
  <c r="CA441" i="1"/>
  <c r="BX461" i="1"/>
  <c r="CA461" i="1"/>
  <c r="BX481" i="1"/>
  <c r="CA481" i="1"/>
  <c r="BX501" i="1"/>
  <c r="CA501" i="1"/>
  <c r="BX521" i="1"/>
  <c r="CA521" i="1"/>
  <c r="BX541" i="1"/>
  <c r="CA541" i="1"/>
  <c r="BX561" i="1"/>
  <c r="CA561" i="1"/>
  <c r="BX536" i="1"/>
  <c r="CA536" i="1"/>
  <c r="BX454" i="1"/>
  <c r="CA454" i="1"/>
  <c r="BX474" i="1"/>
  <c r="CA474" i="1"/>
  <c r="BX554" i="1"/>
  <c r="CA554" i="1"/>
  <c r="CA33" i="1"/>
  <c r="CA293" i="1"/>
  <c r="BX513" i="1"/>
  <c r="CA513" i="1"/>
  <c r="CA90" i="1"/>
  <c r="CA270" i="1"/>
  <c r="CA249" i="1"/>
  <c r="CA48" i="1"/>
  <c r="CA67" i="1"/>
  <c r="CA66" i="1"/>
  <c r="CA166" i="1"/>
  <c r="CA25" i="1"/>
  <c r="CA85" i="1"/>
  <c r="CA305" i="1"/>
  <c r="BX405" i="1"/>
  <c r="CA405" i="1"/>
  <c r="CA41" i="1"/>
  <c r="CA40" i="1"/>
  <c r="CA140" i="1"/>
  <c r="CA160" i="1"/>
  <c r="CA180" i="1"/>
  <c r="CA200" i="1"/>
  <c r="CA220" i="1"/>
  <c r="CA240" i="1"/>
  <c r="CA280" i="1"/>
  <c r="CA300" i="1"/>
  <c r="CA320" i="1"/>
  <c r="CA340" i="1"/>
  <c r="CA360" i="1"/>
  <c r="BX380" i="1"/>
  <c r="CA380" i="1"/>
  <c r="BX400" i="1"/>
  <c r="CA400" i="1"/>
  <c r="BX420" i="1"/>
  <c r="CA420" i="1"/>
  <c r="BX440" i="1"/>
  <c r="CA440" i="1"/>
  <c r="BX460" i="1"/>
  <c r="CA460" i="1"/>
  <c r="BX480" i="1"/>
  <c r="CA480" i="1"/>
  <c r="BX500" i="1"/>
  <c r="CA500" i="1"/>
  <c r="BX520" i="1"/>
  <c r="CA520" i="1"/>
  <c r="BX540" i="1"/>
  <c r="CA540" i="1"/>
  <c r="BX560" i="1"/>
  <c r="CA560" i="1"/>
  <c r="BX435" i="1"/>
  <c r="CA435" i="1"/>
  <c r="BX535" i="1"/>
  <c r="CA535" i="1"/>
  <c r="CA174" i="1"/>
  <c r="CA334" i="1"/>
  <c r="BX494" i="1"/>
  <c r="CA494" i="1"/>
  <c r="CA73" i="1"/>
  <c r="CA373" i="1"/>
  <c r="CA12" i="1"/>
  <c r="CA192" i="1"/>
  <c r="CA352" i="1"/>
  <c r="BX452" i="1"/>
  <c r="CA452" i="1"/>
  <c r="CA31" i="1"/>
  <c r="CA151" i="1"/>
  <c r="CA251" i="1"/>
  <c r="CA351" i="1"/>
  <c r="BX411" i="1"/>
  <c r="CA411" i="1"/>
  <c r="BX430" i="1"/>
  <c r="CA430" i="1"/>
  <c r="CA49" i="1"/>
  <c r="CA229" i="1"/>
  <c r="CA269" i="1"/>
  <c r="CA8" i="1"/>
  <c r="CA328" i="1"/>
  <c r="CA348" i="1"/>
  <c r="BX388" i="1"/>
  <c r="CA388" i="1"/>
  <c r="BX448" i="1"/>
  <c r="CA448" i="1"/>
  <c r="CA147" i="1"/>
  <c r="CA146" i="1"/>
  <c r="CA125" i="1"/>
  <c r="CA165" i="1"/>
  <c r="CA205" i="1"/>
  <c r="CA245" i="1"/>
  <c r="CA43" i="1"/>
  <c r="CA42" i="1"/>
  <c r="CA61" i="1"/>
  <c r="CA80" i="1"/>
  <c r="CA19" i="1"/>
  <c r="CA79" i="1"/>
  <c r="CA99" i="1"/>
  <c r="CA159" i="1"/>
  <c r="CA179" i="1"/>
  <c r="CA199" i="1"/>
  <c r="CA219" i="1"/>
  <c r="CA239" i="1"/>
  <c r="CA259" i="1"/>
  <c r="CA279" i="1"/>
  <c r="CA299" i="1"/>
  <c r="CA319" i="1"/>
  <c r="CA339" i="1"/>
  <c r="CA359" i="1"/>
  <c r="CA379" i="1"/>
  <c r="BX399" i="1"/>
  <c r="CA399" i="1"/>
  <c r="BX419" i="1"/>
  <c r="CA419" i="1"/>
  <c r="BX439" i="1"/>
  <c r="CA439" i="1"/>
  <c r="BX459" i="1"/>
  <c r="CA459" i="1"/>
  <c r="BX479" i="1"/>
  <c r="CA479" i="1"/>
  <c r="BX499" i="1"/>
  <c r="CA499" i="1"/>
  <c r="BX519" i="1"/>
  <c r="CA519" i="1"/>
  <c r="BX539" i="1"/>
  <c r="CA539" i="1"/>
  <c r="BX559" i="1"/>
  <c r="CA559" i="1"/>
  <c r="BX396" i="1"/>
  <c r="CA396" i="1"/>
  <c r="BX476" i="1"/>
  <c r="CA476" i="1"/>
  <c r="CA154" i="1"/>
  <c r="CA234" i="1"/>
  <c r="CA314" i="1"/>
  <c r="CA374" i="1"/>
  <c r="BX434" i="1"/>
  <c r="CA434" i="1"/>
  <c r="BX534" i="1"/>
  <c r="CA534" i="1"/>
  <c r="CA53" i="1"/>
  <c r="CA92" i="1"/>
  <c r="CA252" i="1"/>
  <c r="CA332" i="1"/>
  <c r="CA11" i="1"/>
  <c r="CA51" i="1"/>
  <c r="CA71" i="1"/>
  <c r="CA91" i="1"/>
  <c r="CA171" i="1"/>
  <c r="CA191" i="1"/>
  <c r="CA331" i="1"/>
  <c r="BX511" i="1"/>
  <c r="CA511" i="1"/>
  <c r="CA70" i="1"/>
  <c r="CA110" i="1"/>
  <c r="CA150" i="1"/>
  <c r="CA210" i="1"/>
  <c r="CA9" i="1"/>
  <c r="CA149" i="1"/>
  <c r="CA189" i="1"/>
  <c r="CA28" i="1"/>
  <c r="CA248" i="1"/>
  <c r="CA288" i="1"/>
  <c r="CA308" i="1"/>
  <c r="BX408" i="1"/>
  <c r="CA408" i="1"/>
  <c r="BX468" i="1"/>
  <c r="CA468" i="1"/>
  <c r="BX488" i="1"/>
  <c r="CA488" i="1"/>
  <c r="BX568" i="1"/>
  <c r="CA568" i="1"/>
  <c r="CA47" i="1"/>
  <c r="CA127" i="1"/>
  <c r="CA187" i="1"/>
  <c r="CA307" i="1"/>
  <c r="BX407" i="1"/>
  <c r="CA407" i="1"/>
  <c r="BX507" i="1"/>
  <c r="CA507" i="1"/>
  <c r="BX527" i="1"/>
  <c r="CA527" i="1"/>
  <c r="BX567" i="1"/>
  <c r="CA567" i="1"/>
  <c r="CA126" i="1"/>
  <c r="CA206" i="1"/>
  <c r="CA45" i="1"/>
  <c r="BX485" i="1"/>
  <c r="CA485" i="1"/>
  <c r="BX525" i="1"/>
  <c r="CA525" i="1"/>
  <c r="CA60" i="1"/>
  <c r="CA120" i="1"/>
  <c r="CA39" i="1"/>
  <c r="CA59" i="1"/>
  <c r="CA18" i="1"/>
  <c r="CA38" i="1"/>
  <c r="CA58" i="1"/>
  <c r="CA78" i="1"/>
  <c r="CA98" i="1"/>
  <c r="CA118" i="1"/>
  <c r="CA158" i="1"/>
  <c r="CA178" i="1"/>
  <c r="CA198" i="1"/>
  <c r="CA218" i="1"/>
  <c r="CA238" i="1"/>
  <c r="CA258" i="1"/>
  <c r="CA278" i="1"/>
  <c r="CA298" i="1"/>
  <c r="CA318" i="1"/>
  <c r="CA338" i="1"/>
  <c r="CA358" i="1"/>
  <c r="CA378" i="1"/>
  <c r="BX398" i="1"/>
  <c r="CA398" i="1"/>
  <c r="BX418" i="1"/>
  <c r="CA418" i="1"/>
  <c r="BX438" i="1"/>
  <c r="CA438" i="1"/>
  <c r="BX458" i="1"/>
  <c r="CA458" i="1"/>
  <c r="BX478" i="1"/>
  <c r="CA478" i="1"/>
  <c r="BX498" i="1"/>
  <c r="CA498" i="1"/>
  <c r="BX518" i="1"/>
  <c r="CA518" i="1"/>
  <c r="BX538" i="1"/>
  <c r="CA538" i="1"/>
  <c r="BX558" i="1"/>
  <c r="CA558" i="1"/>
  <c r="BX416" i="1"/>
  <c r="CA416" i="1"/>
  <c r="BX455" i="1"/>
  <c r="CA455" i="1"/>
  <c r="CA14" i="1"/>
  <c r="CA54" i="1"/>
  <c r="CA94" i="1"/>
  <c r="CA254" i="1"/>
  <c r="CA113" i="1"/>
  <c r="CA193" i="1"/>
  <c r="CA213" i="1"/>
  <c r="CA253" i="1"/>
  <c r="CA353" i="1"/>
  <c r="CA32" i="1"/>
  <c r="CA152" i="1"/>
  <c r="CA212" i="1"/>
  <c r="CA272" i="1"/>
  <c r="CA312" i="1"/>
  <c r="CA291" i="1"/>
  <c r="BX431" i="1"/>
  <c r="CA431" i="1"/>
  <c r="BX531" i="1"/>
  <c r="CA531" i="1"/>
  <c r="CA10" i="1"/>
  <c r="CA50" i="1"/>
  <c r="CA130" i="1"/>
  <c r="CA230" i="1"/>
  <c r="CA330" i="1"/>
  <c r="BX450" i="1"/>
  <c r="CA450" i="1"/>
  <c r="CA109" i="1"/>
  <c r="CA88" i="1"/>
  <c r="CA108" i="1"/>
  <c r="CA128" i="1"/>
  <c r="CA148" i="1"/>
  <c r="CA188" i="1"/>
  <c r="CA368" i="1"/>
  <c r="BX428" i="1"/>
  <c r="CA428" i="1"/>
  <c r="BX508" i="1"/>
  <c r="CA508" i="1"/>
  <c r="CA87" i="1"/>
  <c r="CA167" i="1"/>
  <c r="CA227" i="1"/>
  <c r="CA247" i="1"/>
  <c r="CA267" i="1"/>
  <c r="BX447" i="1"/>
  <c r="CA447" i="1"/>
  <c r="CA325" i="1"/>
  <c r="CA365" i="1"/>
  <c r="BX445" i="1"/>
  <c r="CA445" i="1"/>
  <c r="CA3" i="1"/>
  <c r="CA23" i="1"/>
  <c r="CA20" i="1"/>
  <c r="CA100" i="1"/>
  <c r="CA119" i="1"/>
  <c r="CA17" i="1"/>
  <c r="CA37" i="1"/>
  <c r="CA57" i="1"/>
  <c r="CA77" i="1"/>
  <c r="CA97" i="1"/>
  <c r="CA117" i="1"/>
  <c r="CA157" i="1"/>
  <c r="CA177" i="1"/>
  <c r="CA197" i="1"/>
  <c r="CA217" i="1"/>
  <c r="CA237" i="1"/>
  <c r="CA257" i="1"/>
  <c r="CA277" i="1"/>
  <c r="CA297" i="1"/>
  <c r="CA317" i="1"/>
  <c r="CA337" i="1"/>
  <c r="CA357" i="1"/>
  <c r="CA377" i="1"/>
  <c r="BX397" i="1"/>
  <c r="CA397" i="1"/>
  <c r="BX417" i="1"/>
  <c r="CA417" i="1"/>
  <c r="BX437" i="1"/>
  <c r="CA437" i="1"/>
  <c r="BX457" i="1"/>
  <c r="CA457" i="1"/>
  <c r="BX477" i="1"/>
  <c r="CA477" i="1"/>
  <c r="BX497" i="1"/>
  <c r="CA497" i="1"/>
  <c r="BX517" i="1"/>
  <c r="CA517" i="1"/>
  <c r="BX537" i="1"/>
  <c r="CA537" i="1"/>
  <c r="BX557" i="1"/>
  <c r="CA557" i="1"/>
  <c r="CA2" i="1"/>
  <c r="BU204" i="1"/>
  <c r="BU46" i="1"/>
  <c r="BU166" i="1"/>
  <c r="BU45" i="1"/>
  <c r="BU3" i="1"/>
  <c r="BU23" i="1"/>
  <c r="BU43" i="1"/>
  <c r="BU63" i="1"/>
  <c r="BU83" i="1"/>
  <c r="BU103" i="1"/>
  <c r="BU123" i="1"/>
  <c r="BU143" i="1"/>
  <c r="BU163" i="1"/>
  <c r="BU183" i="1"/>
  <c r="BU203" i="1"/>
  <c r="BU124" i="1"/>
  <c r="BU144" i="1"/>
  <c r="BU42" i="1"/>
  <c r="BU62" i="1"/>
  <c r="BU202" i="1"/>
  <c r="BU222" i="1"/>
  <c r="BU60" i="1"/>
  <c r="BU79" i="1"/>
  <c r="BU78" i="1"/>
  <c r="BU118" i="1"/>
  <c r="BU138" i="1"/>
  <c r="BU158" i="1"/>
  <c r="BU178" i="1"/>
  <c r="BU198" i="1"/>
  <c r="BU218" i="1"/>
  <c r="BU17" i="1"/>
  <c r="BU37" i="1"/>
  <c r="BU57" i="1"/>
  <c r="BU77" i="1"/>
  <c r="BU97" i="1"/>
  <c r="BU117" i="1"/>
  <c r="BU137" i="1"/>
  <c r="BU157" i="1"/>
  <c r="BU177" i="1"/>
  <c r="BU197" i="1"/>
  <c r="BU217" i="1"/>
  <c r="BU67" i="1"/>
  <c r="BU206" i="1"/>
  <c r="BU205" i="1"/>
  <c r="BU200" i="1"/>
  <c r="BU136" i="1"/>
  <c r="BU156" i="1"/>
  <c r="BU176" i="1"/>
  <c r="BU196" i="1"/>
  <c r="BU216" i="1"/>
  <c r="BU47" i="1"/>
  <c r="BU25" i="1"/>
  <c r="BU125" i="1"/>
  <c r="BU165" i="1"/>
  <c r="BU120" i="1"/>
  <c r="BU140" i="1"/>
  <c r="BU14" i="1"/>
  <c r="BU34" i="1"/>
  <c r="BU54" i="1"/>
  <c r="BU74" i="1"/>
  <c r="BU94" i="1"/>
  <c r="BU114" i="1"/>
  <c r="BU134" i="1"/>
  <c r="BU154" i="1"/>
  <c r="BU174" i="1"/>
  <c r="BU194" i="1"/>
  <c r="BU214" i="1"/>
  <c r="BU107" i="1"/>
  <c r="BU147" i="1"/>
  <c r="BU6" i="1"/>
  <c r="BU146" i="1"/>
  <c r="BU5" i="1"/>
  <c r="BU167" i="1"/>
  <c r="BU187" i="1"/>
  <c r="BU126" i="1"/>
  <c r="BU65" i="1"/>
  <c r="BU85" i="1"/>
  <c r="BU145" i="1"/>
  <c r="BU64" i="1"/>
  <c r="BU102" i="1"/>
  <c r="BU221" i="1"/>
  <c r="BU20" i="1"/>
  <c r="BU39" i="1"/>
  <c r="BU59" i="1"/>
  <c r="BU139" i="1"/>
  <c r="BU159" i="1"/>
  <c r="BU179" i="1"/>
  <c r="BU219" i="1"/>
  <c r="BU18" i="1"/>
  <c r="BU36" i="1"/>
  <c r="BU116" i="1"/>
  <c r="BU215" i="1"/>
  <c r="BU106" i="1"/>
  <c r="BU84" i="1"/>
  <c r="BU22" i="1"/>
  <c r="BU82" i="1"/>
  <c r="BU162" i="1"/>
  <c r="BU40" i="1"/>
  <c r="BU80" i="1"/>
  <c r="BU180" i="1"/>
  <c r="BU16" i="1"/>
  <c r="BU115" i="1"/>
  <c r="BU155" i="1"/>
  <c r="BU12" i="1"/>
  <c r="BU72" i="1"/>
  <c r="BU112" i="1"/>
  <c r="BU132" i="1"/>
  <c r="BU152" i="1"/>
  <c r="BU192" i="1"/>
  <c r="BU212" i="1"/>
  <c r="BU11" i="1"/>
  <c r="BU31" i="1"/>
  <c r="BU51" i="1"/>
  <c r="BU71" i="1"/>
  <c r="BU91" i="1"/>
  <c r="BU111" i="1"/>
  <c r="BU131" i="1"/>
  <c r="BU151" i="1"/>
  <c r="BU171" i="1"/>
  <c r="BU191" i="1"/>
  <c r="BU211" i="1"/>
  <c r="BU27" i="1"/>
  <c r="BU105" i="1"/>
  <c r="BU185" i="1"/>
  <c r="BU4" i="1"/>
  <c r="BU142" i="1"/>
  <c r="BU61" i="1"/>
  <c r="BU121" i="1"/>
  <c r="BU56" i="1"/>
  <c r="BU76" i="1"/>
  <c r="BU135" i="1"/>
  <c r="BU195" i="1"/>
  <c r="BU13" i="1"/>
  <c r="BU33" i="1"/>
  <c r="BU193" i="1"/>
  <c r="BU213" i="1"/>
  <c r="BU32" i="1"/>
  <c r="BU92" i="1"/>
  <c r="BU10" i="1"/>
  <c r="BU7" i="1"/>
  <c r="BU87" i="1"/>
  <c r="BU127" i="1"/>
  <c r="BU26" i="1"/>
  <c r="BU86" i="1"/>
  <c r="BU44" i="1"/>
  <c r="BU182" i="1"/>
  <c r="BU21" i="1"/>
  <c r="BU101" i="1"/>
  <c r="BU181" i="1"/>
  <c r="BU201" i="1"/>
  <c r="BU99" i="1"/>
  <c r="BU38" i="1"/>
  <c r="BU58" i="1"/>
  <c r="BU96" i="1"/>
  <c r="BU35" i="1"/>
  <c r="BU55" i="1"/>
  <c r="BU75" i="1"/>
  <c r="BU95" i="1"/>
  <c r="BU175" i="1"/>
  <c r="BU53" i="1"/>
  <c r="BU93" i="1"/>
  <c r="BU113" i="1"/>
  <c r="BU133" i="1"/>
  <c r="BU153" i="1"/>
  <c r="BU173" i="1"/>
  <c r="BU30" i="1"/>
  <c r="BU70" i="1"/>
  <c r="BU110" i="1"/>
  <c r="BU130" i="1"/>
  <c r="BU150" i="1"/>
  <c r="BU9" i="1"/>
  <c r="BU29" i="1"/>
  <c r="BU49" i="1"/>
  <c r="BU69" i="1"/>
  <c r="BU89" i="1"/>
  <c r="BU109" i="1"/>
  <c r="BU129" i="1"/>
  <c r="BU149" i="1"/>
  <c r="BU169" i="1"/>
  <c r="BU189" i="1"/>
  <c r="BU209" i="1"/>
  <c r="BU207" i="1"/>
  <c r="BU66" i="1"/>
  <c r="BU186" i="1"/>
  <c r="BU24" i="1"/>
  <c r="BU104" i="1"/>
  <c r="BU164" i="1"/>
  <c r="BU184" i="1"/>
  <c r="BU122" i="1"/>
  <c r="BU41" i="1"/>
  <c r="BU81" i="1"/>
  <c r="BU141" i="1"/>
  <c r="BU161" i="1"/>
  <c r="BU100" i="1"/>
  <c r="BU160" i="1"/>
  <c r="BU220" i="1"/>
  <c r="BU19" i="1"/>
  <c r="BU119" i="1"/>
  <c r="BU199" i="1"/>
  <c r="BU98" i="1"/>
  <c r="BU15" i="1"/>
  <c r="BU73" i="1"/>
  <c r="BU52" i="1"/>
  <c r="BU172" i="1"/>
  <c r="BU50" i="1"/>
  <c r="BU90" i="1"/>
  <c r="BU170" i="1"/>
  <c r="BU190" i="1"/>
  <c r="BU210" i="1"/>
  <c r="BU8" i="1"/>
  <c r="BU28" i="1"/>
  <c r="BU48" i="1"/>
  <c r="BU68" i="1"/>
  <c r="BU88" i="1"/>
  <c r="BU108" i="1"/>
  <c r="BU128" i="1"/>
  <c r="BU148" i="1"/>
  <c r="BU168" i="1"/>
  <c r="BU188" i="1"/>
  <c r="BU208" i="1"/>
  <c r="BU2" i="1"/>
  <c r="BX136" i="1"/>
  <c r="BX295" i="1"/>
  <c r="BX335" i="1"/>
  <c r="BX334" i="1"/>
  <c r="BX12" i="1"/>
  <c r="BX32" i="1"/>
  <c r="BX52" i="1"/>
  <c r="BX72" i="1"/>
  <c r="BX92" i="1"/>
  <c r="BX112" i="1"/>
  <c r="BX132" i="1"/>
  <c r="BX152" i="1"/>
  <c r="BX172" i="1"/>
  <c r="BX192" i="1"/>
  <c r="BX212" i="1"/>
  <c r="BX232" i="1"/>
  <c r="BX252" i="1"/>
  <c r="BX272" i="1"/>
  <c r="BX292" i="1"/>
  <c r="BX312" i="1"/>
  <c r="BX332" i="1"/>
  <c r="BX352" i="1"/>
  <c r="BX372" i="1"/>
  <c r="BX36" i="1"/>
  <c r="BX9" i="1"/>
  <c r="BX29" i="1"/>
  <c r="BX49" i="1"/>
  <c r="BX69" i="1"/>
  <c r="BX89" i="1"/>
  <c r="BX109" i="1"/>
  <c r="BX129" i="1"/>
  <c r="BX149" i="1"/>
  <c r="BX169" i="1"/>
  <c r="BX189" i="1"/>
  <c r="BX209" i="1"/>
  <c r="BX229" i="1"/>
  <c r="BX249" i="1"/>
  <c r="BX269" i="1"/>
  <c r="BX289" i="1"/>
  <c r="BX309" i="1"/>
  <c r="BX329" i="1"/>
  <c r="BX349" i="1"/>
  <c r="BX369" i="1"/>
  <c r="BX76" i="1"/>
  <c r="BX316" i="1"/>
  <c r="BX195" i="1"/>
  <c r="BX215" i="1"/>
  <c r="BX355" i="1"/>
  <c r="BX54" i="1"/>
  <c r="BX333" i="1"/>
  <c r="BX111" i="1"/>
  <c r="BX271" i="1"/>
  <c r="BX330" i="1"/>
  <c r="BX368" i="1"/>
  <c r="BX187" i="1"/>
  <c r="BX205" i="1"/>
  <c r="BX265" i="1"/>
  <c r="BX285" i="1"/>
  <c r="BX325" i="1"/>
  <c r="BX345" i="1"/>
  <c r="BX293" i="1"/>
  <c r="BX151" i="1"/>
  <c r="BX311" i="1"/>
  <c r="BX351" i="1"/>
  <c r="BX371" i="1"/>
  <c r="BX110" i="1"/>
  <c r="BX190" i="1"/>
  <c r="BX7" i="1"/>
  <c r="BX67" i="1"/>
  <c r="BX167" i="1"/>
  <c r="BX6" i="1"/>
  <c r="BX66" i="1"/>
  <c r="BX246" i="1"/>
  <c r="BX306" i="1"/>
  <c r="BX5" i="1"/>
  <c r="BX25" i="1"/>
  <c r="BX245" i="1"/>
  <c r="BX305" i="1"/>
  <c r="BX365" i="1"/>
  <c r="BX4" i="1"/>
  <c r="BX24" i="1"/>
  <c r="BX44" i="1"/>
  <c r="BX64" i="1"/>
  <c r="BX84" i="1"/>
  <c r="BX104" i="1"/>
  <c r="BX124" i="1"/>
  <c r="BX144" i="1"/>
  <c r="BX164" i="1"/>
  <c r="BX184" i="1"/>
  <c r="BX204" i="1"/>
  <c r="BX224" i="1"/>
  <c r="BX244" i="1"/>
  <c r="BX264" i="1"/>
  <c r="BX284" i="1"/>
  <c r="BX304" i="1"/>
  <c r="BX324" i="1"/>
  <c r="BX344" i="1"/>
  <c r="BX364" i="1"/>
  <c r="BX156" i="1"/>
  <c r="BX176" i="1"/>
  <c r="BX256" i="1"/>
  <c r="BX296" i="1"/>
  <c r="BX115" i="1"/>
  <c r="BX174" i="1"/>
  <c r="BX294" i="1"/>
  <c r="BX314" i="1"/>
  <c r="BX374" i="1"/>
  <c r="BX13" i="1"/>
  <c r="BX53" i="1"/>
  <c r="BX73" i="1"/>
  <c r="BX31" i="1"/>
  <c r="BX131" i="1"/>
  <c r="BX211" i="1"/>
  <c r="BX30" i="1"/>
  <c r="BX130" i="1"/>
  <c r="BX170" i="1"/>
  <c r="BX250" i="1"/>
  <c r="BX370" i="1"/>
  <c r="BX128" i="1"/>
  <c r="BX268" i="1"/>
  <c r="BX288" i="1"/>
  <c r="BX328" i="1"/>
  <c r="BX207" i="1"/>
  <c r="BX227" i="1"/>
  <c r="BX307" i="1"/>
  <c r="BX146" i="1"/>
  <c r="BX206" i="1"/>
  <c r="BX103" i="1"/>
  <c r="BX183" i="1"/>
  <c r="BX243" i="1"/>
  <c r="BX263" i="1"/>
  <c r="BX283" i="1"/>
  <c r="BX303" i="1"/>
  <c r="BX323" i="1"/>
  <c r="BX343" i="1"/>
  <c r="BX363" i="1"/>
  <c r="BX236" i="1"/>
  <c r="BX75" i="1"/>
  <c r="BX10" i="1"/>
  <c r="BX70" i="1"/>
  <c r="BX270" i="1"/>
  <c r="BX28" i="1"/>
  <c r="BX247" i="1"/>
  <c r="BX287" i="1"/>
  <c r="BX327" i="1"/>
  <c r="BX367" i="1"/>
  <c r="BX286" i="1"/>
  <c r="BX346" i="1"/>
  <c r="BX85" i="1"/>
  <c r="BX145" i="1"/>
  <c r="BX165" i="1"/>
  <c r="BX23" i="1"/>
  <c r="BX43" i="1"/>
  <c r="BX122" i="1"/>
  <c r="BX162" i="1"/>
  <c r="BX182" i="1"/>
  <c r="BX202" i="1"/>
  <c r="BX242" i="1"/>
  <c r="BX322" i="1"/>
  <c r="BX196" i="1"/>
  <c r="BX155" i="1"/>
  <c r="BX175" i="1"/>
  <c r="BX255" i="1"/>
  <c r="BX253" i="1"/>
  <c r="BX373" i="1"/>
  <c r="BX251" i="1"/>
  <c r="BX230" i="1"/>
  <c r="BX310" i="1"/>
  <c r="BX27" i="1"/>
  <c r="BX87" i="1"/>
  <c r="BX127" i="1"/>
  <c r="BX26" i="1"/>
  <c r="BX45" i="1"/>
  <c r="BX105" i="1"/>
  <c r="BX125" i="1"/>
  <c r="BX225" i="1"/>
  <c r="BX123" i="1"/>
  <c r="BX163" i="1"/>
  <c r="BX203" i="1"/>
  <c r="BX262" i="1"/>
  <c r="BX302" i="1"/>
  <c r="BX342" i="1"/>
  <c r="BX61" i="1"/>
  <c r="BX81" i="1"/>
  <c r="BX181" i="1"/>
  <c r="BX261" i="1"/>
  <c r="BX281" i="1"/>
  <c r="BX301" i="1"/>
  <c r="BX321" i="1"/>
  <c r="BX341" i="1"/>
  <c r="BX361" i="1"/>
  <c r="BX216" i="1"/>
  <c r="BX276" i="1"/>
  <c r="BX356" i="1"/>
  <c r="BX95" i="1"/>
  <c r="BX135" i="1"/>
  <c r="BX134" i="1"/>
  <c r="BX214" i="1"/>
  <c r="BX234" i="1"/>
  <c r="BX33" i="1"/>
  <c r="BX113" i="1"/>
  <c r="BX133" i="1"/>
  <c r="BX233" i="1"/>
  <c r="BX353" i="1"/>
  <c r="BX191" i="1"/>
  <c r="BX210" i="1"/>
  <c r="BX290" i="1"/>
  <c r="BX350" i="1"/>
  <c r="BX108" i="1"/>
  <c r="BX208" i="1"/>
  <c r="BX20" i="1"/>
  <c r="BX140" i="1"/>
  <c r="BX160" i="1"/>
  <c r="BX180" i="1"/>
  <c r="BX200" i="1"/>
  <c r="BX220" i="1"/>
  <c r="BX240" i="1"/>
  <c r="BX260" i="1"/>
  <c r="BX280" i="1"/>
  <c r="BX300" i="1"/>
  <c r="BX320" i="1"/>
  <c r="BX340" i="1"/>
  <c r="BX360" i="1"/>
  <c r="BX16" i="1"/>
  <c r="BX56" i="1"/>
  <c r="BX96" i="1"/>
  <c r="BX336" i="1"/>
  <c r="BX35" i="1"/>
  <c r="BX55" i="1"/>
  <c r="BX235" i="1"/>
  <c r="BX34" i="1"/>
  <c r="BX74" i="1"/>
  <c r="BX94" i="1"/>
  <c r="BX194" i="1"/>
  <c r="BX354" i="1"/>
  <c r="BX11" i="1"/>
  <c r="BX51" i="1"/>
  <c r="BX71" i="1"/>
  <c r="BX171" i="1"/>
  <c r="BX331" i="1"/>
  <c r="BX90" i="1"/>
  <c r="BX150" i="1"/>
  <c r="BX8" i="1"/>
  <c r="BX88" i="1"/>
  <c r="BX148" i="1"/>
  <c r="BX348" i="1"/>
  <c r="BX47" i="1"/>
  <c r="BX107" i="1"/>
  <c r="BX147" i="1"/>
  <c r="BX126" i="1"/>
  <c r="BX226" i="1"/>
  <c r="BX326" i="1"/>
  <c r="BX366" i="1"/>
  <c r="BX83" i="1"/>
  <c r="BX143" i="1"/>
  <c r="BX223" i="1"/>
  <c r="BX42" i="1"/>
  <c r="BX142" i="1"/>
  <c r="BX282" i="1"/>
  <c r="BX21" i="1"/>
  <c r="BX41" i="1"/>
  <c r="BX101" i="1"/>
  <c r="BX121" i="1"/>
  <c r="BX221" i="1"/>
  <c r="BX241" i="1"/>
  <c r="BX60" i="1"/>
  <c r="BX19" i="1"/>
  <c r="BX39" i="1"/>
  <c r="BX59" i="1"/>
  <c r="BX79" i="1"/>
  <c r="BX99" i="1"/>
  <c r="BX119" i="1"/>
  <c r="BX139" i="1"/>
  <c r="BX159" i="1"/>
  <c r="BX179" i="1"/>
  <c r="BX199" i="1"/>
  <c r="BX219" i="1"/>
  <c r="BX239" i="1"/>
  <c r="BX259" i="1"/>
  <c r="BX279" i="1"/>
  <c r="BX299" i="1"/>
  <c r="BX319" i="1"/>
  <c r="BX339" i="1"/>
  <c r="BX359" i="1"/>
  <c r="BX379" i="1"/>
  <c r="BX376" i="1"/>
  <c r="BX275" i="1"/>
  <c r="BX315" i="1"/>
  <c r="BX14" i="1"/>
  <c r="BX274" i="1"/>
  <c r="BX313" i="1"/>
  <c r="BX231" i="1"/>
  <c r="BX48" i="1"/>
  <c r="BX168" i="1"/>
  <c r="BX248" i="1"/>
  <c r="BX308" i="1"/>
  <c r="BX267" i="1"/>
  <c r="BX86" i="1"/>
  <c r="BX166" i="1"/>
  <c r="BX266" i="1"/>
  <c r="BX65" i="1"/>
  <c r="BX185" i="1"/>
  <c r="BX22" i="1"/>
  <c r="BX62" i="1"/>
  <c r="BX362" i="1"/>
  <c r="BX201" i="1"/>
  <c r="BX40" i="1"/>
  <c r="BX80" i="1"/>
  <c r="BX100" i="1"/>
  <c r="BX120" i="1"/>
  <c r="BX18" i="1"/>
  <c r="BX38" i="1"/>
  <c r="BX58" i="1"/>
  <c r="BX78" i="1"/>
  <c r="BX98" i="1"/>
  <c r="BX118" i="1"/>
  <c r="BX138" i="1"/>
  <c r="BX158" i="1"/>
  <c r="BX178" i="1"/>
  <c r="BX198" i="1"/>
  <c r="BX218" i="1"/>
  <c r="BX238" i="1"/>
  <c r="BX258" i="1"/>
  <c r="BX278" i="1"/>
  <c r="BX298" i="1"/>
  <c r="BX318" i="1"/>
  <c r="BX338" i="1"/>
  <c r="BX358" i="1"/>
  <c r="BX378" i="1"/>
  <c r="BX116" i="1"/>
  <c r="BX15" i="1"/>
  <c r="BX375" i="1"/>
  <c r="BX114" i="1"/>
  <c r="BX154" i="1"/>
  <c r="BX254" i="1"/>
  <c r="BX93" i="1"/>
  <c r="BX153" i="1"/>
  <c r="BX173" i="1"/>
  <c r="BX193" i="1"/>
  <c r="BX213" i="1"/>
  <c r="BX273" i="1"/>
  <c r="BX91" i="1"/>
  <c r="BX291" i="1"/>
  <c r="BX50" i="1"/>
  <c r="BX68" i="1"/>
  <c r="BX188" i="1"/>
  <c r="BX228" i="1"/>
  <c r="BX347" i="1"/>
  <c r="BX46" i="1"/>
  <c r="BX106" i="1"/>
  <c r="BX186" i="1"/>
  <c r="BX3" i="1"/>
  <c r="BX63" i="1"/>
  <c r="BX82" i="1"/>
  <c r="BX102" i="1"/>
  <c r="BX222" i="1"/>
  <c r="BX141" i="1"/>
  <c r="BX161" i="1"/>
  <c r="BX17" i="1"/>
  <c r="BX37" i="1"/>
  <c r="BX57" i="1"/>
  <c r="BX77" i="1"/>
  <c r="BX97" i="1"/>
  <c r="BX117" i="1"/>
  <c r="BX137" i="1"/>
  <c r="BX157" i="1"/>
  <c r="BX177" i="1"/>
  <c r="BX197" i="1"/>
  <c r="BX217" i="1"/>
  <c r="BX237" i="1"/>
  <c r="BX257" i="1"/>
  <c r="BX277" i="1"/>
  <c r="BX297" i="1"/>
  <c r="BX317" i="1"/>
  <c r="BX337" i="1"/>
  <c r="BX357" i="1"/>
  <c r="BX377" i="1"/>
  <c r="BX2" i="1"/>
  <c r="CC230" i="1"/>
  <c r="CC519" i="1"/>
  <c r="BW519" i="1"/>
  <c r="CC260" i="1"/>
  <c r="BW260" i="1"/>
  <c r="CC278" i="1"/>
  <c r="BW278" i="1"/>
  <c r="CC298" i="1"/>
  <c r="BW298" i="1"/>
  <c r="CC398" i="1"/>
  <c r="BW398" i="1"/>
  <c r="CC458" i="1"/>
  <c r="BW458" i="1"/>
  <c r="CC478" i="1"/>
  <c r="BW478" i="1"/>
  <c r="CC518" i="1"/>
  <c r="BW518" i="1"/>
  <c r="CC538" i="1"/>
  <c r="BW538" i="1"/>
  <c r="CC558" i="1"/>
  <c r="BW558" i="1"/>
  <c r="CC357" i="1"/>
  <c r="BW357" i="1"/>
  <c r="CC377" i="1"/>
  <c r="BW377" i="1"/>
  <c r="CC552" i="1"/>
  <c r="BW552" i="1"/>
  <c r="CC401" i="1"/>
  <c r="BW401" i="1"/>
  <c r="CC541" i="1"/>
  <c r="BW541" i="1"/>
  <c r="CC500" i="1"/>
  <c r="BW500" i="1"/>
  <c r="CC315" i="1"/>
  <c r="BW315" i="1"/>
  <c r="CC351" i="1"/>
  <c r="BW351" i="1"/>
  <c r="CC431" i="1"/>
  <c r="BW431" i="1"/>
  <c r="CC531" i="1"/>
  <c r="BW531" i="1"/>
  <c r="CC551" i="1"/>
  <c r="BW551" i="1"/>
  <c r="CC571" i="1"/>
  <c r="BW571" i="1"/>
  <c r="CC15" i="1"/>
  <c r="BW15" i="1"/>
  <c r="CC95" i="1"/>
  <c r="BW95" i="1"/>
  <c r="CC455" i="1"/>
  <c r="BW455" i="1"/>
  <c r="CC129" i="1"/>
  <c r="BW129" i="1"/>
  <c r="CC229" i="1"/>
  <c r="BW229" i="1"/>
  <c r="CC330" i="1"/>
  <c r="BW330" i="1"/>
  <c r="CC370" i="1"/>
  <c r="BW370" i="1"/>
  <c r="CC490" i="1"/>
  <c r="BW490" i="1"/>
  <c r="CC510" i="1"/>
  <c r="BW510" i="1"/>
  <c r="CC240" i="1"/>
  <c r="BW240" i="1"/>
  <c r="CC460" i="1"/>
  <c r="BW460" i="1"/>
  <c r="CC218" i="1"/>
  <c r="BW218" i="1"/>
  <c r="CC279" i="1"/>
  <c r="BW279" i="1"/>
  <c r="CC316" i="1"/>
  <c r="BW316" i="1"/>
  <c r="CC435" i="1"/>
  <c r="BW435" i="1"/>
  <c r="CC51" i="1"/>
  <c r="BW51" i="1"/>
  <c r="CC291" i="1"/>
  <c r="BW291" i="1"/>
  <c r="CC48" i="1"/>
  <c r="BW48" i="1"/>
  <c r="CC68" i="1"/>
  <c r="BW68" i="1"/>
  <c r="CC88" i="1"/>
  <c r="BW88" i="1"/>
  <c r="CC449" i="1"/>
  <c r="BW449" i="1"/>
  <c r="CC469" i="1"/>
  <c r="BW469" i="1"/>
  <c r="CC147" i="1"/>
  <c r="BW147" i="1"/>
  <c r="CC348" i="1"/>
  <c r="BW348" i="1"/>
  <c r="CC368" i="1"/>
  <c r="BW368" i="1"/>
  <c r="CC428" i="1"/>
  <c r="BW428" i="1"/>
  <c r="CC488" i="1"/>
  <c r="BW488" i="1"/>
  <c r="CC528" i="1"/>
  <c r="BW528" i="1"/>
  <c r="CC548" i="1"/>
  <c r="BW548" i="1"/>
  <c r="CC568" i="1"/>
  <c r="BW568" i="1"/>
  <c r="CC39" i="1"/>
  <c r="BW39" i="1"/>
  <c r="CC137" i="1"/>
  <c r="BW137" i="1"/>
  <c r="CC277" i="1"/>
  <c r="BW277" i="1"/>
  <c r="CC135" i="1"/>
  <c r="BW135" i="1"/>
  <c r="CC296" i="1"/>
  <c r="BW296" i="1"/>
  <c r="CC416" i="1"/>
  <c r="BW416" i="1"/>
  <c r="CC151" i="1"/>
  <c r="BW151" i="1"/>
  <c r="CC280" i="1"/>
  <c r="BW280" i="1"/>
  <c r="CC198" i="1"/>
  <c r="BW198" i="1"/>
  <c r="CC35" i="1"/>
  <c r="BW35" i="1"/>
  <c r="CC75" i="1"/>
  <c r="BW75" i="1"/>
  <c r="CC276" i="1"/>
  <c r="BW276" i="1"/>
  <c r="CC356" i="1"/>
  <c r="BW356" i="1"/>
  <c r="CC54" i="1"/>
  <c r="BW54" i="1"/>
  <c r="CC71" i="1"/>
  <c r="BW71" i="1"/>
  <c r="CC111" i="1"/>
  <c r="BW111" i="1"/>
  <c r="CC89" i="1"/>
  <c r="BW89" i="1"/>
  <c r="CC346" i="1"/>
  <c r="BW346" i="1"/>
  <c r="CC379" i="1"/>
  <c r="BW379" i="1"/>
  <c r="CC195" i="1"/>
  <c r="BW195" i="1"/>
  <c r="CC495" i="1"/>
  <c r="BW495" i="1"/>
  <c r="CC173" i="1"/>
  <c r="BW173" i="1"/>
  <c r="CC12" i="1"/>
  <c r="BW12" i="1"/>
  <c r="CC353" i="1"/>
  <c r="BW353" i="1"/>
  <c r="CC91" i="1"/>
  <c r="BW91" i="1"/>
  <c r="CC211" i="1"/>
  <c r="BW211" i="1"/>
  <c r="CC272" i="1"/>
  <c r="BW272" i="1"/>
  <c r="CC332" i="1"/>
  <c r="BW332" i="1"/>
  <c r="CC412" i="1"/>
  <c r="BW412" i="1"/>
  <c r="CC269" i="1"/>
  <c r="BW269" i="1"/>
  <c r="CC289" i="1"/>
  <c r="BW289" i="1"/>
  <c r="CC387" i="1"/>
  <c r="BW387" i="1"/>
  <c r="CC467" i="1"/>
  <c r="BW467" i="1"/>
  <c r="CC224" i="1"/>
  <c r="BW224" i="1"/>
  <c r="CC245" i="1"/>
  <c r="BW245" i="1"/>
  <c r="CC405" i="1"/>
  <c r="BW405" i="1"/>
  <c r="CC425" i="1"/>
  <c r="BW425" i="1"/>
  <c r="CC485" i="1"/>
  <c r="BW485" i="1"/>
  <c r="CC505" i="1"/>
  <c r="BW505" i="1"/>
  <c r="CC565" i="1"/>
  <c r="BW565" i="1"/>
  <c r="CC140" i="1"/>
  <c r="BW140" i="1"/>
  <c r="CC341" i="1"/>
  <c r="BW341" i="1"/>
  <c r="CC99" i="1"/>
  <c r="BW99" i="1"/>
  <c r="CC339" i="1"/>
  <c r="BW339" i="1"/>
  <c r="CC34" i="1"/>
  <c r="BW34" i="1"/>
  <c r="CC92" i="1"/>
  <c r="BW92" i="1"/>
  <c r="CC253" i="1"/>
  <c r="BW253" i="1"/>
  <c r="CC393" i="1"/>
  <c r="BW393" i="1"/>
  <c r="CC492" i="1"/>
  <c r="BW492" i="1"/>
  <c r="CC29" i="1"/>
  <c r="BW29" i="1"/>
  <c r="CC128" i="1"/>
  <c r="BW128" i="1"/>
  <c r="CC249" i="1"/>
  <c r="BW249" i="1"/>
  <c r="CC146" i="1"/>
  <c r="BW146" i="1"/>
  <c r="CC124" i="1"/>
  <c r="BW124" i="1"/>
  <c r="CC63" i="1"/>
  <c r="BW63" i="1"/>
  <c r="CC83" i="1"/>
  <c r="BW83" i="1"/>
  <c r="CC143" i="1"/>
  <c r="BW143" i="1"/>
  <c r="CC183" i="1"/>
  <c r="BW183" i="1"/>
  <c r="CC203" i="1"/>
  <c r="BW203" i="1"/>
  <c r="CC284" i="1"/>
  <c r="BW284" i="1"/>
  <c r="CC324" i="1"/>
  <c r="BW324" i="1"/>
  <c r="CC344" i="1"/>
  <c r="BW344" i="1"/>
  <c r="CC444" i="1"/>
  <c r="BW444" i="1"/>
  <c r="CC176" i="1"/>
  <c r="BW176" i="1"/>
  <c r="CC196" i="1"/>
  <c r="BW196" i="1"/>
  <c r="CC236" i="1"/>
  <c r="BW236" i="1"/>
  <c r="CC134" i="1"/>
  <c r="BW134" i="1"/>
  <c r="CC432" i="1"/>
  <c r="BW432" i="1"/>
  <c r="CC108" i="1"/>
  <c r="BW108" i="1"/>
  <c r="CC166" i="1"/>
  <c r="BW166" i="1"/>
  <c r="CC266" i="1"/>
  <c r="BW266" i="1"/>
  <c r="CC24" i="1"/>
  <c r="BW24" i="1"/>
  <c r="CC64" i="1"/>
  <c r="BW64" i="1"/>
  <c r="CC104" i="1"/>
  <c r="BW104" i="1"/>
  <c r="CC3" i="1"/>
  <c r="BW3" i="1"/>
  <c r="CC22" i="1"/>
  <c r="BW22" i="1"/>
  <c r="CC62" i="1"/>
  <c r="BW62" i="1"/>
  <c r="CC82" i="1"/>
  <c r="BW82" i="1"/>
  <c r="CC102" i="1"/>
  <c r="BW102" i="1"/>
  <c r="CC283" i="1"/>
  <c r="BW283" i="1"/>
  <c r="CC323" i="1"/>
  <c r="BW323" i="1"/>
  <c r="CC363" i="1"/>
  <c r="BW363" i="1"/>
  <c r="CC503" i="1"/>
  <c r="BW503" i="1"/>
  <c r="CC543" i="1"/>
  <c r="BW543" i="1"/>
  <c r="CC59" i="1"/>
  <c r="BW59" i="1"/>
  <c r="CC516" i="1"/>
  <c r="BW516" i="1"/>
  <c r="CC93" i="1"/>
  <c r="BW93" i="1"/>
  <c r="CC233" i="1"/>
  <c r="BW233" i="1"/>
  <c r="CC533" i="1"/>
  <c r="BW533" i="1"/>
  <c r="CC131" i="1"/>
  <c r="BW131" i="1"/>
  <c r="CC472" i="1"/>
  <c r="BW472" i="1"/>
  <c r="CC69" i="1"/>
  <c r="BW69" i="1"/>
  <c r="CC208" i="1"/>
  <c r="BW208" i="1"/>
  <c r="CC247" i="1"/>
  <c r="BW247" i="1"/>
  <c r="CC487" i="1"/>
  <c r="BW487" i="1"/>
  <c r="CC165" i="1"/>
  <c r="BW165" i="1"/>
  <c r="CC144" i="1"/>
  <c r="BW144" i="1"/>
  <c r="CC184" i="1"/>
  <c r="BW184" i="1"/>
  <c r="CC204" i="1"/>
  <c r="BW204" i="1"/>
  <c r="CC81" i="1"/>
  <c r="BW81" i="1"/>
  <c r="CC101" i="1"/>
  <c r="BW101" i="1"/>
  <c r="CC141" i="1"/>
  <c r="BW141" i="1"/>
  <c r="CC161" i="1"/>
  <c r="BW161" i="1"/>
  <c r="CC221" i="1"/>
  <c r="BW221" i="1"/>
  <c r="CC262" i="1"/>
  <c r="BW262" i="1"/>
  <c r="CC402" i="1"/>
  <c r="BW402" i="1"/>
  <c r="CC502" i="1"/>
  <c r="BW502" i="1"/>
  <c r="CC522" i="1"/>
  <c r="BW522" i="1"/>
  <c r="CC542" i="1"/>
  <c r="BW542" i="1"/>
  <c r="CC562" i="1"/>
  <c r="BW562" i="1"/>
  <c r="CC561" i="1"/>
  <c r="CC303" i="1"/>
  <c r="CC338" i="1"/>
  <c r="CC100" i="1"/>
  <c r="CC255" i="1"/>
  <c r="CC42" i="1"/>
  <c r="CC43" i="1"/>
  <c r="CC335" i="1"/>
  <c r="CC345" i="1"/>
  <c r="CC243" i="1"/>
  <c r="CC482" i="1"/>
  <c r="CC226" i="1"/>
  <c r="CC79" i="1"/>
  <c r="CC154" i="1"/>
  <c r="CC271" i="1"/>
  <c r="CC513" i="1"/>
  <c r="CC157" i="1"/>
  <c r="CC287" i="1"/>
  <c r="CC19" i="1"/>
  <c r="CC400" i="1"/>
  <c r="CC10" i="1"/>
  <c r="CC180" i="1"/>
  <c r="CC275" i="1"/>
  <c r="CC113" i="1"/>
  <c r="CC201" i="1"/>
  <c r="CC60" i="1"/>
  <c r="CC331" i="1"/>
  <c r="CC442" i="1"/>
  <c r="CC261" i="1"/>
  <c r="CC304" i="1"/>
  <c r="CC132" i="1"/>
  <c r="CC570" i="1"/>
  <c r="CC496" i="1"/>
  <c r="CC200" i="1"/>
  <c r="CC514" i="1"/>
  <c r="CC557" i="1"/>
  <c r="CC308" i="1"/>
  <c r="CC257" i="1"/>
  <c r="CC322" i="1"/>
  <c r="CC553" i="1"/>
  <c r="CC396" i="1"/>
  <c r="CC422" i="1"/>
  <c r="CC409" i="1"/>
  <c r="CC122" i="1"/>
  <c r="CC220" i="1"/>
  <c r="CC530" i="1"/>
  <c r="CC98" i="1"/>
  <c r="CC328" i="1"/>
  <c r="CC537" i="1"/>
  <c r="CC223" i="1"/>
  <c r="CC302" i="1"/>
  <c r="CC52" i="1"/>
  <c r="CC115" i="1"/>
  <c r="CC181" i="1"/>
  <c r="CC209" i="1"/>
  <c r="CC185" i="1"/>
  <c r="CC437" i="1"/>
  <c r="CC560" i="1"/>
  <c r="CC33" i="1"/>
  <c r="CC53" i="1"/>
  <c r="CC309" i="1"/>
  <c r="CC423" i="1"/>
  <c r="CC464" i="1"/>
  <c r="CC506" i="1"/>
  <c r="CC479" i="1"/>
  <c r="CC544" i="1"/>
  <c r="CC439" i="1"/>
  <c r="CC446" i="1"/>
  <c r="CC527" i="1"/>
  <c r="CC426" i="1"/>
  <c r="CC347" i="1"/>
  <c r="CC187" i="1"/>
  <c r="CC90" i="1"/>
  <c r="CC106" i="1"/>
  <c r="CC164" i="1"/>
  <c r="CC313" i="1"/>
  <c r="CC373" i="1"/>
  <c r="CC429" i="1"/>
  <c r="CC438" i="1"/>
  <c r="CC382" i="1"/>
  <c r="CC66" i="1"/>
  <c r="CC13" i="1"/>
  <c r="CC174" i="1"/>
  <c r="CC470" i="1"/>
  <c r="CC32" i="1"/>
  <c r="CC119" i="1"/>
  <c r="CC354" i="1"/>
  <c r="CC110" i="1"/>
  <c r="CC529" i="1"/>
  <c r="CC120" i="1"/>
  <c r="CC138" i="1"/>
  <c r="CC50" i="1"/>
  <c r="CC178" i="1"/>
  <c r="CC97" i="1"/>
  <c r="CC205" i="1"/>
  <c r="CC234" i="1"/>
  <c r="CC270" i="1"/>
  <c r="CC318" i="1"/>
  <c r="CC359" i="1"/>
  <c r="CC360" i="1"/>
  <c r="CC493" i="1"/>
  <c r="CC390" i="1"/>
  <c r="CC567" i="1"/>
  <c r="CC152" i="1"/>
  <c r="CC237" i="1"/>
  <c r="CC491" i="1"/>
  <c r="CC540" i="1"/>
  <c r="CC563" i="1"/>
  <c r="CC509" i="1"/>
  <c r="CC227" i="1"/>
  <c r="CC433" i="1"/>
  <c r="CC523" i="1"/>
  <c r="CC386" i="1"/>
  <c r="CC61" i="1"/>
  <c r="CC112" i="1"/>
  <c r="CC424" i="1"/>
  <c r="CC41" i="1"/>
  <c r="CC55" i="1"/>
  <c r="CC216" i="1"/>
  <c r="CC2" i="1"/>
  <c r="CC8" i="1"/>
  <c r="CC84" i="1"/>
  <c r="CC175" i="1"/>
  <c r="CC207" i="1"/>
  <c r="CC311" i="1"/>
  <c r="CC70" i="1"/>
  <c r="CC123" i="1"/>
  <c r="CC159" i="1"/>
  <c r="CC44" i="1"/>
  <c r="CC480" i="1"/>
  <c r="CC30" i="1"/>
  <c r="CC336" i="1"/>
  <c r="CC399" i="1"/>
  <c r="CC235" i="1"/>
  <c r="CC73" i="1"/>
  <c r="CC168" i="1"/>
  <c r="CC299" i="1"/>
  <c r="CC57" i="1"/>
  <c r="CC109" i="1"/>
  <c r="CC250" i="1"/>
  <c r="CC327" i="1"/>
  <c r="CC452" i="1"/>
  <c r="CC473" i="1"/>
  <c r="CC547" i="1"/>
  <c r="CC5" i="1"/>
  <c r="CC194" i="1"/>
  <c r="CC281" i="1"/>
  <c r="CC383" i="1"/>
  <c r="CC394" i="1"/>
  <c r="CC17" i="1"/>
  <c r="CC163" i="1"/>
  <c r="CC169" i="1"/>
  <c r="CC49" i="1"/>
  <c r="CC6" i="1"/>
  <c r="CC133" i="1"/>
  <c r="CC484" i="1"/>
  <c r="CC171" i="1"/>
  <c r="CC268" i="1"/>
  <c r="CC142" i="1"/>
  <c r="CC40" i="1"/>
  <c r="CC189" i="1"/>
  <c r="CC264" i="1"/>
  <c r="CC273" i="1"/>
  <c r="CC369" i="1"/>
  <c r="CC550" i="1"/>
  <c r="CC78" i="1"/>
  <c r="CC254" i="1"/>
  <c r="CC406" i="1"/>
  <c r="CC188" i="1"/>
  <c r="CC263" i="1"/>
  <c r="CC546" i="1"/>
  <c r="CC306" i="1"/>
  <c r="CC352" i="1"/>
  <c r="CC419" i="1"/>
  <c r="CC80" i="1"/>
  <c r="CC448" i="1"/>
  <c r="CC58" i="1"/>
  <c r="CC121" i="1"/>
  <c r="CC150" i="1"/>
  <c r="CC476" i="1"/>
  <c r="CC103" i="1"/>
  <c r="CC130" i="1"/>
  <c r="CC238" i="1"/>
  <c r="CC38" i="1"/>
  <c r="CC380" i="1"/>
  <c r="CC403" i="1"/>
  <c r="CC72" i="1"/>
  <c r="CC414" i="1"/>
  <c r="CC46" i="1"/>
  <c r="CC167" i="1"/>
  <c r="CC214" i="1"/>
  <c r="CC314" i="1"/>
  <c r="CC381" i="1"/>
  <c r="CC459" i="1"/>
  <c r="CC378" i="1"/>
  <c r="CC463" i="1"/>
  <c r="CC504" i="1"/>
  <c r="CC349" i="1"/>
  <c r="CC391" i="1"/>
  <c r="CC404" i="1"/>
  <c r="CC525" i="1"/>
  <c r="CC329" i="1"/>
  <c r="CC457" i="1"/>
  <c r="CC191" i="1"/>
  <c r="CC489" i="1"/>
  <c r="CC156" i="1"/>
  <c r="CC258" i="1"/>
  <c r="CC367" i="1"/>
  <c r="CC535" i="1"/>
  <c r="CC520" i="1"/>
  <c r="CC410" i="1"/>
  <c r="CC475" i="1"/>
  <c r="CC256" i="1"/>
  <c r="CC445" i="1"/>
  <c r="CC325" i="1"/>
  <c r="CC333" i="1"/>
  <c r="CC342" i="1"/>
  <c r="CC461" i="1"/>
  <c r="CC536" i="1"/>
  <c r="CC295" i="1"/>
  <c r="CC385" i="1"/>
  <c r="CC417" i="1"/>
  <c r="CC471" i="1"/>
  <c r="CC545" i="1"/>
  <c r="CC497" i="1"/>
  <c r="CC566" i="1"/>
  <c r="CC532" i="1"/>
  <c r="CC555" i="1"/>
  <c r="CC526" i="1"/>
  <c r="CC556" i="1"/>
  <c r="CC407" i="1"/>
  <c r="CC9" i="1"/>
  <c r="CC77" i="1"/>
  <c r="CC18" i="1"/>
  <c r="CC365" i="1"/>
  <c r="CC74" i="1"/>
  <c r="CC31" i="1"/>
  <c r="CC28" i="1"/>
  <c r="CC25" i="1"/>
  <c r="CC21" i="1"/>
  <c r="CC45" i="1"/>
  <c r="CC114" i="1"/>
  <c r="CC16" i="1"/>
  <c r="CC23" i="1"/>
  <c r="CC65" i="1"/>
  <c r="CC105" i="1"/>
  <c r="CC219" i="1"/>
  <c r="CC7" i="1"/>
  <c r="CC4" i="1"/>
  <c r="CC126" i="1"/>
  <c r="CC193" i="1"/>
  <c r="CC213" i="1"/>
  <c r="CC312" i="1"/>
  <c r="CC96" i="1"/>
  <c r="CC274" i="1"/>
  <c r="CC231" i="1"/>
  <c r="CC76" i="1"/>
  <c r="CC148" i="1"/>
  <c r="CC170" i="1"/>
  <c r="CC20" i="1"/>
  <c r="CC86" i="1"/>
  <c r="CC117" i="1"/>
  <c r="CC47" i="1"/>
  <c r="CC36" i="1"/>
  <c r="CC67" i="1"/>
  <c r="CC251" i="1"/>
  <c r="CC85" i="1"/>
  <c r="CC94" i="1"/>
  <c r="CC153" i="1"/>
  <c r="CC127" i="1"/>
  <c r="CC136" i="1"/>
  <c r="CC182" i="1"/>
  <c r="CC242" i="1"/>
  <c r="CC362" i="1"/>
  <c r="CC559" i="1"/>
  <c r="CC11" i="1"/>
  <c r="CC56" i="1"/>
  <c r="CC26" i="1"/>
  <c r="CC239" i="1"/>
  <c r="CC107" i="1"/>
  <c r="CC179" i="1"/>
  <c r="CC14" i="1"/>
  <c r="CC37" i="1"/>
  <c r="CC116" i="1"/>
  <c r="CC118" i="1"/>
  <c r="CC228" i="1"/>
  <c r="CC246" i="1"/>
  <c r="CC27" i="1"/>
  <c r="CC125" i="1"/>
  <c r="CC202" i="1"/>
  <c r="CC149" i="1"/>
  <c r="CC282" i="1"/>
  <c r="CC155" i="1"/>
  <c r="CC222" i="1"/>
  <c r="CC87" i="1"/>
  <c r="CC215" i="1"/>
  <c r="CC285" i="1"/>
  <c r="CC375" i="1"/>
  <c r="CC190" i="1"/>
  <c r="CC199" i="1"/>
  <c r="CC210" i="1"/>
  <c r="CC300" i="1"/>
  <c r="CC177" i="1"/>
  <c r="CC334" i="1"/>
  <c r="CC158" i="1"/>
  <c r="CC217" i="1"/>
  <c r="CC241" i="1"/>
  <c r="CC162" i="1"/>
  <c r="CC244" i="1"/>
  <c r="CC186" i="1"/>
  <c r="CC321" i="1"/>
  <c r="CC145" i="1"/>
  <c r="CC160" i="1"/>
  <c r="CC197" i="1"/>
  <c r="CC206" i="1"/>
  <c r="CC294" i="1"/>
  <c r="CC267" i="1"/>
  <c r="CC139" i="1"/>
  <c r="CC372" i="1"/>
  <c r="CC248" i="1"/>
  <c r="CC290" i="1"/>
  <c r="CC319" i="1"/>
  <c r="CC539" i="1"/>
  <c r="CC225" i="1"/>
  <c r="CC288" i="1"/>
  <c r="CC326" i="1"/>
  <c r="CC421" i="1"/>
  <c r="CC441" i="1"/>
  <c r="CC301" i="1"/>
  <c r="CC292" i="1"/>
  <c r="CC415" i="1"/>
  <c r="CC265" i="1"/>
  <c r="CC286" i="1"/>
  <c r="CC317" i="1"/>
  <c r="CC418" i="1"/>
  <c r="CC232" i="1"/>
  <c r="CC310" i="1"/>
  <c r="CC252" i="1"/>
  <c r="CC305" i="1"/>
  <c r="CC408" i="1"/>
  <c r="CC172" i="1"/>
  <c r="CC192" i="1"/>
  <c r="CC212" i="1"/>
  <c r="CC259" i="1"/>
  <c r="CC350" i="1"/>
  <c r="CC307" i="1"/>
  <c r="CC569" i="1"/>
  <c r="CC337" i="1"/>
  <c r="CC343" i="1"/>
  <c r="CC366" i="1"/>
  <c r="CC358" i="1"/>
  <c r="CC388" i="1"/>
  <c r="CC453" i="1"/>
  <c r="CC443" i="1"/>
  <c r="CC293" i="1"/>
  <c r="CC297" i="1"/>
  <c r="CC456" i="1"/>
  <c r="CC466" i="1"/>
  <c r="CC477" i="1"/>
  <c r="CC454" i="1"/>
  <c r="CC397" i="1"/>
  <c r="CC384" i="1"/>
  <c r="CC434" i="1"/>
  <c r="CC320" i="1"/>
  <c r="CC440" i="1"/>
  <c r="CC474" i="1"/>
  <c r="CC340" i="1"/>
  <c r="CC376" i="1"/>
  <c r="CC413" i="1"/>
  <c r="CC436" i="1"/>
  <c r="CC486" i="1"/>
  <c r="CC355" i="1"/>
  <c r="CC374" i="1"/>
  <c r="CC420" i="1"/>
  <c r="CC392" i="1"/>
  <c r="CC395" i="1"/>
  <c r="CC411" i="1"/>
  <c r="CC371" i="1"/>
  <c r="CC450" i="1"/>
  <c r="CC447" i="1"/>
  <c r="CC468" i="1"/>
  <c r="CC364" i="1"/>
  <c r="CC389" i="1"/>
  <c r="CC427" i="1"/>
  <c r="CC483" i="1"/>
  <c r="CC512" i="1"/>
  <c r="CC515" i="1"/>
  <c r="CC361" i="1"/>
  <c r="CC430" i="1"/>
  <c r="CC462" i="1"/>
  <c r="CC465" i="1"/>
  <c r="CC451" i="1"/>
  <c r="CC499" i="1"/>
  <c r="CC494" i="1"/>
  <c r="CC517" i="1"/>
  <c r="CC521" i="1"/>
  <c r="CC501" i="1"/>
  <c r="CC507" i="1"/>
  <c r="CC564" i="1"/>
  <c r="CC498" i="1"/>
  <c r="CC481" i="1"/>
  <c r="CC508" i="1"/>
  <c r="CC524" i="1"/>
  <c r="CC534" i="1"/>
  <c r="CC549" i="1"/>
  <c r="CC511" i="1"/>
  <c r="CC554" i="1"/>
</calcChain>
</file>

<file path=xl/sharedStrings.xml><?xml version="1.0" encoding="utf-8"?>
<sst xmlns="http://schemas.openxmlformats.org/spreadsheetml/2006/main" count="7530" uniqueCount="1116">
  <si>
    <t>Código</t>
  </si>
  <si>
    <t>Grupo alimentario</t>
  </si>
  <si>
    <t>Subgrupo alimentario</t>
  </si>
  <si>
    <t>Nombre</t>
  </si>
  <si>
    <t>Sinonimo</t>
  </si>
  <si>
    <t>Precio por libra</t>
  </si>
  <si>
    <t>Precio por gramo</t>
  </si>
  <si>
    <t>P. comestible (por 1 g)</t>
  </si>
  <si>
    <t>Energía (kcal)</t>
  </si>
  <si>
    <t>Agua (g)</t>
  </si>
  <si>
    <t>Alcohol (g)</t>
  </si>
  <si>
    <t>Proteínas (g)</t>
  </si>
  <si>
    <t>H. de Carbono (g)</t>
  </si>
  <si>
    <t>Almidón (g)</t>
  </si>
  <si>
    <t>Azúcares sencillos (g)</t>
  </si>
  <si>
    <t>Azúcares libres (g)</t>
  </si>
  <si>
    <t>Fibra vegetal (g)</t>
  </si>
  <si>
    <t>Grasa total (g)</t>
  </si>
  <si>
    <t>AGS (g)</t>
  </si>
  <si>
    <t>AGM (g)</t>
  </si>
  <si>
    <t>AGP (g)</t>
  </si>
  <si>
    <t>Colesterol (mg)</t>
  </si>
  <si>
    <t>Vitamina A Eq. Retinol (µg)</t>
  </si>
  <si>
    <t>Retinol (µg)</t>
  </si>
  <si>
    <t>Carotenoides Eq. ß-caroteno (µg)</t>
  </si>
  <si>
    <t>Vit. D (µg)</t>
  </si>
  <si>
    <t>Vit. E Eq. a-tocoferol (mg)</t>
  </si>
  <si>
    <t>Vit. K (µg)</t>
  </si>
  <si>
    <t>Vitamina B1 (mg)</t>
  </si>
  <si>
    <t>Vitamina B2 (mg)</t>
  </si>
  <si>
    <t>Eq. de Niacina (mg)</t>
  </si>
  <si>
    <t>Vit. B6 (mg)</t>
  </si>
  <si>
    <t>Eq. Folato dietético (µg)</t>
  </si>
  <si>
    <t>Vit. B12 (µg)</t>
  </si>
  <si>
    <t>Pantoténico (mg)</t>
  </si>
  <si>
    <t>Biotina (µg)</t>
  </si>
  <si>
    <t>Vit. C (mg)</t>
  </si>
  <si>
    <t>Calcio (mg)</t>
  </si>
  <si>
    <t>Fósforo (mg)</t>
  </si>
  <si>
    <t>Hierro (mg)</t>
  </si>
  <si>
    <t>Iodo (µg)</t>
  </si>
  <si>
    <t>Cinc (mg)</t>
  </si>
  <si>
    <t>Magnesio (mg)</t>
  </si>
  <si>
    <t>Sodio (mg)</t>
  </si>
  <si>
    <t>Potasio (mg)</t>
  </si>
  <si>
    <t>Manganeso (mg)</t>
  </si>
  <si>
    <t>Cobre (mg)</t>
  </si>
  <si>
    <t>Selenio (µg)</t>
  </si>
  <si>
    <t>Omega-3 (g)</t>
  </si>
  <si>
    <t>Tipo_Omega_3</t>
  </si>
  <si>
    <t>Grasas Trans (g)</t>
  </si>
  <si>
    <t>Polifenoles (mg)</t>
  </si>
  <si>
    <t>Probióticos (Billones UFC)</t>
  </si>
  <si>
    <t xml:space="preserve">Densidad_Proteica </t>
  </si>
  <si>
    <t>Densidad_Fibra</t>
  </si>
  <si>
    <t>Densidad_Calcio</t>
  </si>
  <si>
    <t>Densidad_Hierro</t>
  </si>
  <si>
    <t>Densidad_Sodio</t>
  </si>
  <si>
    <t>Relacion_AGP_AGS</t>
  </si>
  <si>
    <t>Relacion_Ca_P</t>
  </si>
  <si>
    <t>Carga_Grasa_Saturada</t>
  </si>
  <si>
    <t>Retención de Líquidos</t>
  </si>
  <si>
    <t>Proporción de Azúcar en el Carbohidrato</t>
  </si>
  <si>
    <t>Ratio Fibra</t>
  </si>
  <si>
    <t>Porcentaje de Calorías provenientes de las Grasas</t>
  </si>
  <si>
    <t>Densidad de Magnesio</t>
  </si>
  <si>
    <t>Etiqueta de Densidad Proteica</t>
  </si>
  <si>
    <t>Etiqueta  Densidad Fibra</t>
  </si>
  <si>
    <t xml:space="preserve">Etiqueta Densidad Calcio </t>
  </si>
  <si>
    <t>Etiqueta Densidad Hierro</t>
  </si>
  <si>
    <t>Etiqueta Densidad Sodio</t>
  </si>
  <si>
    <t>Etiqueta Relación AGP / AGS</t>
  </si>
  <si>
    <t>Etiqueta Porcentaje de Calorías de las Grasas</t>
  </si>
  <si>
    <t>Retención de Líquidos (Na / K)</t>
  </si>
  <si>
    <t>Etiqueta Densidad Magnesio</t>
  </si>
  <si>
    <t>Etiqueta_Omega_3</t>
  </si>
  <si>
    <t>Etiqueta_Grasas_Trans</t>
  </si>
  <si>
    <t>Etiqueta_Polifenoles</t>
  </si>
  <si>
    <t>Etiqueta_Probióticos</t>
  </si>
  <si>
    <t>Índice Inflamatorio de Grasas</t>
  </si>
  <si>
    <t>CEREALES</t>
  </si>
  <si>
    <t>Cereales de desayuno</t>
  </si>
  <si>
    <t>Malta</t>
  </si>
  <si>
    <t>Granos y harinas</t>
  </si>
  <si>
    <t>Arroz</t>
  </si>
  <si>
    <t>Arroz blanco de cocción rápida</t>
  </si>
  <si>
    <t>Arroz instantáneo</t>
  </si>
  <si>
    <t>Arroz integral</t>
  </si>
  <si>
    <t>Avena</t>
  </si>
  <si>
    <t>Cebada</t>
  </si>
  <si>
    <t>Centeno</t>
  </si>
  <si>
    <t>Fécula de maíz</t>
  </si>
  <si>
    <t>Maicena</t>
  </si>
  <si>
    <t>Harina de arroz</t>
  </si>
  <si>
    <t>Harina de centeno</t>
  </si>
  <si>
    <t>Harina de maíz</t>
  </si>
  <si>
    <t>Harina de trigo</t>
  </si>
  <si>
    <t>Harina integral de trigo</t>
  </si>
  <si>
    <t>Máchica</t>
  </si>
  <si>
    <t>Tostado; Gofio canario</t>
  </si>
  <si>
    <t>Maíz en grano hervido en lata</t>
  </si>
  <si>
    <t>Maíz en mazorca crudo</t>
  </si>
  <si>
    <t>Maíz en mazorca hervido</t>
  </si>
  <si>
    <t>Quinoa</t>
  </si>
  <si>
    <t>Sémola de trigo</t>
  </si>
  <si>
    <t>Panes</t>
  </si>
  <si>
    <t>Masa de hojaldre congelada</t>
  </si>
  <si>
    <t>Masa quebrada</t>
  </si>
  <si>
    <t>Pan blanco</t>
  </si>
  <si>
    <t>Pan blanco sin sal</t>
  </si>
  <si>
    <t>Pan blanco tipo baguette</t>
  </si>
  <si>
    <t>Pan blanco tostado</t>
  </si>
  <si>
    <t>Pan blanco tostado sin sal</t>
  </si>
  <si>
    <t>Pan de avena</t>
  </si>
  <si>
    <t>Pan de cebada</t>
  </si>
  <si>
    <t>Pan de centeno</t>
  </si>
  <si>
    <t>Pan de pita</t>
  </si>
  <si>
    <t>Pan de trigo y centeno</t>
  </si>
  <si>
    <t>Pan integral</t>
  </si>
  <si>
    <t>Pan integral tostado</t>
  </si>
  <si>
    <t>Pan sin gluten</t>
  </si>
  <si>
    <t>Pan tipo hamburguesa</t>
  </si>
  <si>
    <t>Pan tipo picatoste con omega 3</t>
  </si>
  <si>
    <t>Panecillos hechos con aceite de oliva</t>
  </si>
  <si>
    <t>Picatostes</t>
  </si>
  <si>
    <t>Pastas</t>
  </si>
  <si>
    <t>Cuscús</t>
  </si>
  <si>
    <t>Pasta</t>
  </si>
  <si>
    <t>Pasta al huevo</t>
  </si>
  <si>
    <t>Pasta de colores</t>
  </si>
  <si>
    <t>Pasta fresca cocida</t>
  </si>
  <si>
    <t>Pasta integral</t>
  </si>
  <si>
    <t>Pasta rellena de carne hervida</t>
  </si>
  <si>
    <t>Pasta rellena de queso hervida</t>
  </si>
  <si>
    <t>LEGUMBRES</t>
  </si>
  <si>
    <t>Derivados de legumbres</t>
  </si>
  <si>
    <t>Batido fermentado de soja</t>
  </si>
  <si>
    <t>Bebida de soja</t>
  </si>
  <si>
    <t>Brote de soja</t>
  </si>
  <si>
    <t>Fideos de soja</t>
  </si>
  <si>
    <t>Hamburguesa vegetal</t>
  </si>
  <si>
    <t>Harina de soja</t>
  </si>
  <si>
    <t>Lecitina de soja</t>
  </si>
  <si>
    <t>Lentejas</t>
  </si>
  <si>
    <t>brotes</t>
  </si>
  <si>
    <t>Salchicha vegetal</t>
  </si>
  <si>
    <t>Tempeh</t>
  </si>
  <si>
    <t>Legumbres en conserva</t>
  </si>
  <si>
    <t>Garbanzo en conserva</t>
  </si>
  <si>
    <t>Judía blanca en conserva</t>
  </si>
  <si>
    <t>Judía pinta en conserva</t>
  </si>
  <si>
    <t>Lenteja en conserva</t>
  </si>
  <si>
    <t>Legumbres secas</t>
  </si>
  <si>
    <t>Altramuz seco</t>
  </si>
  <si>
    <t>Garbanzo</t>
  </si>
  <si>
    <t>Haba seca</t>
  </si>
  <si>
    <t>Harina de algarrobo</t>
  </si>
  <si>
    <t>Judía blanca</t>
  </si>
  <si>
    <t>Judía pinta</t>
  </si>
  <si>
    <t>Lenteja</t>
  </si>
  <si>
    <t>Soja</t>
  </si>
  <si>
    <t>VERDURAS Y HORTALIZAS</t>
  </si>
  <si>
    <t>Setas en conserva</t>
  </si>
  <si>
    <t>Champiñón en conserva</t>
  </si>
  <si>
    <t>Setas frescas</t>
  </si>
  <si>
    <t>Champiñón</t>
  </si>
  <si>
    <t>Tubérculos y raíces</t>
  </si>
  <si>
    <t>Boniato</t>
  </si>
  <si>
    <t>Fécula de patata</t>
  </si>
  <si>
    <t>Almido de papa</t>
  </si>
  <si>
    <t>Harina de tapioca</t>
  </si>
  <si>
    <t>Nabo</t>
  </si>
  <si>
    <t>Patata nueva</t>
  </si>
  <si>
    <t>Rábano</t>
  </si>
  <si>
    <t>Remolacha</t>
  </si>
  <si>
    <t>Tapioca</t>
  </si>
  <si>
    <t>Yuca</t>
  </si>
  <si>
    <t>mandioca, casava</t>
  </si>
  <si>
    <t>Zanahoria</t>
  </si>
  <si>
    <t>Verduras congeladas</t>
  </si>
  <si>
    <t>Alcachofa congelada</t>
  </si>
  <si>
    <t>Espinaca congelada</t>
  </si>
  <si>
    <t>Guisante congelado</t>
  </si>
  <si>
    <t>Judía verde congelada</t>
  </si>
  <si>
    <t>Verduras en conserva</t>
  </si>
  <si>
    <t>Esparrago de lata</t>
  </si>
  <si>
    <t>Espinaca en conserva</t>
  </si>
  <si>
    <t>Guisante en conserva</t>
  </si>
  <si>
    <t>Judía verde en conserva</t>
  </si>
  <si>
    <t>Palmito en conserva</t>
  </si>
  <si>
    <t>Pimiento del piquillo en conserva</t>
  </si>
  <si>
    <t>Pimiento morrón en conserva</t>
  </si>
  <si>
    <t>Pimiento rojo asado en conserva</t>
  </si>
  <si>
    <t>Puerro en conserva</t>
  </si>
  <si>
    <t>Verduras frescas</t>
  </si>
  <si>
    <t>Acelga</t>
  </si>
  <si>
    <t>Ajo</t>
  </si>
  <si>
    <t>Alcachofa</t>
  </si>
  <si>
    <t>Apio</t>
  </si>
  <si>
    <t>Berenjena</t>
  </si>
  <si>
    <t>Berro</t>
  </si>
  <si>
    <t>Borraja</t>
  </si>
  <si>
    <t>Brécol</t>
  </si>
  <si>
    <t>Brócoli</t>
  </si>
  <si>
    <t>Calabacín</t>
  </si>
  <si>
    <t>Calabaza</t>
  </si>
  <si>
    <t>Cebolla</t>
  </si>
  <si>
    <t>Chile rojo</t>
  </si>
  <si>
    <t>Chile verde</t>
  </si>
  <si>
    <t>Chirivía</t>
  </si>
  <si>
    <t>Col</t>
  </si>
  <si>
    <t>Col de Bruselas</t>
  </si>
  <si>
    <t>Col rizada</t>
  </si>
  <si>
    <t>Coliflor</t>
  </si>
  <si>
    <t>Escarola</t>
  </si>
  <si>
    <t>Espinaca</t>
  </si>
  <si>
    <t>Guisante verde</t>
  </si>
  <si>
    <t>Haba fresca</t>
  </si>
  <si>
    <t>Judía verde</t>
  </si>
  <si>
    <t>Lechuga</t>
  </si>
  <si>
    <t>Lombarda</t>
  </si>
  <si>
    <t>Col Morada</t>
  </si>
  <si>
    <t>Nopal</t>
  </si>
  <si>
    <t>Pepino</t>
  </si>
  <si>
    <t>Pimiento rojo</t>
  </si>
  <si>
    <t>Pimiento verde</t>
  </si>
  <si>
    <t>Puerro</t>
  </si>
  <si>
    <t>Repollo</t>
  </si>
  <si>
    <t>Tomate</t>
  </si>
  <si>
    <t>Tomate cherry</t>
  </si>
  <si>
    <t>Zumos naturales de verduras</t>
  </si>
  <si>
    <t>Zumo de aloe vera</t>
  </si>
  <si>
    <t>Zumo de tomate natural</t>
  </si>
  <si>
    <t>Zumo de zanahoria natural</t>
  </si>
  <si>
    <t>FRUTAS</t>
  </si>
  <si>
    <t>Derivados de frutas</t>
  </si>
  <si>
    <t>Crema de almendras</t>
  </si>
  <si>
    <t>Crema de cacahuete</t>
  </si>
  <si>
    <t>Dulce de membrillo y pastas de frutas</t>
  </si>
  <si>
    <t>Mermelada de albaricoque y melocotón</t>
  </si>
  <si>
    <t>Mermelada de albaricoque y melocotón baja en calorías</t>
  </si>
  <si>
    <t>Mermelada de cereza</t>
  </si>
  <si>
    <t>Mermelada de ciruela</t>
  </si>
  <si>
    <t>Mermelada de frambuesa</t>
  </si>
  <si>
    <t>Mermelada de fresa</t>
  </si>
  <si>
    <t>Mermelada de fresa baja en calorías</t>
  </si>
  <si>
    <t>Mermelada de mora</t>
  </si>
  <si>
    <t>Mermelada de naranja</t>
  </si>
  <si>
    <t>Mermelada de tomate</t>
  </si>
  <si>
    <t>Frutas desecadas</t>
  </si>
  <si>
    <t>Albaricoque seco</t>
  </si>
  <si>
    <t>Ciruela seca</t>
  </si>
  <si>
    <t>Coco rallado</t>
  </si>
  <si>
    <t>Dátil</t>
  </si>
  <si>
    <t>Pasa</t>
  </si>
  <si>
    <t>Frutas frescas</t>
  </si>
  <si>
    <t>Aguacate</t>
  </si>
  <si>
    <t>Palta</t>
  </si>
  <si>
    <t>Albaricoque</t>
  </si>
  <si>
    <t>Arándano</t>
  </si>
  <si>
    <t>Caqui</t>
  </si>
  <si>
    <t>Carambola</t>
  </si>
  <si>
    <t>Cereza</t>
  </si>
  <si>
    <t>Chirimoya</t>
  </si>
  <si>
    <t>Ciruela</t>
  </si>
  <si>
    <t>Coco fresco</t>
  </si>
  <si>
    <t>Frambuesa</t>
  </si>
  <si>
    <t xml:space="preserve">Fresa </t>
  </si>
  <si>
    <t>fresón,frutilla</t>
  </si>
  <si>
    <t>Granada</t>
  </si>
  <si>
    <t>Grosella negra</t>
  </si>
  <si>
    <t>Grosella roja</t>
  </si>
  <si>
    <t>Guayaba</t>
  </si>
  <si>
    <t>Higo</t>
  </si>
  <si>
    <t>Kiwi</t>
  </si>
  <si>
    <t>Lima</t>
  </si>
  <si>
    <t>Limón</t>
  </si>
  <si>
    <t>Litchi</t>
  </si>
  <si>
    <t>Achotillo</t>
  </si>
  <si>
    <t>Mandarina</t>
  </si>
  <si>
    <t>Manzana</t>
  </si>
  <si>
    <t>Maracuyá</t>
  </si>
  <si>
    <t>Melocotón</t>
  </si>
  <si>
    <t>Melón</t>
  </si>
  <si>
    <t>Membrillo</t>
  </si>
  <si>
    <t>Mora</t>
  </si>
  <si>
    <t>Naranja</t>
  </si>
  <si>
    <t>Nectarina</t>
  </si>
  <si>
    <t>Níspero</t>
  </si>
  <si>
    <t>Papaya</t>
  </si>
  <si>
    <t>Pera</t>
  </si>
  <si>
    <t>Piña</t>
  </si>
  <si>
    <t>Plátano</t>
  </si>
  <si>
    <t>Plátano macho o hartón</t>
  </si>
  <si>
    <t>Pomelo</t>
  </si>
  <si>
    <t>Sandia</t>
  </si>
  <si>
    <t>Tamarindo</t>
  </si>
  <si>
    <t>pulpa</t>
  </si>
  <si>
    <t>Uva blanca</t>
  </si>
  <si>
    <t>Uva negra</t>
  </si>
  <si>
    <t>Frutos secos (y similares)</t>
  </si>
  <si>
    <t>Almendra con cascara</t>
  </si>
  <si>
    <t>Avellana con cascara</t>
  </si>
  <si>
    <t>Avellana sin cascara</t>
  </si>
  <si>
    <t>Cacahuete con cascara</t>
  </si>
  <si>
    <t>maní con cascara</t>
  </si>
  <si>
    <t>Cacahuete frito salado sin cascara</t>
  </si>
  <si>
    <t>maní frito salado sin sal</t>
  </si>
  <si>
    <t>Cacahuete sin cascara</t>
  </si>
  <si>
    <t>maní pelado</t>
  </si>
  <si>
    <t>Castaña</t>
  </si>
  <si>
    <t>Nueces de macadamia sin cascara</t>
  </si>
  <si>
    <t>Nueces pecanas sin cascara</t>
  </si>
  <si>
    <t>Nuez con cascara</t>
  </si>
  <si>
    <t>Nuez sin cascara</t>
  </si>
  <si>
    <t>Pipa de girasol pelada con sal</t>
  </si>
  <si>
    <t>Pipa de girasol pelada sin sal</t>
  </si>
  <si>
    <t>Pipas de calabaza sin cascara tostadas sin sal</t>
  </si>
  <si>
    <t>Pistacho</t>
  </si>
  <si>
    <t>Pistacho tostado salado</t>
  </si>
  <si>
    <t>Zumos naturales de frutas</t>
  </si>
  <si>
    <t>Zumo de limón natural</t>
  </si>
  <si>
    <t>Zumo de naranja</t>
  </si>
  <si>
    <t>LÁCTEOS Y DERIVADOS</t>
  </si>
  <si>
    <t>Leches</t>
  </si>
  <si>
    <t>Leche concentrada</t>
  </si>
  <si>
    <t>Leche condensada azucarada</t>
  </si>
  <si>
    <t>Leche condensada desnatada con azúcar</t>
  </si>
  <si>
    <t>Leche de cabra</t>
  </si>
  <si>
    <t>Leche de oveja</t>
  </si>
  <si>
    <t>Leche de vaca desnatada</t>
  </si>
  <si>
    <t>Leche de vaca entera</t>
  </si>
  <si>
    <t>Leche de vaca semidesnatada</t>
  </si>
  <si>
    <t>Leche desnatada sin lactosa</t>
  </si>
  <si>
    <t>Leche en polvo desnatada</t>
  </si>
  <si>
    <t>Leche en polvo entera</t>
  </si>
  <si>
    <t>Leche en polvo semidesnatada</t>
  </si>
  <si>
    <t>Leche entera sin lactosa</t>
  </si>
  <si>
    <t>Leche evaporada entera</t>
  </si>
  <si>
    <t>Leche semidesnatada sin lactosa</t>
  </si>
  <si>
    <t>Natas</t>
  </si>
  <si>
    <t>Nata liquida para cocinar</t>
  </si>
  <si>
    <t>Quesos</t>
  </si>
  <si>
    <t>Queso Amasado Don Queso</t>
  </si>
  <si>
    <t>Queso amasado ecuatoriano</t>
  </si>
  <si>
    <t>Queso azul</t>
  </si>
  <si>
    <t>Queso Cheddar</t>
  </si>
  <si>
    <t>Queso Criollo Cremosísimo La Holandesa</t>
  </si>
  <si>
    <t>Queso criollo</t>
  </si>
  <si>
    <t>Queso de cabra curado</t>
  </si>
  <si>
    <t>Queso de cabra semicurado</t>
  </si>
  <si>
    <t>Queso de cabra tierno</t>
  </si>
  <si>
    <t>Queso en lonchas</t>
  </si>
  <si>
    <t>Queso Fresco Cremoso Kiosko</t>
  </si>
  <si>
    <t>Queso fresco ecuatoriano</t>
  </si>
  <si>
    <t>Queso Fresco Siberia</t>
  </si>
  <si>
    <t>Queso fresco</t>
  </si>
  <si>
    <t>Queso Manaba Auténtico La Holandesa</t>
  </si>
  <si>
    <t>Queso manaba</t>
  </si>
  <si>
    <t>Queso Mozzarella</t>
  </si>
  <si>
    <t>Queso Mozzarella Florap</t>
  </si>
  <si>
    <t>Mozzarella</t>
  </si>
  <si>
    <t>Queso Mozzarella Kiosko</t>
  </si>
  <si>
    <t>Mozzarella ecuatoriana</t>
  </si>
  <si>
    <t>Queso Parmesano</t>
  </si>
  <si>
    <t>Queso quark descremado</t>
  </si>
  <si>
    <t>Yogures y leches fermentadas</t>
  </si>
  <si>
    <t>Kéfir</t>
  </si>
  <si>
    <t>Yogur de soja</t>
  </si>
  <si>
    <t>Yogur desnatado con cereales</t>
  </si>
  <si>
    <t>Yogur desnatado con fruta</t>
  </si>
  <si>
    <t>Yogur desnatado de sabores</t>
  </si>
  <si>
    <t>Yogur desnatado natural</t>
  </si>
  <si>
    <t>Yogur desnatado natural azucarado</t>
  </si>
  <si>
    <t>Yogur desnatado natural edulcorado</t>
  </si>
  <si>
    <t>Yogur entero con cereales</t>
  </si>
  <si>
    <t>Yogur entero con fruta</t>
  </si>
  <si>
    <t>Yogur entero de sabores</t>
  </si>
  <si>
    <t>Yogur entero natural azucarado</t>
  </si>
  <si>
    <t>Yogur liquido con pulpa de fruta</t>
  </si>
  <si>
    <t>Yogur liquido de sabores</t>
  </si>
  <si>
    <t>Yogur liquido natural azucarado</t>
  </si>
  <si>
    <t>Yogur natural entero</t>
  </si>
  <si>
    <t>Yogur sin lactosa natural azucarado</t>
  </si>
  <si>
    <t>Yogur tipo griego</t>
  </si>
  <si>
    <t>HUEVOS Y DERIVADOS</t>
  </si>
  <si>
    <t>Huevos</t>
  </si>
  <si>
    <t>Clara de gallina</t>
  </si>
  <si>
    <t>Huevo de codorniz</t>
  </si>
  <si>
    <t>Huevo de pato</t>
  </si>
  <si>
    <t>Yema de huevo</t>
  </si>
  <si>
    <t>CARNES Y DERIVADOS</t>
  </si>
  <si>
    <t>Aves</t>
  </si>
  <si>
    <t>Ala de pollo</t>
  </si>
  <si>
    <t>Codorniz</t>
  </si>
  <si>
    <t>Gallina entera</t>
  </si>
  <si>
    <t>Muslo de pavo</t>
  </si>
  <si>
    <t>Muslo de pollo</t>
  </si>
  <si>
    <t>Oca deshuesada sin piel</t>
  </si>
  <si>
    <t>Oca entera</t>
  </si>
  <si>
    <t>Paloma</t>
  </si>
  <si>
    <t>Pato entero</t>
  </si>
  <si>
    <t>Pavo</t>
  </si>
  <si>
    <t>Pechuga de pavo</t>
  </si>
  <si>
    <t>Pechuga de pollo</t>
  </si>
  <si>
    <t>Pollo entero</t>
  </si>
  <si>
    <t>pollo</t>
  </si>
  <si>
    <t>Cerdo</t>
  </si>
  <si>
    <t>Bacon</t>
  </si>
  <si>
    <t>Carne de cerdo semigrasa</t>
  </si>
  <si>
    <t>Cerdo magro</t>
  </si>
  <si>
    <t>Chuleta de cerdo</t>
  </si>
  <si>
    <t>Costilla de cerdo</t>
  </si>
  <si>
    <t>Lomo de cerdo</t>
  </si>
  <si>
    <t>Manita de cerdo</t>
  </si>
  <si>
    <t>Paletilla de cerdo</t>
  </si>
  <si>
    <t>Panceta</t>
  </si>
  <si>
    <t>Solomillo de cerdo</t>
  </si>
  <si>
    <t>Tocino</t>
  </si>
  <si>
    <t>Cordero</t>
  </si>
  <si>
    <t>Chuleta de cordero</t>
  </si>
  <si>
    <t>Paleta de cordero</t>
  </si>
  <si>
    <t>Pierna de cordero</t>
  </si>
  <si>
    <t>Embutidos</t>
  </si>
  <si>
    <t>Butifarra</t>
  </si>
  <si>
    <t>Cabeza de cerdo</t>
  </si>
  <si>
    <t>Chistorra</t>
  </si>
  <si>
    <t>Chopped de cerdo</t>
  </si>
  <si>
    <t>Chorizo</t>
  </si>
  <si>
    <t>Jamón cocido</t>
  </si>
  <si>
    <t>Jamón cocido enlatado</t>
  </si>
  <si>
    <t>Jamón ibérico</t>
  </si>
  <si>
    <t>Jamón serrano</t>
  </si>
  <si>
    <t>Lomo embuchado</t>
  </si>
  <si>
    <t>Longaniza</t>
  </si>
  <si>
    <t>Morcilla de arroz</t>
  </si>
  <si>
    <t>Mortadela</t>
  </si>
  <si>
    <t>Pechuga de pavo embutido</t>
  </si>
  <si>
    <t>Salami</t>
  </si>
  <si>
    <t>Salchicha fresca</t>
  </si>
  <si>
    <t>Salchichón</t>
  </si>
  <si>
    <t>Otras carnes</t>
  </si>
  <si>
    <t>Cabrito</t>
  </si>
  <si>
    <t>Carne de caballo</t>
  </si>
  <si>
    <t>Carne de conejo grasa</t>
  </si>
  <si>
    <t>Conejo</t>
  </si>
  <si>
    <t>Cuy</t>
  </si>
  <si>
    <t>Liebre</t>
  </si>
  <si>
    <t>Lomo de conejo</t>
  </si>
  <si>
    <t>Pierna de conejo</t>
  </si>
  <si>
    <t>Vacuno</t>
  </si>
  <si>
    <t>Añojo lomo</t>
  </si>
  <si>
    <t>Carne de vaca 2ªy3ª</t>
  </si>
  <si>
    <t>Carne de vaca grasa</t>
  </si>
  <si>
    <t>Carne de vaca magra</t>
  </si>
  <si>
    <t>Carne semigrasa de vaca</t>
  </si>
  <si>
    <t>Chuleta de ternera</t>
  </si>
  <si>
    <t>Lomo de ternera</t>
  </si>
  <si>
    <t>Rabo de toro</t>
  </si>
  <si>
    <t>Ternera de 2ª y 3ª</t>
  </si>
  <si>
    <t>Ternera magra</t>
  </si>
  <si>
    <t>Ternera semigrasa</t>
  </si>
  <si>
    <t>Vísceras</t>
  </si>
  <si>
    <t>Callos de ternera</t>
  </si>
  <si>
    <t>Corazón de cerdo</t>
  </si>
  <si>
    <t>Corazón de cordero</t>
  </si>
  <si>
    <t>Corazón de pollo</t>
  </si>
  <si>
    <t>Corazón de vaca</t>
  </si>
  <si>
    <t>Hígado de cerdo</t>
  </si>
  <si>
    <t>Hígado de cordero</t>
  </si>
  <si>
    <t>Hígado de pollo</t>
  </si>
  <si>
    <t>Hígado de vaca</t>
  </si>
  <si>
    <t>Lengua de cerdo</t>
  </si>
  <si>
    <t>Lengua de cordero</t>
  </si>
  <si>
    <t>Lengua de ternera</t>
  </si>
  <si>
    <t>Lengua de vaca</t>
  </si>
  <si>
    <t>Molleja de cordero</t>
  </si>
  <si>
    <t>Molleja de ternera</t>
  </si>
  <si>
    <t>Pulmón de cerdo</t>
  </si>
  <si>
    <t>Pulmón de cordero</t>
  </si>
  <si>
    <t>Pulmón de ternera</t>
  </si>
  <si>
    <t>Riñón de cerdo</t>
  </si>
  <si>
    <t>Riñón de cordero</t>
  </si>
  <si>
    <t>Riñón de ternera</t>
  </si>
  <si>
    <t>Sangre de cerdo</t>
  </si>
  <si>
    <t>Seso de cerdo</t>
  </si>
  <si>
    <t>Seso de cordero</t>
  </si>
  <si>
    <t>Seso de ternera</t>
  </si>
  <si>
    <t>PESCADOS Y DERIVADOS</t>
  </si>
  <si>
    <t>Mariscos y derivados</t>
  </si>
  <si>
    <t>Almeja</t>
  </si>
  <si>
    <t>Berberecho</t>
  </si>
  <si>
    <t>Bogavante</t>
  </si>
  <si>
    <t>Calamar</t>
  </si>
  <si>
    <t>Cangrejo y similares</t>
  </si>
  <si>
    <t>Centollo</t>
  </si>
  <si>
    <t>Chipirón</t>
  </si>
  <si>
    <t>Cigala</t>
  </si>
  <si>
    <t>Gamba roja</t>
  </si>
  <si>
    <t>Langosta</t>
  </si>
  <si>
    <t>Langostino</t>
  </si>
  <si>
    <t>Mejillón</t>
  </si>
  <si>
    <t>Ostra</t>
  </si>
  <si>
    <t>Pulpo</t>
  </si>
  <si>
    <t>Pescado azul</t>
  </si>
  <si>
    <t>Anguila</t>
  </si>
  <si>
    <t>Angula</t>
  </si>
  <si>
    <t>Atún</t>
  </si>
  <si>
    <t>Bonito</t>
  </si>
  <si>
    <t>Boquerón</t>
  </si>
  <si>
    <t>Caballa</t>
  </si>
  <si>
    <t>Carpa</t>
  </si>
  <si>
    <t>Congrio</t>
  </si>
  <si>
    <t>Jurel</t>
  </si>
  <si>
    <t>Palometa</t>
  </si>
  <si>
    <t>Pez espada</t>
  </si>
  <si>
    <t>Salmon</t>
  </si>
  <si>
    <t>Salmonete</t>
  </si>
  <si>
    <t>Sardina</t>
  </si>
  <si>
    <t>Sargo</t>
  </si>
  <si>
    <t>Trucha</t>
  </si>
  <si>
    <t>Pescado blanco</t>
  </si>
  <si>
    <t>Abadejo</t>
  </si>
  <si>
    <t>Bacalao fresco</t>
  </si>
  <si>
    <t>Dorada</t>
  </si>
  <si>
    <t>Lubina</t>
  </si>
  <si>
    <t>Merluza</t>
  </si>
  <si>
    <t>Mero</t>
  </si>
  <si>
    <t>Mújol</t>
  </si>
  <si>
    <t>Panga</t>
  </si>
  <si>
    <t>Perca</t>
  </si>
  <si>
    <t>Pescadilla</t>
  </si>
  <si>
    <t>Platija</t>
  </si>
  <si>
    <t>Rape</t>
  </si>
  <si>
    <t>Raya</t>
  </si>
  <si>
    <t>Rodaballo</t>
  </si>
  <si>
    <t>Rosada</t>
  </si>
  <si>
    <t>Pescados ahumados</t>
  </si>
  <si>
    <t>Salmon ahumado</t>
  </si>
  <si>
    <t>Pescados en conserva</t>
  </si>
  <si>
    <t>Anchoa en aceite</t>
  </si>
  <si>
    <t>Atún al natural</t>
  </si>
  <si>
    <t>Atún en aceite</t>
  </si>
  <si>
    <t>Atún en escabeche</t>
  </si>
  <si>
    <t>Bonito en aceite</t>
  </si>
  <si>
    <t>Bonito en aceite de soja</t>
  </si>
  <si>
    <t>Melva en aceite de oliva</t>
  </si>
  <si>
    <t>Sardina con salsa de tomate</t>
  </si>
  <si>
    <t>Sardina en aceite</t>
  </si>
  <si>
    <t>Sardina en escabeche</t>
  </si>
  <si>
    <t>Sardinilla en aceite</t>
  </si>
  <si>
    <t>Salazones de pescado</t>
  </si>
  <si>
    <t>Bacalao salado</t>
  </si>
  <si>
    <t>ACEITES Y GRASAS</t>
  </si>
  <si>
    <t>Aceites</t>
  </si>
  <si>
    <t>Aceite de cacahuete</t>
  </si>
  <si>
    <t>Aceite de coco</t>
  </si>
  <si>
    <t>Aceite de colza</t>
  </si>
  <si>
    <t>Aceite de germen de trigo</t>
  </si>
  <si>
    <t>Aceite de girasol</t>
  </si>
  <si>
    <t>Aceite de Hígado de bacalao</t>
  </si>
  <si>
    <t>Aceite de lino</t>
  </si>
  <si>
    <t>Aceite de maíz</t>
  </si>
  <si>
    <t>Aceite de nuez</t>
  </si>
  <si>
    <t>Aceite de oliva</t>
  </si>
  <si>
    <t>Aceite de oliva virgen</t>
  </si>
  <si>
    <t>Aceite de oliva virgen extra</t>
  </si>
  <si>
    <t>Aceite de oliva virgen extra ecológico</t>
  </si>
  <si>
    <t>Aceite de palma</t>
  </si>
  <si>
    <t>Aceite de sésamo</t>
  </si>
  <si>
    <t>Aceite de soja</t>
  </si>
  <si>
    <t>Mantequillas y margarinas</t>
  </si>
  <si>
    <t>Mantequilla</t>
  </si>
  <si>
    <t>Mantequilla ligera</t>
  </si>
  <si>
    <t>Mantequilla salada</t>
  </si>
  <si>
    <t>Margarina</t>
  </si>
  <si>
    <t>Margarina con esteroles</t>
  </si>
  <si>
    <t>Margarina de maíz</t>
  </si>
  <si>
    <t>Margarina ligera</t>
  </si>
  <si>
    <t>Margarina salada</t>
  </si>
  <si>
    <t>Margarina vegetal enriquecida</t>
  </si>
  <si>
    <t>Otras grasas</t>
  </si>
  <si>
    <t>Manteca de cacao</t>
  </si>
  <si>
    <t>Manteca de cerdo</t>
  </si>
  <si>
    <t>CONDIMENTOS Y SALSAS</t>
  </si>
  <si>
    <t>Condimentos</t>
  </si>
  <si>
    <t>Ajo en polvo</t>
  </si>
  <si>
    <t>Albahaca fresca</t>
  </si>
  <si>
    <t>Albahaca seca</t>
  </si>
  <si>
    <t>Azafrán</t>
  </si>
  <si>
    <t>Canela</t>
  </si>
  <si>
    <t>Cardamomo</t>
  </si>
  <si>
    <t>Cebolla deshidratada en copos</t>
  </si>
  <si>
    <t>Cebollino</t>
  </si>
  <si>
    <t>Cilantro</t>
  </si>
  <si>
    <t>Clavo</t>
  </si>
  <si>
    <t>Cúrcuma</t>
  </si>
  <si>
    <t>Eneldo seco</t>
  </si>
  <si>
    <t>Gomasio</t>
  </si>
  <si>
    <t>Guindilla picante</t>
  </si>
  <si>
    <t>Hinojo</t>
  </si>
  <si>
    <t>Jengibre crudo</t>
  </si>
  <si>
    <t>Jengibre en polvo</t>
  </si>
  <si>
    <t>Laurel</t>
  </si>
  <si>
    <t>Levadura</t>
  </si>
  <si>
    <t>Levadura de panadería fresca</t>
  </si>
  <si>
    <t>Mejorana seca</t>
  </si>
  <si>
    <t>Menta fresca</t>
  </si>
  <si>
    <t>Nuez moscada</t>
  </si>
  <si>
    <t>Orégano fresco</t>
  </si>
  <si>
    <t>Orégano seco</t>
  </si>
  <si>
    <t>Perejil</t>
  </si>
  <si>
    <t>Pimentón</t>
  </si>
  <si>
    <t>Pimienta blanca</t>
  </si>
  <si>
    <t>Pimienta negra</t>
  </si>
  <si>
    <t>Sal común</t>
  </si>
  <si>
    <t>Sal fluorada</t>
  </si>
  <si>
    <t>Sal hiposódica</t>
  </si>
  <si>
    <t>Sal yodada</t>
  </si>
  <si>
    <t>Sal yodada fluorada</t>
  </si>
  <si>
    <t>Semilla de anís</t>
  </si>
  <si>
    <t>Tomillo seco</t>
  </si>
  <si>
    <t>Vainilla</t>
  </si>
  <si>
    <t>Vinagre</t>
  </si>
  <si>
    <t>Vinagre balsámico</t>
  </si>
  <si>
    <t>Vinagre de manzana</t>
  </si>
  <si>
    <t>Vinagre de vino</t>
  </si>
  <si>
    <t>Salsas</t>
  </si>
  <si>
    <t>Alioli</t>
  </si>
  <si>
    <t>Gelatina</t>
  </si>
  <si>
    <t>Kétchup</t>
  </si>
  <si>
    <t>Mayonesa comercial</t>
  </si>
  <si>
    <t>Mayonesa ligera</t>
  </si>
  <si>
    <t>Mostaza</t>
  </si>
  <si>
    <t>Salsa agridulce</t>
  </si>
  <si>
    <t>Salsa al curry</t>
  </si>
  <si>
    <t>Salsa barbacoa</t>
  </si>
  <si>
    <t>Salsa bechamel</t>
  </si>
  <si>
    <t>Salsa boloñesa</t>
  </si>
  <si>
    <t>Salsa brava</t>
  </si>
  <si>
    <t>Salsa carbonara</t>
  </si>
  <si>
    <t>Salsa cesar</t>
  </si>
  <si>
    <t>Salsa de queso</t>
  </si>
  <si>
    <t>Salsa de soja</t>
  </si>
  <si>
    <t>Salsa holandesa</t>
  </si>
  <si>
    <t>Salsa inglesa</t>
  </si>
  <si>
    <t>AZÚCARES, DULCES Y PASTELERÍA</t>
  </si>
  <si>
    <t>Azúcares</t>
  </si>
  <si>
    <t>Azúcar blanco</t>
  </si>
  <si>
    <t>Azúcar moreno</t>
  </si>
  <si>
    <t>Fructosa</t>
  </si>
  <si>
    <t>Granadina</t>
  </si>
  <si>
    <t>jarabe</t>
  </si>
  <si>
    <t>Jalea real</t>
  </si>
  <si>
    <t>Jarabe</t>
  </si>
  <si>
    <t>Miel</t>
  </si>
  <si>
    <t>Chocolates</t>
  </si>
  <si>
    <t>Cacao en polvo 0 azúcar</t>
  </si>
  <si>
    <t>Cacao en polvo azucarado</t>
  </si>
  <si>
    <t>Cacao en polvo bajo en calorías</t>
  </si>
  <si>
    <t>Chocolate blanco</t>
  </si>
  <si>
    <t>Chocolate con leche</t>
  </si>
  <si>
    <t>Chocolate con leche y almendra</t>
  </si>
  <si>
    <t>Chocolate en polvo a la taza</t>
  </si>
  <si>
    <t>Chocolate puro</t>
  </si>
  <si>
    <t>Crema de cacao y avellanas</t>
  </si>
  <si>
    <t>Dulces</t>
  </si>
  <si>
    <t>Cacahuete cubierto de chocolate</t>
  </si>
  <si>
    <t>Dulce de leche</t>
  </si>
  <si>
    <t>Mazapán</t>
  </si>
  <si>
    <t>Merengue</t>
  </si>
  <si>
    <t>Galletas</t>
  </si>
  <si>
    <t>Galleta integral</t>
  </si>
  <si>
    <t>Galleta tipo cookie</t>
  </si>
  <si>
    <t>Galleta tipo digestive</t>
  </si>
  <si>
    <t>Galleta tipo digestive con chocolate</t>
  </si>
  <si>
    <t>Galleta tipo Maria</t>
  </si>
  <si>
    <t>Galleta tipo sandwich</t>
  </si>
  <si>
    <t>Otros dulces</t>
  </si>
  <si>
    <t>Caramelo</t>
  </si>
  <si>
    <t>Chicle</t>
  </si>
  <si>
    <t>Chicle sin azúcar</t>
  </si>
  <si>
    <t>Polo de hielo</t>
  </si>
  <si>
    <t>APERITIVOS</t>
  </si>
  <si>
    <t>Aperitivos</t>
  </si>
  <si>
    <t>Galleta salada</t>
  </si>
  <si>
    <t>BEBIDAS</t>
  </si>
  <si>
    <t>Bebidas isotónicas</t>
  </si>
  <si>
    <t>Bebida isotónica</t>
  </si>
  <si>
    <t>Bebidas sin alcohol</t>
  </si>
  <si>
    <t>Agua con gas embotellada</t>
  </si>
  <si>
    <t>Agua corriente</t>
  </si>
  <si>
    <t>Agua de mineralización débil</t>
  </si>
  <si>
    <t>Agua sin gas embotellada</t>
  </si>
  <si>
    <t>Bíter sin alcohol</t>
  </si>
  <si>
    <t>Gaseosa</t>
  </si>
  <si>
    <t>Gaseosa sin calorías</t>
  </si>
  <si>
    <t>Limonada</t>
  </si>
  <si>
    <t>Refresco de té</t>
  </si>
  <si>
    <t>Refresco de té bajo en calorías</t>
  </si>
  <si>
    <t>Refresco sabor cola</t>
  </si>
  <si>
    <t>Refresco sabor cola bajo en calorías</t>
  </si>
  <si>
    <t>Refresco sabor cola sin cafeína</t>
  </si>
  <si>
    <t>Refresco sabor cola sin cafeína bajo en calorías</t>
  </si>
  <si>
    <t>Refresco sabor limón</t>
  </si>
  <si>
    <t>Refresco sabor naranja</t>
  </si>
  <si>
    <t>Soda sifón</t>
  </si>
  <si>
    <t>Tónica</t>
  </si>
  <si>
    <t>Cafés e infusiones</t>
  </si>
  <si>
    <t>Achicoria</t>
  </si>
  <si>
    <t>Café capuccino en polvo soluble</t>
  </si>
  <si>
    <t>Café descafeinado en grano</t>
  </si>
  <si>
    <t>Café descafeinado en polvo soluble</t>
  </si>
  <si>
    <t>Café descafeinado liquido</t>
  </si>
  <si>
    <t>Café en grano</t>
  </si>
  <si>
    <t>Café en polvo soluble</t>
  </si>
  <si>
    <t>Té</t>
  </si>
  <si>
    <t>Otras bebidas no alcohólicas</t>
  </si>
  <si>
    <t>Agua de coco</t>
  </si>
  <si>
    <t>Bebida de almendras</t>
  </si>
  <si>
    <t>Bebida de alpiste</t>
  </si>
  <si>
    <t>Bebida de avena</t>
  </si>
  <si>
    <t>Horchata</t>
  </si>
  <si>
    <t>Leche de arroz enriquecida en calcio</t>
  </si>
  <si>
    <t>Leche de coco</t>
  </si>
  <si>
    <t>Zumos y néctares comerciales</t>
  </si>
  <si>
    <t>Néctar de frutas envasado</t>
  </si>
  <si>
    <t>Sorbete de limón</t>
  </si>
  <si>
    <t>Zumo comercial de naranja</t>
  </si>
  <si>
    <t>Zumo comercial sabor frutas tropicales</t>
  </si>
  <si>
    <t>Zumo de mango</t>
  </si>
  <si>
    <t>Zumo de manzana</t>
  </si>
  <si>
    <t>Zumo de melocotón</t>
  </si>
  <si>
    <t>Zumo de piña</t>
  </si>
  <si>
    <t>Zumo de pomelo</t>
  </si>
  <si>
    <t>Zumo de tomate comercial</t>
  </si>
  <si>
    <t>Zumo de uva</t>
  </si>
  <si>
    <t>Zumo de zanahoria</t>
  </si>
  <si>
    <t>Zumo uva y melocotón</t>
  </si>
  <si>
    <t>Alimento</t>
  </si>
  <si>
    <t>ALA</t>
  </si>
  <si>
    <t>Bajo</t>
  </si>
  <si>
    <t>Cero</t>
  </si>
  <si>
    <t>Nulo</t>
  </si>
  <si>
    <t>Neutro</t>
  </si>
  <si>
    <t>N/A</t>
  </si>
  <si>
    <t>Proinflamatorio</t>
  </si>
  <si>
    <t>Medio</t>
  </si>
  <si>
    <t>Antiinflamatorio</t>
  </si>
  <si>
    <t>Alto</t>
  </si>
  <si>
    <t>Peligro</t>
  </si>
  <si>
    <t>Trazas</t>
  </si>
  <si>
    <t>ALA/DHA</t>
  </si>
  <si>
    <t>Muy Alto</t>
  </si>
  <si>
    <t>Lentejas (cocidas)</t>
  </si>
  <si>
    <t>Fresa</t>
  </si>
  <si>
    <t>Pipas calabaza sin cascara tostadas</t>
  </si>
  <si>
    <t>ALA/EPA</t>
  </si>
  <si>
    <t>Pavo / Pechuga de pavo</t>
  </si>
  <si>
    <t>Corazón (cerdo, cordero, pollo, vaca)</t>
  </si>
  <si>
    <t>EPA/DHA</t>
  </si>
  <si>
    <t>Hígado (cerdo, cordero, pollo, vaca)</t>
  </si>
  <si>
    <t>Lengua (cerdo, cordero, ternera, vaca)</t>
  </si>
  <si>
    <t>Molleja (cordero, ternera)</t>
  </si>
  <si>
    <t>Pulmón (cerdo, cordero, ternera)</t>
  </si>
  <si>
    <t>Riñón (cerdo, cordero, ternera)</t>
  </si>
  <si>
    <t>Seso (cerdo, cordero, ternera)</t>
  </si>
  <si>
    <t>Jamón cocido / enlatado</t>
  </si>
  <si>
    <t>Salchicha fresca / Salchichón</t>
  </si>
  <si>
    <t>Cabrito / Carne de caballo</t>
  </si>
  <si>
    <t>Conejo / Liebre / Lomo de conejo</t>
  </si>
  <si>
    <t>Bacalao fresco / Bacalao salado</t>
  </si>
  <si>
    <t>Dorada / Lubina / Mero</t>
  </si>
  <si>
    <t>Merluza / Pescadilla</t>
  </si>
  <si>
    <t>Panga / Perca</t>
  </si>
  <si>
    <t>Platija / Rape</t>
  </si>
  <si>
    <t>Raya / Rodaballo / Rosada</t>
  </si>
  <si>
    <t>Anguila / Angula</t>
  </si>
  <si>
    <t>Atún / Bonito (Fresco)</t>
  </si>
  <si>
    <t>Congrio / Jurel / Palometa</t>
  </si>
  <si>
    <t>Salmon / Salmon ahumado</t>
  </si>
  <si>
    <t>Sardina / Sardina en aceite</t>
  </si>
  <si>
    <t>Atún en aceite / en escabeche</t>
  </si>
  <si>
    <t>Bonito en aceite / soja</t>
  </si>
  <si>
    <t>Almeja / Berberecho</t>
  </si>
  <si>
    <t>Bogavante / Langosta</t>
  </si>
  <si>
    <t>Calamar / Pulpo</t>
  </si>
  <si>
    <t>Cangrejo y similares / Centollo</t>
  </si>
  <si>
    <t>Cigala / Gamba roja / Langostino</t>
  </si>
  <si>
    <t>Mejillón / Ostra</t>
  </si>
  <si>
    <t>Huevo de codorniz / pato</t>
  </si>
  <si>
    <t>DHA</t>
  </si>
  <si>
    <t>Azúcar blanco / moreno / Fructosa</t>
  </si>
  <si>
    <t>Granadina / Jarabe</t>
  </si>
  <si>
    <t>Jalea real / Miel</t>
  </si>
  <si>
    <t>Cacao en polvo 0 azúcar / puro</t>
  </si>
  <si>
    <t>Cacao en polvo azucarado / bajo cal</t>
  </si>
  <si>
    <t>Chocolate con leche / con almendra</t>
  </si>
  <si>
    <t>Dulce de leche / Mazapán / Merengue</t>
  </si>
  <si>
    <t>Galleta integral / tipo cookie</t>
  </si>
  <si>
    <t>Galleta tipo digestive (con/sin choc)</t>
  </si>
  <si>
    <t>Galleta tipo Maria / sandwich</t>
  </si>
  <si>
    <t>Caramelo / Chicle (con/sin azúcar)</t>
  </si>
  <si>
    <t>Aceite de cacahuete / coco / palma</t>
  </si>
  <si>
    <t>Aceite de colza / soja / lino / nuez</t>
  </si>
  <si>
    <t>Aceite de germen de trigo / sésamo</t>
  </si>
  <si>
    <t>Aceite de girasol / maíz</t>
  </si>
  <si>
    <t>Aceite de oliva (todas variedades)</t>
  </si>
  <si>
    <t>Mantequilla (todas variedades)</t>
  </si>
  <si>
    <t>Margarina (todas variedades)</t>
  </si>
  <si>
    <t>Manteca de cacao / de cerdo</t>
  </si>
  <si>
    <t>Agua (gas, sin gas, mineral, coc)</t>
  </si>
  <si>
    <t>Gaseosa / Refresco (todas las vars)</t>
  </si>
  <si>
    <t>Bíter sin alcohol / Limonada</t>
  </si>
  <si>
    <t>Soda sifón / Tónica / Bebida iso</t>
  </si>
  <si>
    <t>Café (polvo, grano, descafeinado)</t>
  </si>
  <si>
    <t>Té / Achicoria</t>
  </si>
  <si>
    <t>Zumo comercial / Néctar (todos)</t>
  </si>
  <si>
    <t>Bebida de almendras/avena/alpiste</t>
  </si>
  <si>
    <t>Horchata / Leche de arroz/coco</t>
  </si>
  <si>
    <t>Orégano fresco / seco</t>
  </si>
  <si>
    <t>Canela / Jengibre (crudo, polvo)</t>
  </si>
  <si>
    <t>Ajo en polvo / Cebolla deshidratada</t>
  </si>
  <si>
    <t>Pimienta negra / blanca</t>
  </si>
  <si>
    <t>Albahaca fresca / seca</t>
  </si>
  <si>
    <t>Azafrán / Cardamomo / Cebollino</t>
  </si>
  <si>
    <t>Cilantro / Cúrcuma / Eneldo seco</t>
  </si>
  <si>
    <t>Gomasio / Guindilla picante</t>
  </si>
  <si>
    <t>Hinojo / Laurel</t>
  </si>
  <si>
    <t>Mejorana seca / Nuez moscada</t>
  </si>
  <si>
    <t>Perejil / Pimentón</t>
  </si>
  <si>
    <t>Semilla de anís / Tomillo seco</t>
  </si>
  <si>
    <t>Levadura (fresca, de panadería)</t>
  </si>
  <si>
    <t>Sal común / fluorada / hiposódica</t>
  </si>
  <si>
    <t>Sal yodada / fluorada</t>
  </si>
  <si>
    <t>Vinagre (todos tipos) / Balsámico</t>
  </si>
  <si>
    <t>Alioli / Mayonesa (comercial, ligh)</t>
  </si>
  <si>
    <t>Mostaza / Kétchup / Salsa inglesa</t>
  </si>
  <si>
    <t>Salsas industriales (brava, bbq)</t>
  </si>
  <si>
    <t>Salsas base láctea (queso, cesar)</t>
  </si>
  <si>
    <t>Crema de almendras / cacahuete</t>
  </si>
  <si>
    <t>Mermeladas (todos tipos)</t>
  </si>
  <si>
    <t>Conclusiones Analíticas e Implicaciones Metabólicas Sistémicas</t>
  </si>
  <si>
    <t>Nombre_Base</t>
  </si>
  <si>
    <t>Nombre_INCAP/Referencia</t>
  </si>
  <si>
    <t>Fuente_resumen</t>
  </si>
  <si>
    <t>AGUACATE</t>
  </si>
  <si>
    <t>valor de referencia estándar; INCAP contiene aguacate</t>
  </si>
  <si>
    <t>NUEZ DE NOGAL, SECA</t>
  </si>
  <si>
    <t>equivalente por parte comestible similar a nuez de nogal</t>
  </si>
  <si>
    <t>PESCADO CARNE, ATÚN ENLATADO C/AGUA, SÓLIDOS</t>
  </si>
  <si>
    <t>EPA+DHA</t>
  </si>
  <si>
    <t>valor conservador para atún tipo enlatado al agua</t>
  </si>
  <si>
    <t>coincidencia cercana con atún enlatado al agua</t>
  </si>
  <si>
    <t>PESCADO CARNE, ATÚN ENLATADO C/ACEITE, SÓLIDOS</t>
  </si>
  <si>
    <t>valor conservador para atún enlatado</t>
  </si>
  <si>
    <t>PESCADO CARNE, SALMÓN</t>
  </si>
  <si>
    <t>salmón como pescado azul; referencia estándar por 100 g</t>
  </si>
  <si>
    <t>PESCADO CARNE, SALMÓN AHUMADO</t>
  </si>
  <si>
    <t>referencia estándar por 100 g</t>
  </si>
  <si>
    <t>PESCADO CARNE, SARDINA ENLATADA C/ACEITE</t>
  </si>
  <si>
    <t>PESCADO CARNE, SARDINA ENLATADA C/TOMATE</t>
  </si>
  <si>
    <t>PESCADO CARNE, TRUCHA, FRESCA</t>
  </si>
  <si>
    <t>ANCHOAS, FRESCAS</t>
  </si>
  <si>
    <t>Nota</t>
  </si>
  <si>
    <t>Solo se cargaron valores cuando había un alimento igual o muy cercano. El resto queda en 0 por instrucción del usuario.</t>
  </si>
  <si>
    <t>Nombre_Original</t>
  </si>
  <si>
    <t>Nombre_Referencia</t>
  </si>
  <si>
    <t>Tipo_Match</t>
  </si>
  <si>
    <t>exacto</t>
  </si>
  <si>
    <t>manual</t>
  </si>
  <si>
    <t>normalizado</t>
  </si>
  <si>
    <t>alias agrupado</t>
  </si>
  <si>
    <t>Aceite de girasol / maiz</t>
  </si>
  <si>
    <t>Aceite de germen de trigo / sesamo</t>
  </si>
  <si>
    <t>Campo</t>
  </si>
  <si>
    <t>Tipo de variable</t>
  </si>
  <si>
    <t>Clasificación</t>
  </si>
  <si>
    <t>Unidad</t>
  </si>
  <si>
    <t>Descripción</t>
  </si>
  <si>
    <t>Es calculable</t>
  </si>
  <si>
    <t>Cualitativa / categórica</t>
  </si>
  <si>
    <t>Identificación</t>
  </si>
  <si>
    <t>texto</t>
  </si>
  <si>
    <t>Identificador único del alimento.</t>
  </si>
  <si>
    <t>No</t>
  </si>
  <si>
    <t>Grupo principal del alimento.</t>
  </si>
  <si>
    <t>Subgrupo taxonómico del alimento.</t>
  </si>
  <si>
    <t>Nombre principal del alimento.</t>
  </si>
  <si>
    <t>Sinónimo o nombre alternativo del alimento.</t>
  </si>
  <si>
    <t>Cuantitativa</t>
  </si>
  <si>
    <t>Costo</t>
  </si>
  <si>
    <t>Variable nutricional reportada por 100 g de porción comestible.</t>
  </si>
  <si>
    <t>Macronutrientes / energía</t>
  </si>
  <si>
    <t>por 1 g</t>
  </si>
  <si>
    <t>kcal</t>
  </si>
  <si>
    <t>g</t>
  </si>
  <si>
    <t>mg</t>
  </si>
  <si>
    <t>Vitaminas</t>
  </si>
  <si>
    <t>µg</t>
  </si>
  <si>
    <t>Minerales y elementos traza</t>
  </si>
  <si>
    <t>Campos añadidos</t>
  </si>
  <si>
    <t>Contenido total estimado de omega-3 por 100 g.</t>
  </si>
  <si>
    <t>Tipo predominante reportado o inferido (ALA/EPA/DHA/mixto/no especificado).</t>
  </si>
  <si>
    <t>Contenido de grasas trans por 100 g.</t>
  </si>
  <si>
    <t>Compuestos fenólicos totales o valor de referencia funcional.</t>
  </si>
  <si>
    <t>Billones UFC</t>
  </si>
  <si>
    <t>Carga de microorganismos probióticos expresada en billones de UFC.</t>
  </si>
  <si>
    <t>Indicadores derivados</t>
  </si>
  <si>
    <t>ratio por kcal</t>
  </si>
  <si>
    <t>Indicador derivado calculado automáticamente a partir de variables base.</t>
  </si>
  <si>
    <t>Sí</t>
  </si>
  <si>
    <t>ratio</t>
  </si>
  <si>
    <t>%</t>
  </si>
  <si>
    <t>Etiquetas / interpretación</t>
  </si>
  <si>
    <t>Etiqueta cualitativa automática basada en umbrales definidos.</t>
  </si>
  <si>
    <t>Na / K</t>
  </si>
  <si>
    <t>Etiqueta Densidad Calcio</t>
  </si>
  <si>
    <t>Campo calculable</t>
  </si>
  <si>
    <t>Qué calcula</t>
  </si>
  <si>
    <t>Fórmula conceptual / lógica</t>
  </si>
  <si>
    <t>Columnas origen en Composición</t>
  </si>
  <si>
    <t>Unidad / salida</t>
  </si>
  <si>
    <t>Umbrales o criterio de interpretación</t>
  </si>
  <si>
    <t>Densidad_Proteica</t>
  </si>
  <si>
    <t>Proteína por kcal</t>
  </si>
  <si>
    <t>Proteínas (g), Energía (kcal)</t>
  </si>
  <si>
    <t>g/kcal</t>
  </si>
  <si>
    <t>&gt;0.20 muy alta; &gt;0.15 alta; &gt;0.10 media; si no baja</t>
  </si>
  <si>
    <t>Fibra por kcal</t>
  </si>
  <si>
    <t>Fibra vegetal (g), Energía (kcal)</t>
  </si>
  <si>
    <t>&gt;0.03 alta; &gt;0.015 media; si no baja</t>
  </si>
  <si>
    <t>Calcio por kcal</t>
  </si>
  <si>
    <t>Calcio (mg), Energía (kcal)</t>
  </si>
  <si>
    <t>mg/kcal</t>
  </si>
  <si>
    <t>&gt;1.5 alto; &gt;0.8 medio; si no bajo</t>
  </si>
  <si>
    <t>Hierro por kcal</t>
  </si>
  <si>
    <t>Hierro (mg), Energía (kcal)</t>
  </si>
  <si>
    <t>&gt;0.015 alta; &gt;0.008 media; si no baja</t>
  </si>
  <si>
    <t>Sodio por kcal</t>
  </si>
  <si>
    <t>Sodio (mg), Energía (kcal)</t>
  </si>
  <si>
    <t>&gt;2 muy alto; &gt;1 alto; &gt;0.5 moderado; si no bajo</t>
  </si>
  <si>
    <t>Relación entre grasas poliinsaturadas y saturadas</t>
  </si>
  <si>
    <t>AGP (g), AGS (g)</t>
  </si>
  <si>
    <t>&gt;2 altamente antiinflamatorio; &gt;1 ligeramente antiinflamatorio; &gt;0.5 neutro; si no proinflamatorio</t>
  </si>
  <si>
    <t>Relación calcio/fósforo</t>
  </si>
  <si>
    <t>Calcio (mg), Fósforo (mg)</t>
  </si>
  <si>
    <t>Sin etiqueta automática; sirve para análisis óseo</t>
  </si>
  <si>
    <t>Carga de AGS por kcal</t>
  </si>
  <si>
    <t>AGS (g), Energía (kcal)</t>
  </si>
  <si>
    <t>Sin etiqueta automática; sirve para análisis cardiometabólico</t>
  </si>
  <si>
    <t>Relación sodio/potasio</t>
  </si>
  <si>
    <t>Sodio (mg), Potasio (mg)</t>
  </si>
  <si>
    <t>&gt;1 alto riesgo; &gt;0.5 moderado; si no ideal</t>
  </si>
  <si>
    <t>Qué parte del carbohidrato es azúcar</t>
  </si>
  <si>
    <t>Azúcares sencillos (g), H. de Carbono (g)</t>
  </si>
  <si>
    <t>Sin etiqueta automática; útil en control glucémico</t>
  </si>
  <si>
    <t>Qué parte del carbohidrato es fibra</t>
  </si>
  <si>
    <t>Fibra vegetal (g), H. de Carbono (g)</t>
  </si>
  <si>
    <t>Sin etiqueta automática; útil en calidad del carbohidrato</t>
  </si>
  <si>
    <t>Participación energética de la grasa</t>
  </si>
  <si>
    <t>Grasa total (g), Energía (kcal)</t>
  </si>
  <si>
    <t>&gt;0.4 muy alto en grasas; &gt;0.3 alto; &gt;0.2 moderado; si no bajo</t>
  </si>
  <si>
    <t>Magnesio por kcal</t>
  </si>
  <si>
    <t>Magnesio (mg), Energía (kcal)</t>
  </si>
  <si>
    <t>&gt;0.5 alta; &gt;0.2 media; si no baja</t>
  </si>
  <si>
    <t>Etiqueta cualitativa de proteína por kcal</t>
  </si>
  <si>
    <t>Basada en Densidad_Proteica</t>
  </si>
  <si>
    <t>Muy alta / alta / media / baja</t>
  </si>
  <si>
    <t>Etiqueta cualitativa de fibra por kcal</t>
  </si>
  <si>
    <t>Basada en Densidad_Fibra</t>
  </si>
  <si>
    <t>Alta / media / baja</t>
  </si>
  <si>
    <t>Etiqueta cualitativa de calcio por kcal</t>
  </si>
  <si>
    <t>Basada en Densidad_Calcio</t>
  </si>
  <si>
    <t>Alto / medio / bajo</t>
  </si>
  <si>
    <t>Etiqueta cualitativa de hierro por kcal</t>
  </si>
  <si>
    <t>Basada en Densidad_Hierro</t>
  </si>
  <si>
    <t>Etiqueta cualitativa de sodio por kcal</t>
  </si>
  <si>
    <t>Basada en Densidad_Sodio</t>
  </si>
  <si>
    <t>Muy alto / alto / moderado / bajo</t>
  </si>
  <si>
    <t>Interpretación del balance de grasas</t>
  </si>
  <si>
    <t>Basada en Relacion_AGP_AGS</t>
  </si>
  <si>
    <t>Altamente antiinflamatorio / ligeramente antiinflamatorio / neutro / proinflamatorio</t>
  </si>
  <si>
    <t>Etiqueta del % de energía por grasa</t>
  </si>
  <si>
    <t>Basada en % calorías grasa</t>
  </si>
  <si>
    <t>Muy alto en grasas / alto / moderado / bajo</t>
  </si>
  <si>
    <t>Etiqueta de la relación sodio/potasio</t>
  </si>
  <si>
    <t>Basada en Retención de Líquidos</t>
  </si>
  <si>
    <t>Alto riesgo / moderado / ideal</t>
  </si>
  <si>
    <t>Etiqueta cualitativa del magnesio por kcal</t>
  </si>
  <si>
    <t>Basada en Densidad de Magnesio</t>
  </si>
  <si>
    <t>Etiqueta de presencia de omega-3</t>
  </si>
  <si>
    <t>Basada en Omega-3 (g)</t>
  </si>
  <si>
    <t>&gt;=0.5 alto; &gt;0.1 aporte ligero; si no sin omega 3</t>
  </si>
  <si>
    <t>Etiqueta de alerta por grasas trans</t>
  </si>
  <si>
    <t>Basada en Grasas Trans (g)</t>
  </si>
  <si>
    <t>&gt;0 alerta; si no libre</t>
  </si>
  <si>
    <t>Etiqueta antioxidante</t>
  </si>
  <si>
    <t>Basada en Polifenoles (mg)</t>
  </si>
  <si>
    <t>&gt;=50 bomba antioxidante; &gt;=10 buen antioxidante; si no bajo</t>
  </si>
  <si>
    <t>Etiqueta de actividad probiótica</t>
  </si>
  <si>
    <t>Basada en Probióticos (Billones UFC)</t>
  </si>
  <si>
    <t>&gt;=1 probiótico activo; si no sin probióticos</t>
  </si>
  <si>
    <t>Evalúa exceso relativo de omega-6 frente a omega-3</t>
  </si>
  <si>
    <t>Si Omega-3=0 → sin omega 3 para evaluar; si (AGP−Omega-3)/Omega-3 &gt;4 → exceso relativo de omega 6; si no balance favorable</t>
  </si>
  <si>
    <t>AGP (g), Omega-3 (g)</t>
  </si>
  <si>
    <t>Sin omega 3 para evaluar / Exceso relativo de omega 6 / Balance de omegas favorable</t>
  </si>
  <si>
    <t>Magnesio /Energía</t>
  </si>
  <si>
    <t>(Grasa total*9)/Energía</t>
  </si>
  <si>
    <t>Fibra vegetal / H. de Carbono</t>
  </si>
  <si>
    <t>Azúcares sencillos / H. de Carbono</t>
  </si>
  <si>
    <t>AGS /Energía</t>
  </si>
  <si>
    <t>Sodio /Potasio</t>
  </si>
  <si>
    <t>Calcio /Fósforo</t>
  </si>
  <si>
    <t>AGP /AGS</t>
  </si>
  <si>
    <t>Hierro (mg) / Energía (kcal)</t>
  </si>
  <si>
    <t>Calcio (mg) /Energía (kcal)</t>
  </si>
  <si>
    <t>Proteinas (g) /Energia (kcal)</t>
  </si>
  <si>
    <t>Fibra vegetal (g) / Energía (kcal)</t>
  </si>
  <si>
    <t>Sodio (mg) / Energía (kcal)</t>
  </si>
  <si>
    <t>Etiqueta_Inflamatorio</t>
  </si>
  <si>
    <t>Etiqueta_Irritante</t>
  </si>
  <si>
    <t>orden_campo</t>
  </si>
  <si>
    <t>campo_excel</t>
  </si>
  <si>
    <t>nombre_db_sugerido</t>
  </si>
  <si>
    <t>tipo_variable</t>
  </si>
  <si>
    <t>clasificacion</t>
  </si>
  <si>
    <t>unidad</t>
  </si>
  <si>
    <t>descripcion</t>
  </si>
  <si>
    <t>es_calculable</t>
  </si>
  <si>
    <t>codigo</t>
  </si>
  <si>
    <t>grupo_alimentario</t>
  </si>
  <si>
    <t>subgrupo_alimentario</t>
  </si>
  <si>
    <t>nombre</t>
  </si>
  <si>
    <t>sinonimo</t>
  </si>
  <si>
    <t>precio_por_libra</t>
  </si>
  <si>
    <t>No especificado</t>
  </si>
  <si>
    <t>precio_por_gramo</t>
  </si>
  <si>
    <t>p_comestible_por_1_g</t>
  </si>
  <si>
    <t>energia_kcal</t>
  </si>
  <si>
    <t>agua_g</t>
  </si>
  <si>
    <t>alcohol_g</t>
  </si>
  <si>
    <t>proteinas_g</t>
  </si>
  <si>
    <t>h_de_carbono_g</t>
  </si>
  <si>
    <t>almidon_g</t>
  </si>
  <si>
    <t>azucares_sencillos_g</t>
  </si>
  <si>
    <t>azucares_libres_g</t>
  </si>
  <si>
    <t>fibra_vegetal_g</t>
  </si>
  <si>
    <t>grasa_total_g</t>
  </si>
  <si>
    <t>ags_g</t>
  </si>
  <si>
    <t>agm_g</t>
  </si>
  <si>
    <t>agp_g</t>
  </si>
  <si>
    <t>colesterol_mg</t>
  </si>
  <si>
    <t>vitamina_a_eq_retinol_g</t>
  </si>
  <si>
    <t>retinol_g</t>
  </si>
  <si>
    <t>carotenoides_eq_beta_caroteno_g</t>
  </si>
  <si>
    <t>vit_d_g</t>
  </si>
  <si>
    <t>vit_e_eq_a_tocoferol_mg</t>
  </si>
  <si>
    <t>vit_k_g</t>
  </si>
  <si>
    <t>vitamina_b1_mg</t>
  </si>
  <si>
    <t>vitamina_b2_mg</t>
  </si>
  <si>
    <t>eq_de_niacina_mg</t>
  </si>
  <si>
    <t>vit_b6_mg</t>
  </si>
  <si>
    <t>eq_folato_dietetico_g</t>
  </si>
  <si>
    <t>vit_b12_g</t>
  </si>
  <si>
    <t>pantotenico_mg</t>
  </si>
  <si>
    <t>biotina_g</t>
  </si>
  <si>
    <t>vit_c_mg</t>
  </si>
  <si>
    <t>calcio_mg</t>
  </si>
  <si>
    <t>fosforo_mg</t>
  </si>
  <si>
    <t>hierro_mg</t>
  </si>
  <si>
    <t>iodo_g</t>
  </si>
  <si>
    <t>cinc_mg</t>
  </si>
  <si>
    <t>magnesio_mg</t>
  </si>
  <si>
    <t>sodio_mg</t>
  </si>
  <si>
    <t>potasio_mg</t>
  </si>
  <si>
    <t>manganeso_mg</t>
  </si>
  <si>
    <t>cobre_mg</t>
  </si>
  <si>
    <t>selenio_g</t>
  </si>
  <si>
    <t>omega_3_g</t>
  </si>
  <si>
    <t>tipo_omega_3</t>
  </si>
  <si>
    <t>grasas_trans_g</t>
  </si>
  <si>
    <t>polifenoles_mg</t>
  </si>
  <si>
    <t>probioticos_billones_ufc</t>
  </si>
  <si>
    <t>densidad_proteica</t>
  </si>
  <si>
    <t>densidad_fibra</t>
  </si>
  <si>
    <t>densidad_calcio</t>
  </si>
  <si>
    <t>densidad_hierro</t>
  </si>
  <si>
    <t>densidad_sodio</t>
  </si>
  <si>
    <t>relacion_agp_ags</t>
  </si>
  <si>
    <t>relacion_ca_p</t>
  </si>
  <si>
    <t>carga_grasa_saturada</t>
  </si>
  <si>
    <t>retencion_de_liquidos</t>
  </si>
  <si>
    <t>proporcion_de_azucar_en_el_carbohidrato</t>
  </si>
  <si>
    <t>ratio_fibra</t>
  </si>
  <si>
    <t>porcentaje_de_calorias_provenientes_de_las_grasas</t>
  </si>
  <si>
    <t>densidad_de_magnesio</t>
  </si>
  <si>
    <t>etiqueta_de_densidad_proteica</t>
  </si>
  <si>
    <t>etiqueta_densidad_fibra</t>
  </si>
  <si>
    <t>etiqueta_densidad_calcio</t>
  </si>
  <si>
    <t>etiqueta_densidad_hierro</t>
  </si>
  <si>
    <t>etiqueta_densidad_sodio</t>
  </si>
  <si>
    <t>etiqueta_relacion_agp_ags</t>
  </si>
  <si>
    <t>etiqueta_porcentaje_de_calorias_de_las_grasas</t>
  </si>
  <si>
    <t>retencion_de_liquidos_na_k</t>
  </si>
  <si>
    <t>etiqueta_densidad_magnesio</t>
  </si>
  <si>
    <t>etiqueta_omega_3</t>
  </si>
  <si>
    <t>etiqueta_grasas_trans</t>
  </si>
  <si>
    <t>etiqueta_polifenoles</t>
  </si>
  <si>
    <t>etiqueta_probioticos</t>
  </si>
  <si>
    <t>etiqueta_inflamatorio</t>
  </si>
  <si>
    <t>Calculada</t>
  </si>
  <si>
    <t>Campo existente en la hoja Composición: Etiqueta_Inflamatorio</t>
  </si>
  <si>
    <t>etiqueta_irritante</t>
  </si>
  <si>
    <t>Campo existente en la hoja Composición: Etiqueta_Irritante</t>
  </si>
  <si>
    <t>indice_inflamatorio_de_grasas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</si>
</sst>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9"/>
      <color rgb="FF666666"/>
      <name val="Calibri"/>
      <family val="2"/>
      <charset val="1"/>
    </font>
    <font>
      <sz val="9"/>
      <color rgb="FF0000FF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8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  <fill>
      <patternFill patternType="solid">
        <fgColor rgb="FF1F4E78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rgb="FF003366"/>
      </patternFill>
    </fill>
    <fill>
      <patternFill patternType="solid">
        <fgColor theme="5" tint="-0.499984740745262"/>
        <bgColor rgb="FF003366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rgb="FFF8FBFF"/>
      </patternFill>
    </fill>
    <fill>
      <patternFill patternType="solid">
        <fgColor theme="5" tint="0.79998168889431442"/>
        <bgColor rgb="FFF8FB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rgb="FFF8FB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/>
    <xf numFmtId="0" fontId="7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6" borderId="0" xfId="0" applyFill="1"/>
    <xf numFmtId="0" fontId="2" fillId="5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/>
    <xf numFmtId="0" fontId="8" fillId="7" borderId="0" xfId="0" applyFont="1" applyFill="1" applyAlignment="1">
      <alignment horizontal="center" vertical="center" wrapText="1"/>
    </xf>
    <xf numFmtId="166" fontId="8" fillId="8" borderId="0" xfId="0" applyNumberFormat="1" applyFont="1" applyFill="1" applyAlignment="1">
      <alignment horizontal="center" vertical="center" wrapText="1"/>
    </xf>
    <xf numFmtId="166" fontId="9" fillId="8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7" fillId="4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1" borderId="5" xfId="0" applyFont="1" applyFill="1" applyBorder="1" applyAlignment="1">
      <alignment vertical="top" wrapText="1"/>
    </xf>
    <xf numFmtId="0" fontId="0" fillId="12" borderId="5" xfId="0" applyFont="1" applyFill="1" applyBorder="1" applyAlignment="1">
      <alignment vertical="top" wrapText="1"/>
    </xf>
    <xf numFmtId="0" fontId="0" fillId="13" borderId="5" xfId="0" applyFill="1" applyBorder="1" applyAlignment="1">
      <alignment vertical="top" wrapText="1"/>
    </xf>
    <xf numFmtId="0" fontId="0" fillId="14" borderId="5" xfId="0" applyFill="1" applyBorder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8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BFF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6FD3BB-DBE0-41E7-9AFC-DA62372C9327}" name="DBCamposExistentes" displayName="DBCamposExistentes" ref="A1:H83" headerRowDxfId="10" dataDxfId="9" totalsRowDxfId="8">
  <autoFilter ref="A1:H83" xr:uid="{316FD3BB-DBE0-41E7-9AFC-DA62372C9327}"/>
  <tableColumns count="8">
    <tableColumn id="1" xr3:uid="{59613D96-CE32-4ABB-96CB-9F7C00F91854}" name="orden_campo" dataDxfId="7"/>
    <tableColumn id="2" xr3:uid="{2172C1B1-B17D-4F6B-91EF-7D7FA9729C0F}" name="campo_excel" dataDxfId="6"/>
    <tableColumn id="3" xr3:uid="{14331A14-B4F5-4531-A39D-A7B5EABBF762}" name="nombre_db_sugerido" dataDxfId="5"/>
    <tableColumn id="6" xr3:uid="{EF86B200-3188-4140-A3FE-B5A10A57CFD1}" name="tipo_variable" dataDxfId="4"/>
    <tableColumn id="7" xr3:uid="{9985D33D-85CD-4026-9011-25040B9374E4}" name="clasificacion" dataDxfId="3"/>
    <tableColumn id="8" xr3:uid="{DEFD94FE-5DE6-458E-AD0F-AFB00666E848}" name="unidad" dataDxfId="2"/>
    <tableColumn id="9" xr3:uid="{6151D39F-2025-4E83-BD24-DEE0B8BC46A1}" name="descripcion" dataDxfId="1"/>
    <tableColumn id="10" xr3:uid="{2F85CF3F-F252-4DFF-824D-9E1E2A97FB14}" name="es_calcul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71"/>
  <sheetViews>
    <sheetView tabSelected="1" zoomScale="91" zoomScaleNormal="91" workbookViewId="0">
      <pane ySplit="1" topLeftCell="A553" activePane="bottomLeft" state="frozen"/>
      <selection pane="bottomLeft" activeCell="CF543" sqref="CF543"/>
    </sheetView>
  </sheetViews>
  <sheetFormatPr baseColWidth="10" defaultColWidth="8.6640625" defaultRowHeight="15" customHeight="1" x14ac:dyDescent="0.3"/>
  <cols>
    <col min="1" max="1" width="10" customWidth="1"/>
    <col min="2" max="2" width="20.44140625" customWidth="1"/>
    <col min="3" max="3" width="18.21875" customWidth="1"/>
    <col min="4" max="4" width="23.5546875" customWidth="1"/>
    <col min="5" max="5" width="18" customWidth="1"/>
    <col min="6" max="6" width="10.33203125" customWidth="1"/>
    <col min="7" max="7" width="11.5546875" customWidth="1"/>
    <col min="8" max="8" width="9.109375" customWidth="1"/>
    <col min="9" max="9" width="4.88671875" customWidth="1"/>
    <col min="10" max="10" width="8.88671875" customWidth="1"/>
    <col min="11" max="11" width="9.21875" customWidth="1"/>
    <col min="12" max="12" width="10" customWidth="1"/>
    <col min="13" max="13" width="10.21875" customWidth="1"/>
    <col min="14" max="14" width="10.33203125" customWidth="1"/>
    <col min="15" max="15" width="9.109375" customWidth="1"/>
    <col min="16" max="16" width="10" customWidth="1"/>
    <col min="17" max="17" width="7.33203125" customWidth="1"/>
    <col min="18" max="18" width="9.5546875" customWidth="1"/>
    <col min="19" max="19" width="8" customWidth="1"/>
    <col min="20" max="20" width="9.77734375" customWidth="1"/>
    <col min="21" max="21" width="9.6640625" customWidth="1"/>
    <col min="22" max="22" width="8" customWidth="1"/>
    <col min="23" max="23" width="10" customWidth="1"/>
    <col min="24" max="24" width="11" customWidth="1"/>
    <col min="25" max="25" width="10.33203125" customWidth="1"/>
    <col min="26" max="29" width="13" customWidth="1"/>
    <col min="30" max="30" width="10.5546875" customWidth="1"/>
    <col min="31" max="31" width="10.6640625" customWidth="1"/>
    <col min="32" max="32" width="9.88671875" customWidth="1"/>
    <col min="33" max="33" width="15" customWidth="1"/>
    <col min="34" max="34" width="11.5546875" customWidth="1"/>
    <col min="35" max="35" width="11.21875" customWidth="1"/>
    <col min="36" max="36" width="11.88671875" customWidth="1"/>
    <col min="37" max="37" width="12.88671875" customWidth="1"/>
    <col min="38" max="38" width="12.21875" customWidth="1"/>
    <col min="39" max="39" width="10" customWidth="1"/>
    <col min="40" max="40" width="15" customWidth="1"/>
    <col min="41" max="46" width="13" customWidth="1"/>
    <col min="47" max="47" width="7.44140625" customWidth="1"/>
    <col min="48" max="48" width="13" customWidth="1"/>
    <col min="49" max="49" width="12.109375" customWidth="1"/>
    <col min="50" max="50" width="18" customWidth="1"/>
    <col min="51" max="52" width="13" customWidth="1"/>
    <col min="53" max="53" width="7.77734375" style="26" customWidth="1"/>
    <col min="54" max="54" width="7.21875" style="26" customWidth="1"/>
    <col min="55" max="55" width="8.21875" style="26" customWidth="1"/>
    <col min="56" max="56" width="8.109375" style="26" customWidth="1"/>
    <col min="57" max="57" width="13" style="26" customWidth="1"/>
    <col min="58" max="58" width="7" style="26" customWidth="1"/>
    <col min="59" max="59" width="9.5546875" style="26" customWidth="1"/>
    <col min="60" max="60" width="9.109375" style="26" customWidth="1"/>
    <col min="61" max="61" width="11.33203125" style="26" customWidth="1"/>
    <col min="62" max="62" width="8.88671875" style="26" customWidth="1"/>
    <col min="63" max="63" width="13" style="26" customWidth="1"/>
    <col min="64" max="64" width="10.5546875" style="26" customWidth="1"/>
    <col min="65" max="65" width="13.21875" style="26" customWidth="1"/>
    <col min="66" max="66" width="31.21875" customWidth="1"/>
    <col min="67" max="67" width="25.109375" customWidth="1"/>
    <col min="68" max="68" width="34.88671875" customWidth="1"/>
    <col min="69" max="69" width="21.88671875" customWidth="1"/>
    <col min="70" max="70" width="35.21875" customWidth="1"/>
    <col min="71" max="71" width="41" customWidth="1"/>
    <col min="72" max="72" width="31.33203125" customWidth="1"/>
    <col min="73" max="73" width="43.77734375" customWidth="1"/>
    <col min="74" max="74" width="24" customWidth="1"/>
    <col min="75" max="75" width="20" customWidth="1"/>
    <col min="76" max="76" width="22.88671875" customWidth="1"/>
    <col min="77" max="77" width="25.5546875" customWidth="1"/>
    <col min="78" max="78" width="13" customWidth="1"/>
    <col min="79" max="80" width="26.6640625" customWidth="1"/>
    <col min="81" max="81" width="27.44140625" customWidth="1"/>
  </cols>
  <sheetData>
    <row r="1" spans="1:81" s="32" customFormat="1" ht="64.2" customHeigh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7" t="s">
        <v>19</v>
      </c>
      <c r="T1" s="27" t="s">
        <v>20</v>
      </c>
      <c r="U1" s="27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29</v>
      </c>
      <c r="AD1" s="27" t="s">
        <v>30</v>
      </c>
      <c r="AE1" s="27" t="s">
        <v>31</v>
      </c>
      <c r="AF1" s="27" t="s">
        <v>32</v>
      </c>
      <c r="AG1" s="27" t="s">
        <v>33</v>
      </c>
      <c r="AH1" s="27" t="s">
        <v>34</v>
      </c>
      <c r="AI1" s="27" t="s">
        <v>35</v>
      </c>
      <c r="AJ1" s="27" t="s">
        <v>36</v>
      </c>
      <c r="AK1" s="27" t="s">
        <v>37</v>
      </c>
      <c r="AL1" s="27" t="s">
        <v>38</v>
      </c>
      <c r="AM1" s="27" t="s">
        <v>39</v>
      </c>
      <c r="AN1" s="27" t="s">
        <v>40</v>
      </c>
      <c r="AO1" s="27" t="s">
        <v>41</v>
      </c>
      <c r="AP1" s="27" t="s">
        <v>42</v>
      </c>
      <c r="AQ1" s="27" t="s">
        <v>43</v>
      </c>
      <c r="AR1" s="27" t="s">
        <v>44</v>
      </c>
      <c r="AS1" s="27" t="s">
        <v>45</v>
      </c>
      <c r="AT1" s="27" t="s">
        <v>46</v>
      </c>
      <c r="AU1" s="27" t="s">
        <v>47</v>
      </c>
      <c r="AV1" s="27" t="s">
        <v>48</v>
      </c>
      <c r="AW1" s="27" t="s">
        <v>49</v>
      </c>
      <c r="AX1" s="27" t="s">
        <v>50</v>
      </c>
      <c r="AY1" s="27" t="s">
        <v>51</v>
      </c>
      <c r="AZ1" s="27" t="s">
        <v>52</v>
      </c>
      <c r="BA1" s="28" t="s">
        <v>53</v>
      </c>
      <c r="BB1" s="28" t="s">
        <v>54</v>
      </c>
      <c r="BC1" s="28" t="s">
        <v>55</v>
      </c>
      <c r="BD1" s="28" t="s">
        <v>56</v>
      </c>
      <c r="BE1" s="28" t="s">
        <v>57</v>
      </c>
      <c r="BF1" s="28" t="s">
        <v>58</v>
      </c>
      <c r="BG1" s="28" t="s">
        <v>59</v>
      </c>
      <c r="BH1" s="28" t="s">
        <v>60</v>
      </c>
      <c r="BI1" s="28" t="s">
        <v>61</v>
      </c>
      <c r="BJ1" s="29" t="s">
        <v>62</v>
      </c>
      <c r="BK1" s="28" t="s">
        <v>63</v>
      </c>
      <c r="BL1" s="28" t="s">
        <v>64</v>
      </c>
      <c r="BM1" s="28" t="s">
        <v>65</v>
      </c>
      <c r="BN1" s="30" t="s">
        <v>66</v>
      </c>
      <c r="BO1" s="31" t="s">
        <v>67</v>
      </c>
      <c r="BP1" s="31" t="s">
        <v>68</v>
      </c>
      <c r="BQ1" s="31" t="s">
        <v>69</v>
      </c>
      <c r="BR1" s="31" t="s">
        <v>70</v>
      </c>
      <c r="BS1" s="31" t="s">
        <v>71</v>
      </c>
      <c r="BT1" s="31" t="s">
        <v>72</v>
      </c>
      <c r="BU1" s="31" t="s">
        <v>73</v>
      </c>
      <c r="BV1" s="31" t="s">
        <v>74</v>
      </c>
      <c r="BW1" s="31" t="s">
        <v>75</v>
      </c>
      <c r="BX1" s="31" t="s">
        <v>76</v>
      </c>
      <c r="BY1" s="31" t="s">
        <v>77</v>
      </c>
      <c r="BZ1" s="31" t="s">
        <v>78</v>
      </c>
      <c r="CA1" s="31" t="s">
        <v>1020</v>
      </c>
      <c r="CB1" s="31" t="s">
        <v>1021</v>
      </c>
      <c r="CC1" s="31" t="s">
        <v>79</v>
      </c>
    </row>
    <row r="2" spans="1:81" ht="18" customHeight="1" x14ac:dyDescent="0.3">
      <c r="A2" s="15">
        <v>1</v>
      </c>
      <c r="B2" s="13" t="s">
        <v>80</v>
      </c>
      <c r="C2" s="13" t="s">
        <v>81</v>
      </c>
      <c r="D2" s="13" t="s">
        <v>82</v>
      </c>
      <c r="E2" s="13"/>
      <c r="F2" s="16">
        <v>1.5</v>
      </c>
      <c r="G2" s="17">
        <v>1</v>
      </c>
      <c r="H2" s="17">
        <v>365</v>
      </c>
      <c r="I2" s="17">
        <v>9.4</v>
      </c>
      <c r="J2" s="17">
        <v>0</v>
      </c>
      <c r="K2" s="17">
        <v>11.2</v>
      </c>
      <c r="L2" s="17">
        <v>73.099999999999994</v>
      </c>
      <c r="M2" s="17">
        <v>72.400000000000006</v>
      </c>
      <c r="N2" s="17">
        <v>0.66</v>
      </c>
      <c r="O2" s="17">
        <v>0</v>
      </c>
      <c r="P2" s="17">
        <v>4.2</v>
      </c>
      <c r="Q2" s="17">
        <v>2.1</v>
      </c>
      <c r="R2" s="17">
        <v>0.32</v>
      </c>
      <c r="S2" s="17">
        <v>0.24</v>
      </c>
      <c r="T2" s="17">
        <v>0.81</v>
      </c>
      <c r="U2" s="17">
        <v>0</v>
      </c>
      <c r="V2" s="17">
        <v>1.8</v>
      </c>
      <c r="W2" s="17">
        <v>0</v>
      </c>
      <c r="X2" s="17">
        <v>11</v>
      </c>
      <c r="Y2" s="17">
        <v>0</v>
      </c>
      <c r="Z2" s="17">
        <v>2.2000000000000002</v>
      </c>
      <c r="AA2" s="17">
        <v>2.8</v>
      </c>
      <c r="AB2" s="17">
        <v>0.52</v>
      </c>
      <c r="AC2" s="17">
        <v>0.2</v>
      </c>
      <c r="AD2" s="17">
        <v>4.7</v>
      </c>
      <c r="AE2" s="17">
        <v>0.15</v>
      </c>
      <c r="AF2" s="17">
        <v>57</v>
      </c>
      <c r="AG2" s="17">
        <v>0</v>
      </c>
      <c r="AH2" s="17">
        <v>0.68</v>
      </c>
      <c r="AI2" s="17">
        <v>0</v>
      </c>
      <c r="AJ2" s="17">
        <v>0</v>
      </c>
      <c r="AK2" s="17">
        <v>36</v>
      </c>
      <c r="AL2" s="17">
        <v>349</v>
      </c>
      <c r="AM2" s="17">
        <v>3.5</v>
      </c>
      <c r="AN2" s="17">
        <v>0</v>
      </c>
      <c r="AO2" s="17">
        <v>3.6</v>
      </c>
      <c r="AP2" s="17">
        <v>111</v>
      </c>
      <c r="AQ2" s="17">
        <v>17</v>
      </c>
      <c r="AR2" s="17">
        <v>521</v>
      </c>
      <c r="AS2" s="17">
        <v>0</v>
      </c>
      <c r="AT2" s="17">
        <v>0.66</v>
      </c>
      <c r="AU2" s="17">
        <v>70.7</v>
      </c>
      <c r="AV2" s="17">
        <f>IFERROR(VLOOKUP(IFERROR(VLOOKUP(D2,Mapa_Similitud!$A$2:$B$2000,2,FALSE()),D2),Hoja1!$A$2:$K$1000,2,FALSE()),IFERROR(VLOOKUP(IFERROR(VLOOKUP(D2,Mapa_Similitud!$A$2:$B$2000,2,FALSE()),D2),Omega3_Referencia!$A$2:$E$100,3,FALSE()),0))</f>
        <v>0.03</v>
      </c>
      <c r="AW2" s="13" t="str">
        <f>IFERROR(VLOOKUP(IFERROR(VLOOKUP(D2,Mapa_Similitud!$A$2:$B$2000,2,FALSE()),D2),Hoja1!$A$2:$K$1000,3,FALSE()),IFERROR(VLOOKUP(IFERROR(VLOOKUP(D2,Mapa_Similitud!$A$2:$B$2000,2,FALSE()),D2),Omega3_Referencia!$A$2:$E$100,4,FALSE()),"N/A"))</f>
        <v>ALA</v>
      </c>
      <c r="AX2" s="17">
        <f>IFERROR(VLOOKUP(IFERROR(VLOOKUP(D2,Mapa_Similitud!$A$2:$B$2000,2,FALSE()),D2),Hoja1!$A$2:$K$1000,5,FALSE()),0)</f>
        <v>0</v>
      </c>
      <c r="AY2" s="17">
        <f>IFERROR(VLOOKUP(IFERROR(VLOOKUP(D2,Mapa_Similitud!$A$2:$B$2000,2,FALSE()),D2),Hoja1!$A$2:$K$1000,7,FALSE()),0)</f>
        <v>40</v>
      </c>
      <c r="AZ2" s="17">
        <f>IFERROR(VLOOKUP(IFERROR(VLOOKUP(D2,Mapa_Similitud!$A$2:$B$2000,2,FALSE()),D2),Hoja1!$A$2:$K$1000,9,FALSE()),0)</f>
        <v>0</v>
      </c>
      <c r="BA2" s="23">
        <f t="shared" ref="BA2:BA65" si="0">IFERROR(K2/H2,0)</f>
        <v>3.0684931506849315E-2</v>
      </c>
      <c r="BB2" s="23">
        <f t="shared" ref="BB2:BB65" si="1">IFERROR(P2/H2,0)</f>
        <v>1.1506849315068493E-2</v>
      </c>
      <c r="BC2" s="23">
        <f t="shared" ref="BC2:BC65" si="2">IFERROR(AK2/H2,0)</f>
        <v>9.8630136986301367E-2</v>
      </c>
      <c r="BD2" s="23">
        <f t="shared" ref="BD2:BD65" si="3">IFERROR(AM2/H2,0)</f>
        <v>9.5890410958904115E-3</v>
      </c>
      <c r="BE2" s="23">
        <f t="shared" ref="BE2:BE65" si="4">IFERROR(AQ2/H2,0)</f>
        <v>4.6575342465753428E-2</v>
      </c>
      <c r="BF2" s="23">
        <f t="shared" ref="BF2:BF65" si="5">IFERROR(T2/R2,0)</f>
        <v>2.53125</v>
      </c>
      <c r="BG2" s="23">
        <f t="shared" ref="BG2:BG65" si="6">IFERROR(AK2/AL2,0)</f>
        <v>0.10315186246418338</v>
      </c>
      <c r="BH2" s="23">
        <f t="shared" ref="BH2:BH65" si="7">IFERROR(R2/Q2,0)</f>
        <v>0.15238095238095237</v>
      </c>
      <c r="BI2" s="23">
        <f t="shared" ref="BI2:BI65" si="8">IFERROR(AQ2/AR2,0)</f>
        <v>3.2629558541266791E-2</v>
      </c>
      <c r="BJ2" s="23">
        <f t="shared" ref="BJ2:BJ65" si="9">IFERROR(N2/L2,0)</f>
        <v>9.0287277701778402E-3</v>
      </c>
      <c r="BK2" s="23">
        <f t="shared" ref="BK2:BK65" si="10">IFERROR(P2/L2,0)</f>
        <v>5.7455540355677161E-2</v>
      </c>
      <c r="BL2" s="23">
        <f t="shared" ref="BL2:BL65" si="11">IFERROR((Q2*9)/H2,0)</f>
        <v>5.1780821917808223E-2</v>
      </c>
      <c r="BM2" s="23">
        <f t="shared" ref="BM2:BM65" si="12">IFERROR(AP2/H2,0)</f>
        <v>0.30410958904109592</v>
      </c>
      <c r="BN2" s="18" t="str">
        <f>IF(BA2&gt;0.2,"Muy alta fuente de proteína",IF(BA2&gt;0.15,"Alta fuente de proteína",IF(BA2&gt;0.1,"Media fuente de proteína","Baja fuente de proteína")))</f>
        <v>Baja fuente de proteína</v>
      </c>
      <c r="BO2" s="18" t="str">
        <f>IF(BB2&gt;0.03,"Alta",IF(BB2&gt;0.015,"Media","Baja")) &amp; " fuente de fibra"</f>
        <v>Baja fuente de fibra</v>
      </c>
      <c r="BP2" s="18" t="str">
        <f>IF(BC2&gt;1.5,"Alta fuente de calcio",IF(BC2&gt;0.8,"Media fuente de calcio","Baja fuente de calcio"))</f>
        <v>Baja fuente de calcio</v>
      </c>
      <c r="BQ2" s="18" t="str">
        <f>IF(BD2&gt;0.015,"Alta fuente de hierro",IF(BD2&gt;0.008,"Media fuente de hierro","Baja fuente de hierro"))</f>
        <v>Media fuente de hierro</v>
      </c>
      <c r="BR2" s="18" t="str">
        <f>IF(BE2&gt;2,"Muy alto",IF(BE2&gt;1,"Alto",IF(BE2&gt;0.5,"Moderado","Bajo"))) &amp; " en sodio"</f>
        <v>Bajo en sodio</v>
      </c>
      <c r="BS2" s="18" t="str">
        <f t="shared" ref="BS2:BS65" si="13">IF(BF2&gt;2,"Altamente antiinflamatorio",IF(BF2&gt;1,"Ligeramente antiinflamatorio",IF(BF2&gt;0.5,"Neutro","Proinflamatorio")))</f>
        <v>Altamente antiinflamatorio</v>
      </c>
      <c r="BT2" s="18" t="str">
        <f t="shared" ref="BT2:BT65" si="14">IF(BL2&gt;0.4,"Muy alto en grasas",IF(BL2&gt;0.3,"Alto en grasas",IF(BL2&gt;0.2,"Moderado en grasas","Bajo en grasas")))</f>
        <v>Bajo en grasas</v>
      </c>
      <c r="BU2" s="18" t="str">
        <f>IF(BI2&gt;1,"Alto riesgo de retención de líquidos",IF(BI2&gt;0.5,"Riesgo moderado de retención","Equilibrio de líquidos ideal"))</f>
        <v>Equilibrio de líquidos ideal</v>
      </c>
      <c r="BV2" s="18" t="str">
        <f>IF(BM2&gt;0.5,"Alta",IF(BM2&gt;0.2,"Media","Baja")) &amp; " fuente de magnesio"</f>
        <v>Media fuente de magnesio</v>
      </c>
      <c r="BW2" s="18" t="str">
        <f>IF(AV2&gt;=0.5,"Alta fuente de Omega 3",IF(AV2&gt;0.1,"Ligera fuente de Omega 3","Sin aporte de Omega 3"))</f>
        <v>Sin aporte de Omega 3</v>
      </c>
      <c r="BX2" s="18" t="str">
        <f>IF(AX2&gt;0.5,"Alerta: Alto en grasas trans",IF(AX2&gt;0,"Contiene grasas trans","Libre de grasas trans"))</f>
        <v>Libre de grasas trans</v>
      </c>
      <c r="BY2" s="18" t="str">
        <f>IF(AY2&gt;=50,"Alto",IF(AY2&gt;=10,"Medio","Bajo")) &amp; " poder antioxidante"</f>
        <v>Medio poder antioxidante</v>
      </c>
      <c r="BZ2" s="18" t="str">
        <f t="shared" ref="BZ2:BZ65" si="15">IF(AZ2&gt;=1,"Probiótico activo","Sin probióticos")</f>
        <v>Sin probióticos</v>
      </c>
      <c r="CA2" s="18" t="str">
        <f>IF(OR(AX2&gt;0.5, O2&gt;15, J2&gt;0), "Altamente inflamatorio", IF(OR(AV2&gt;=0.5, AY2&gt;=50), "Antiinflamatorio", IF(OR(AX2&gt;0, O2&gt;5), "Moderadamente inflamatorio", "Poco inflamatorio")))</f>
        <v>Poco inflamatorio</v>
      </c>
      <c r="CB2" s="18" t="str">
        <f>IF(ISNUMBER(SEARCH("miel", D2)), "No irritante (Uso condicionado SII)", IF(OR(J2&gt;0, ISNUMBER(SEARCH("cacao", D2)), ISNUMBER(SEARCH("chocolate puro", D2))), "Altamente irritante", IF(OR(AND(O2&gt;15, BI2&gt;1), ISNUMBER(SEARCH("chocolate", D2))), "Moderadamente irritante", "No irritante")))</f>
        <v>No irritante</v>
      </c>
      <c r="CC2" s="18" t="str">
        <f t="shared" ref="CC2:CC65" si="16">IF(AV2=0,"Sin Omega 3 para evaluar",IFERROR(IF(((T2-AV2)/AV2)&gt;4,"Exceso relativo de Omega 6","Balance de omegas favorable"),"Sin Omega 3 para evaluar"))</f>
        <v>Exceso relativo de Omega 6</v>
      </c>
    </row>
    <row r="3" spans="1:81" s="10" customFormat="1" ht="15" customHeight="1" x14ac:dyDescent="0.3">
      <c r="A3" s="19">
        <f t="shared" ref="A3:A66" si="17">1+A2</f>
        <v>2</v>
      </c>
      <c r="B3" s="11" t="s">
        <v>80</v>
      </c>
      <c r="C3" s="11" t="s">
        <v>83</v>
      </c>
      <c r="D3" s="11" t="s">
        <v>84</v>
      </c>
      <c r="E3" s="11"/>
      <c r="F3" s="20">
        <v>0.5</v>
      </c>
      <c r="G3" s="21">
        <v>1</v>
      </c>
      <c r="H3" s="21">
        <v>364</v>
      </c>
      <c r="I3" s="21">
        <v>9.4</v>
      </c>
      <c r="J3" s="21">
        <v>0</v>
      </c>
      <c r="K3" s="21">
        <v>6.7</v>
      </c>
      <c r="L3" s="21">
        <v>81.599999999999994</v>
      </c>
      <c r="M3" s="21">
        <v>81.400000000000006</v>
      </c>
      <c r="N3" s="21">
        <v>0.16</v>
      </c>
      <c r="O3" s="21">
        <v>0</v>
      </c>
      <c r="P3" s="21">
        <v>1.4</v>
      </c>
      <c r="Q3" s="21">
        <v>0.9</v>
      </c>
      <c r="R3" s="21">
        <v>0.19</v>
      </c>
      <c r="S3" s="21">
        <v>0.23</v>
      </c>
      <c r="T3" s="21">
        <v>0.32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7.5999999999999998E-2</v>
      </c>
      <c r="AA3" s="21">
        <v>1</v>
      </c>
      <c r="AB3" s="21">
        <v>0.05</v>
      </c>
      <c r="AC3" s="21">
        <v>0.04</v>
      </c>
      <c r="AD3" s="21">
        <v>4.9000000000000004</v>
      </c>
      <c r="AE3" s="21">
        <v>0.2</v>
      </c>
      <c r="AF3" s="21">
        <v>20</v>
      </c>
      <c r="AG3" s="21">
        <v>0</v>
      </c>
      <c r="AH3" s="21">
        <v>0</v>
      </c>
      <c r="AI3" s="21">
        <v>3</v>
      </c>
      <c r="AJ3" s="21">
        <v>20</v>
      </c>
      <c r="AK3" s="21">
        <v>14</v>
      </c>
      <c r="AL3" s="21">
        <v>150</v>
      </c>
      <c r="AM3" s="21">
        <v>0.8</v>
      </c>
      <c r="AN3" s="21">
        <v>14</v>
      </c>
      <c r="AO3" s="21">
        <v>1.5</v>
      </c>
      <c r="AP3" s="21">
        <v>31</v>
      </c>
      <c r="AQ3" s="21">
        <v>3.9</v>
      </c>
      <c r="AR3" s="21">
        <v>109</v>
      </c>
      <c r="AS3" s="21">
        <v>1.2</v>
      </c>
      <c r="AT3" s="21">
        <v>2</v>
      </c>
      <c r="AU3" s="21">
        <v>7</v>
      </c>
      <c r="AV3" s="21">
        <f>IFERROR(VLOOKUP(IFERROR(VLOOKUP(D3,Mapa_Similitud!$A$2:$B$2000,2,FALSE()),D3),Hoja1!$A$2:$K$1000,2,FALSE()),IFERROR(VLOOKUP(IFERROR(VLOOKUP(D3,Mapa_Similitud!$A$2:$B$2000,2,FALSE()),D3),Omega3_Referencia!$A$2:$E$100,3,FALSE()),0))</f>
        <v>0.01</v>
      </c>
      <c r="AW3" s="11" t="str">
        <f>IFERROR(VLOOKUP(IFERROR(VLOOKUP(D3,Mapa_Similitud!$A$2:$B$2000,2,FALSE()),D3),Hoja1!$A$2:$K$1000,3,FALSE()),IFERROR(VLOOKUP(IFERROR(VLOOKUP(D3,Mapa_Similitud!$A$2:$B$2000,2,FALSE()),D3),Omega3_Referencia!$A$2:$E$100,4,FALSE()),"N/A"))</f>
        <v>ALA</v>
      </c>
      <c r="AX3" s="21">
        <f>IFERROR(VLOOKUP(IFERROR(VLOOKUP(D3,Mapa_Similitud!$A$2:$B$2000,2,FALSE()),D3),Hoja1!$A$2:$K$1000,5,FALSE()),0)</f>
        <v>0</v>
      </c>
      <c r="AY3" s="21">
        <f>IFERROR(VLOOKUP(IFERROR(VLOOKUP(D3,Mapa_Similitud!$A$2:$B$2000,2,FALSE()),D3),Hoja1!$A$2:$K$1000,7,FALSE()),0)</f>
        <v>1</v>
      </c>
      <c r="AZ3" s="21">
        <f>IFERROR(VLOOKUP(IFERROR(VLOOKUP(D3,Mapa_Similitud!$A$2:$B$2000,2,FALSE()),D3),Hoja1!$A$2:$K$1000,9,FALSE()),0)</f>
        <v>0</v>
      </c>
      <c r="BA3" s="24">
        <f t="shared" si="0"/>
        <v>1.8406593406593407E-2</v>
      </c>
      <c r="BB3" s="24">
        <f t="shared" si="1"/>
        <v>3.8461538461538459E-3</v>
      </c>
      <c r="BC3" s="24">
        <f t="shared" si="2"/>
        <v>3.8461538461538464E-2</v>
      </c>
      <c r="BD3" s="24">
        <f t="shared" si="3"/>
        <v>2.1978021978021978E-3</v>
      </c>
      <c r="BE3" s="24">
        <f t="shared" si="4"/>
        <v>1.0714285714285714E-2</v>
      </c>
      <c r="BF3" s="24">
        <f t="shared" si="5"/>
        <v>1.6842105263157894</v>
      </c>
      <c r="BG3" s="24">
        <f t="shared" si="6"/>
        <v>9.3333333333333338E-2</v>
      </c>
      <c r="BH3" s="24">
        <f t="shared" si="7"/>
        <v>0.21111111111111111</v>
      </c>
      <c r="BI3" s="24">
        <f t="shared" si="8"/>
        <v>3.577981651376147E-2</v>
      </c>
      <c r="BJ3" s="24">
        <f t="shared" si="9"/>
        <v>1.9607843137254902E-3</v>
      </c>
      <c r="BK3" s="24">
        <f t="shared" si="10"/>
        <v>1.7156862745098041E-2</v>
      </c>
      <c r="BL3" s="24">
        <f t="shared" si="11"/>
        <v>2.2252747252747253E-2</v>
      </c>
      <c r="BM3" s="24">
        <f t="shared" si="12"/>
        <v>8.5164835164835168E-2</v>
      </c>
      <c r="BN3" s="18" t="str">
        <f t="shared" ref="BN3:BN66" si="18">IF(BA3&gt;0.2,"Muy alta fuente de proteína",IF(BA3&gt;0.15,"Alta fuente de proteína",IF(BA3&gt;0.1,"Media fuente de proteína","Baja fuente de proteína")))</f>
        <v>Baja fuente de proteína</v>
      </c>
      <c r="BO3" s="18" t="str">
        <f t="shared" ref="BO3:BO66" si="19">IF(BB3&gt;0.03,"Alta",IF(BB3&gt;0.015,"Media","Baja")) &amp; " fuente de fibra"</f>
        <v>Baja fuente de fibra</v>
      </c>
      <c r="BP3" s="18" t="str">
        <f t="shared" ref="BP3:BP66" si="20">IF(BC3&gt;1.5,"Alta fuente de calcio",IF(BC3&gt;0.8,"Media fuente de calcio","Baja fuente de calcio"))</f>
        <v>Baja fuente de calcio</v>
      </c>
      <c r="BQ3" s="18" t="str">
        <f t="shared" ref="BQ3:BQ66" si="21">IF(BD3&gt;0.015,"Alta fuente de hierro",IF(BD3&gt;0.008,"Media fuente de hierro","Baja fuente de hierro"))</f>
        <v>Baja fuente de hierro</v>
      </c>
      <c r="BR3" s="18" t="str">
        <f t="shared" ref="BR3:BR66" si="22">IF(BE3&gt;2,"Muy alto",IF(BE3&gt;1,"Alto",IF(BE3&gt;0.5,"Moderado","Bajo"))) &amp; " en sodio"</f>
        <v>Bajo en sodio</v>
      </c>
      <c r="BS3" s="22" t="str">
        <f t="shared" si="13"/>
        <v>Ligeramente antiinflamatorio</v>
      </c>
      <c r="BT3" s="22" t="str">
        <f t="shared" si="14"/>
        <v>Bajo en grasas</v>
      </c>
      <c r="BU3" s="18" t="str">
        <f t="shared" ref="BU3:BU66" si="23">IF(BI3&gt;1,"Alto riesgo de retención de líquidos",IF(BI3&gt;0.5,"Riesgo moderado de retención","Equilibrio de líquidos ideal"))</f>
        <v>Equilibrio de líquidos ideal</v>
      </c>
      <c r="BV3" s="18" t="str">
        <f t="shared" ref="BV3:BV66" si="24">IF(BM3&gt;0.5,"Alta",IF(BM3&gt;0.2,"Media","Baja")) &amp; " fuente de magnesio"</f>
        <v>Baja fuente de magnesio</v>
      </c>
      <c r="BW3" s="18" t="str">
        <f t="shared" ref="BW3:BW66" si="25">IF(AV3&gt;=0.5,"Alta fuente de Omega 3",IF(AV3&gt;0.1,"Ligera fuente de Omega 3","Sin aporte de Omega 3"))</f>
        <v>Sin aporte de Omega 3</v>
      </c>
      <c r="BX3" s="18" t="str">
        <f t="shared" ref="BX3:BX66" si="26">IF(AX3&gt;0.5,"Alerta: Alto en grasas trans",IF(AX3&gt;0,"Contiene grasas trans","Libre de grasas trans"))</f>
        <v>Libre de grasas trans</v>
      </c>
      <c r="BY3" s="18" t="str">
        <f t="shared" ref="BY3:BY66" si="27">IF(AY3&gt;=50,"Alto",IF(AY3&gt;=10,"Medio","Bajo")) &amp; " poder antioxidante"</f>
        <v>Bajo poder antioxidante</v>
      </c>
      <c r="BZ3" s="22" t="str">
        <f t="shared" si="15"/>
        <v>Sin probióticos</v>
      </c>
      <c r="CA3" s="18" t="str">
        <f t="shared" ref="CA3:CA66" si="28">IF(OR(AX3&gt;0.5, O3&gt;15, J3&gt;0), "Altamente inflamatorio", IF(OR(AV3&gt;=0.5, AY3&gt;=50), "Antiinflamatorio", IF(OR(AX3&gt;0, O3&gt;5), "Moderadamente inflamatorio", "Poco inflamatorio")))</f>
        <v>Poco inflamatorio</v>
      </c>
      <c r="CB3" s="18" t="str">
        <f>IF(ISNUMBER(SEARCH("miel", D3)), "No irritante (Uso condicionado SII)", IF(OR(J3&gt;0, ISNUMBER(SEARCH("cacao", D3)), ISNUMBER(SEARCH("chocolate puro", D3))), "Altamente irritante", IF(OR(AND(O3&gt;15, BI3&gt;1), ISNUMBER(SEARCH("chocolate", D3))), "Moderadamente irritante", "No irritante")))</f>
        <v>No irritante</v>
      </c>
      <c r="CC3" s="22" t="str">
        <f t="shared" si="16"/>
        <v>Exceso relativo de Omega 6</v>
      </c>
    </row>
    <row r="4" spans="1:81" ht="15" customHeight="1" x14ac:dyDescent="0.3">
      <c r="A4" s="15">
        <f t="shared" si="17"/>
        <v>3</v>
      </c>
      <c r="B4" s="13" t="s">
        <v>80</v>
      </c>
      <c r="C4" s="13" t="s">
        <v>83</v>
      </c>
      <c r="D4" s="13" t="s">
        <v>85</v>
      </c>
      <c r="E4" s="13" t="s">
        <v>86</v>
      </c>
      <c r="F4" s="16">
        <v>0.5</v>
      </c>
      <c r="G4" s="17">
        <v>1</v>
      </c>
      <c r="H4" s="17">
        <v>349</v>
      </c>
      <c r="I4" s="17">
        <v>12.9</v>
      </c>
      <c r="J4" s="17">
        <v>0</v>
      </c>
      <c r="K4" s="17">
        <v>6.9</v>
      </c>
      <c r="L4" s="17">
        <v>78.2</v>
      </c>
      <c r="M4" s="17">
        <v>78.2</v>
      </c>
      <c r="N4" s="17">
        <v>0</v>
      </c>
      <c r="O4" s="17">
        <v>0</v>
      </c>
      <c r="P4" s="17">
        <v>1.4</v>
      </c>
      <c r="Q4" s="17">
        <v>0.6</v>
      </c>
      <c r="R4" s="17">
        <v>0.15</v>
      </c>
      <c r="S4" s="17">
        <v>0.17</v>
      </c>
      <c r="T4" s="17">
        <v>0.2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0.1</v>
      </c>
      <c r="AA4" s="17">
        <v>1</v>
      </c>
      <c r="AB4" s="17">
        <v>0.22</v>
      </c>
      <c r="AC4" s="17">
        <v>0.06</v>
      </c>
      <c r="AD4" s="17">
        <v>4.7</v>
      </c>
      <c r="AE4" s="17">
        <v>0.38</v>
      </c>
      <c r="AF4" s="17">
        <v>20</v>
      </c>
      <c r="AG4" s="17">
        <v>0</v>
      </c>
      <c r="AH4" s="17">
        <v>1.1000000000000001</v>
      </c>
      <c r="AI4" s="17">
        <v>3</v>
      </c>
      <c r="AJ4" s="17">
        <v>0</v>
      </c>
      <c r="AK4" s="17">
        <v>34</v>
      </c>
      <c r="AL4" s="17">
        <v>150</v>
      </c>
      <c r="AM4" s="17">
        <v>1.4</v>
      </c>
      <c r="AN4" s="17">
        <v>14</v>
      </c>
      <c r="AO4" s="17">
        <v>1.8</v>
      </c>
      <c r="AP4" s="17">
        <v>31</v>
      </c>
      <c r="AQ4" s="17">
        <v>4</v>
      </c>
      <c r="AR4" s="17">
        <v>150</v>
      </c>
      <c r="AS4" s="17">
        <v>1.2</v>
      </c>
      <c r="AT4" s="17">
        <v>0.37</v>
      </c>
      <c r="AU4" s="17">
        <v>10</v>
      </c>
      <c r="AV4" s="17">
        <f>IFERROR(VLOOKUP(IFERROR(VLOOKUP(D4,Mapa_Similitud!$A$2:$B$2000,2,FALSE()),D4),Hoja1!$A$2:$K$1000,2,FALSE()),IFERROR(VLOOKUP(IFERROR(VLOOKUP(D4,Mapa_Similitud!$A$2:$B$2000,2,FALSE()),D4),Omega3_Referencia!$A$2:$E$100,3,FALSE()),0))</f>
        <v>0</v>
      </c>
      <c r="AW4" s="13" t="str">
        <f>IFERROR(VLOOKUP(IFERROR(VLOOKUP(D4,Mapa_Similitud!$A$2:$B$2000,2,FALSE()),D4),Hoja1!$A$2:$K$1000,3,FALSE()),IFERROR(VLOOKUP(IFERROR(VLOOKUP(D4,Mapa_Similitud!$A$2:$B$2000,2,FALSE()),D4),Omega3_Referencia!$A$2:$E$100,4,FALSE()),"N/A"))</f>
        <v>N/A</v>
      </c>
      <c r="AX4" s="17">
        <f>IFERROR(VLOOKUP(IFERROR(VLOOKUP(D4,Mapa_Similitud!$A$2:$B$2000,2,FALSE()),D4),Hoja1!$A$2:$K$1000,5,FALSE()),0)</f>
        <v>0</v>
      </c>
      <c r="AY4" s="17">
        <f>IFERROR(VLOOKUP(IFERROR(VLOOKUP(D4,Mapa_Similitud!$A$2:$B$2000,2,FALSE()),D4),Hoja1!$A$2:$K$1000,7,FALSE()),0)</f>
        <v>0</v>
      </c>
      <c r="AZ4" s="17">
        <f>IFERROR(VLOOKUP(IFERROR(VLOOKUP(D4,Mapa_Similitud!$A$2:$B$2000,2,FALSE()),D4),Hoja1!$A$2:$K$1000,9,FALSE()),0)</f>
        <v>0</v>
      </c>
      <c r="BA4" s="23">
        <f t="shared" si="0"/>
        <v>1.9770773638968481E-2</v>
      </c>
      <c r="BB4" s="23">
        <f t="shared" si="1"/>
        <v>4.0114613180515755E-3</v>
      </c>
      <c r="BC4" s="23">
        <f t="shared" si="2"/>
        <v>9.7421203438395415E-2</v>
      </c>
      <c r="BD4" s="23">
        <f t="shared" si="3"/>
        <v>4.0114613180515755E-3</v>
      </c>
      <c r="BE4" s="23">
        <f t="shared" si="4"/>
        <v>1.1461318051575931E-2</v>
      </c>
      <c r="BF4" s="23">
        <f t="shared" si="5"/>
        <v>1.3333333333333335</v>
      </c>
      <c r="BG4" s="23">
        <f t="shared" si="6"/>
        <v>0.22666666666666666</v>
      </c>
      <c r="BH4" s="23">
        <f t="shared" si="7"/>
        <v>0.25</v>
      </c>
      <c r="BI4" s="23">
        <f t="shared" si="8"/>
        <v>2.6666666666666668E-2</v>
      </c>
      <c r="BJ4" s="23">
        <f t="shared" si="9"/>
        <v>0</v>
      </c>
      <c r="BK4" s="23">
        <f t="shared" si="10"/>
        <v>1.7902813299232736E-2</v>
      </c>
      <c r="BL4" s="23">
        <f t="shared" si="11"/>
        <v>1.5472779369627506E-2</v>
      </c>
      <c r="BM4" s="23">
        <f t="shared" si="12"/>
        <v>8.882521489971347E-2</v>
      </c>
      <c r="BN4" s="18" t="str">
        <f t="shared" si="18"/>
        <v>Baja fuente de proteína</v>
      </c>
      <c r="BO4" s="18" t="str">
        <f t="shared" si="19"/>
        <v>Baja fuente de fibra</v>
      </c>
      <c r="BP4" s="18" t="str">
        <f t="shared" si="20"/>
        <v>Baja fuente de calcio</v>
      </c>
      <c r="BQ4" s="18" t="str">
        <f t="shared" si="21"/>
        <v>Baja fuente de hierro</v>
      </c>
      <c r="BR4" s="18" t="str">
        <f t="shared" si="22"/>
        <v>Bajo en sodio</v>
      </c>
      <c r="BS4" s="18" t="str">
        <f t="shared" si="13"/>
        <v>Ligeramente antiinflamatorio</v>
      </c>
      <c r="BT4" s="18" t="str">
        <f t="shared" si="14"/>
        <v>Bajo en grasas</v>
      </c>
      <c r="BU4" s="18" t="str">
        <f t="shared" si="23"/>
        <v>Equilibrio de líquidos ideal</v>
      </c>
      <c r="BV4" s="18" t="str">
        <f t="shared" si="24"/>
        <v>Baja fuente de magnesio</v>
      </c>
      <c r="BW4" s="18" t="str">
        <f t="shared" si="25"/>
        <v>Sin aporte de Omega 3</v>
      </c>
      <c r="BX4" s="18" t="str">
        <f t="shared" si="26"/>
        <v>Libre de grasas trans</v>
      </c>
      <c r="BY4" s="18" t="str">
        <f t="shared" si="27"/>
        <v>Bajo poder antioxidante</v>
      </c>
      <c r="BZ4" s="18" t="str">
        <f t="shared" si="15"/>
        <v>Sin probióticos</v>
      </c>
      <c r="CA4" s="18" t="str">
        <f t="shared" si="28"/>
        <v>Poco inflamatorio</v>
      </c>
      <c r="CB4" s="18" t="str">
        <f>IF(ISNUMBER(SEARCH("miel", D4)), "No irritante (Uso condicionado SII)", IF(OR(J4&gt;0, ISNUMBER(SEARCH("cacao", D4)), ISNUMBER(SEARCH("chocolate puro", D4))), "Altamente irritante", IF(OR(AND(O4&gt;15, BI4&gt;1), ISNUMBER(SEARCH("chocolate", D4))), "Moderadamente irritante", "No irritante")))</f>
        <v>No irritante</v>
      </c>
      <c r="CC4" s="18" t="str">
        <f t="shared" si="16"/>
        <v>Sin Omega 3 para evaluar</v>
      </c>
    </row>
    <row r="5" spans="1:81" ht="15" customHeight="1" x14ac:dyDescent="0.3">
      <c r="A5" s="2">
        <f t="shared" si="17"/>
        <v>4</v>
      </c>
      <c r="B5" s="3" t="s">
        <v>80</v>
      </c>
      <c r="C5" s="3" t="s">
        <v>83</v>
      </c>
      <c r="D5" s="14" t="s">
        <v>87</v>
      </c>
      <c r="E5" s="3"/>
      <c r="F5" s="4">
        <v>0.8</v>
      </c>
      <c r="G5" s="5">
        <v>1</v>
      </c>
      <c r="H5" s="5">
        <v>350</v>
      </c>
      <c r="I5" s="5">
        <v>14.2</v>
      </c>
      <c r="J5" s="5">
        <v>0</v>
      </c>
      <c r="K5" s="5">
        <v>7.3</v>
      </c>
      <c r="L5" s="5">
        <v>74.099999999999994</v>
      </c>
      <c r="M5" s="5">
        <v>72.7</v>
      </c>
      <c r="N5" s="5">
        <v>1.4</v>
      </c>
      <c r="O5" s="5">
        <v>0</v>
      </c>
      <c r="P5" s="5">
        <v>2.2000000000000002</v>
      </c>
      <c r="Q5" s="5">
        <v>2.2000000000000002</v>
      </c>
      <c r="R5" s="5">
        <v>0.61</v>
      </c>
      <c r="S5" s="5">
        <v>0.55000000000000004</v>
      </c>
      <c r="T5" s="5">
        <v>0.81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0.74</v>
      </c>
      <c r="AA5" s="5">
        <v>1</v>
      </c>
      <c r="AB5" s="5">
        <v>0.41</v>
      </c>
      <c r="AC5" s="5">
        <v>0.09</v>
      </c>
      <c r="AD5" s="5">
        <v>6.6</v>
      </c>
      <c r="AE5" s="5">
        <v>0.28000000000000003</v>
      </c>
      <c r="AF5" s="5">
        <v>49</v>
      </c>
      <c r="AG5" s="5">
        <v>0</v>
      </c>
      <c r="AH5" s="5">
        <v>1.5</v>
      </c>
      <c r="AI5" s="5">
        <v>12</v>
      </c>
      <c r="AJ5" s="5">
        <v>0</v>
      </c>
      <c r="AK5" s="5">
        <v>21</v>
      </c>
      <c r="AL5" s="5">
        <v>310</v>
      </c>
      <c r="AM5" s="5">
        <v>1.7</v>
      </c>
      <c r="AN5" s="5">
        <v>2.2000000000000002</v>
      </c>
      <c r="AO5" s="5">
        <v>1.6</v>
      </c>
      <c r="AP5" s="5">
        <v>110</v>
      </c>
      <c r="AQ5" s="5">
        <v>10</v>
      </c>
      <c r="AR5" s="5">
        <v>238</v>
      </c>
      <c r="AS5" s="5">
        <v>2.1</v>
      </c>
      <c r="AT5" s="5">
        <v>0.28999999999999998</v>
      </c>
      <c r="AU5" s="5">
        <v>10</v>
      </c>
      <c r="AV5" s="5">
        <f>IFERROR(VLOOKUP(IFERROR(VLOOKUP(D5,Mapa_Similitud!$A$2:$B$2000,2,FALSE()),D5),Hoja1!$A$2:$K$1000,2,FALSE()),IFERROR(VLOOKUP(IFERROR(VLOOKUP(D5,Mapa_Similitud!$A$2:$B$2000,2,FALSE()),D5),Omega3_Referencia!$A$2:$E$100,3,FALSE()),0))</f>
        <v>0.04</v>
      </c>
      <c r="AW5" s="3" t="str">
        <f>IFERROR(VLOOKUP(IFERROR(VLOOKUP(D5,Mapa_Similitud!$A$2:$B$2000,2,FALSE()),D5),Hoja1!$A$2:$K$1000,3,FALSE()),IFERROR(VLOOKUP(IFERROR(VLOOKUP(D5,Mapa_Similitud!$A$2:$B$2000,2,FALSE()),D5),Omega3_Referencia!$A$2:$E$100,4,FALSE()),"N/A"))</f>
        <v>ALA</v>
      </c>
      <c r="AX5" s="5">
        <f>IFERROR(VLOOKUP(IFERROR(VLOOKUP(D5,Mapa_Similitud!$A$2:$B$2000,2,FALSE()),D5),Hoja1!$A$2:$K$1000,5,FALSE()),0)</f>
        <v>0</v>
      </c>
      <c r="AY5" s="5">
        <f>IFERROR(VLOOKUP(IFERROR(VLOOKUP(D5,Mapa_Similitud!$A$2:$B$2000,2,FALSE()),D5),Hoja1!$A$2:$K$1000,7,FALSE()),0)</f>
        <v>25</v>
      </c>
      <c r="AZ5" s="5">
        <f>IFERROR(VLOOKUP(IFERROR(VLOOKUP(D5,Mapa_Similitud!$A$2:$B$2000,2,FALSE()),D5),Hoja1!$A$2:$K$1000,9,FALSE()),0)</f>
        <v>0</v>
      </c>
      <c r="BA5" s="25">
        <f t="shared" si="0"/>
        <v>2.0857142857142855E-2</v>
      </c>
      <c r="BB5" s="25">
        <f t="shared" si="1"/>
        <v>6.285714285714286E-3</v>
      </c>
      <c r="BC5" s="25">
        <f t="shared" si="2"/>
        <v>0.06</v>
      </c>
      <c r="BD5" s="25">
        <f t="shared" si="3"/>
        <v>4.8571428571428567E-3</v>
      </c>
      <c r="BE5" s="25">
        <f t="shared" si="4"/>
        <v>2.8571428571428571E-2</v>
      </c>
      <c r="BF5" s="25">
        <f t="shared" si="5"/>
        <v>1.3278688524590165</v>
      </c>
      <c r="BG5" s="25">
        <f t="shared" si="6"/>
        <v>6.7741935483870974E-2</v>
      </c>
      <c r="BH5" s="25">
        <f t="shared" si="7"/>
        <v>0.27727272727272723</v>
      </c>
      <c r="BI5" s="25">
        <f t="shared" si="8"/>
        <v>4.2016806722689079E-2</v>
      </c>
      <c r="BJ5" s="25">
        <f t="shared" si="9"/>
        <v>1.8893387314439947E-2</v>
      </c>
      <c r="BK5" s="25">
        <f t="shared" si="10"/>
        <v>2.9689608636977064E-2</v>
      </c>
      <c r="BL5" s="25">
        <f t="shared" si="11"/>
        <v>5.6571428571428571E-2</v>
      </c>
      <c r="BM5" s="25">
        <f t="shared" si="12"/>
        <v>0.31428571428571428</v>
      </c>
      <c r="BN5" s="18" t="str">
        <f t="shared" si="18"/>
        <v>Baja fuente de proteína</v>
      </c>
      <c r="BO5" s="18" t="str">
        <f t="shared" si="19"/>
        <v>Baja fuente de fibra</v>
      </c>
      <c r="BP5" s="18" t="str">
        <f t="shared" si="20"/>
        <v>Baja fuente de calcio</v>
      </c>
      <c r="BQ5" s="18" t="str">
        <f t="shared" si="21"/>
        <v>Baja fuente de hierro</v>
      </c>
      <c r="BR5" s="18" t="str">
        <f t="shared" si="22"/>
        <v>Bajo en sodio</v>
      </c>
      <c r="BS5" s="6" t="str">
        <f t="shared" si="13"/>
        <v>Ligeramente antiinflamatorio</v>
      </c>
      <c r="BT5" s="6" t="str">
        <f t="shared" si="14"/>
        <v>Bajo en grasas</v>
      </c>
      <c r="BU5" s="18" t="str">
        <f t="shared" si="23"/>
        <v>Equilibrio de líquidos ideal</v>
      </c>
      <c r="BV5" s="18" t="str">
        <f t="shared" si="24"/>
        <v>Media fuente de magnesio</v>
      </c>
      <c r="BW5" s="18" t="str">
        <f t="shared" si="25"/>
        <v>Sin aporte de Omega 3</v>
      </c>
      <c r="BX5" s="18" t="str">
        <f t="shared" si="26"/>
        <v>Libre de grasas trans</v>
      </c>
      <c r="BY5" s="18" t="str">
        <f t="shared" si="27"/>
        <v>Medio poder antioxidante</v>
      </c>
      <c r="BZ5" s="6" t="str">
        <f t="shared" si="15"/>
        <v>Sin probióticos</v>
      </c>
      <c r="CA5" s="18" t="str">
        <f t="shared" si="28"/>
        <v>Poco inflamatorio</v>
      </c>
      <c r="CB5" s="18" t="str">
        <f>IF(ISNUMBER(SEARCH("miel", D5)), "No irritante (Uso condicionado SII)", IF(OR(J5&gt;0, ISNUMBER(SEARCH("cacao", D5)), ISNUMBER(SEARCH("chocolate puro", D5))), "Altamente irritante", IF(OR(AND(O5&gt;15, BI5&gt;1), ISNUMBER(SEARCH("chocolate", D5))), "Moderadamente irritante", "No irritante")))</f>
        <v>No irritante</v>
      </c>
      <c r="CC5" s="6" t="str">
        <f t="shared" si="16"/>
        <v>Exceso relativo de Omega 6</v>
      </c>
    </row>
    <row r="6" spans="1:81" ht="15" customHeight="1" x14ac:dyDescent="0.3">
      <c r="A6" s="2">
        <f t="shared" si="17"/>
        <v>5</v>
      </c>
      <c r="B6" s="3" t="s">
        <v>80</v>
      </c>
      <c r="C6" s="3" t="s">
        <v>83</v>
      </c>
      <c r="D6" s="12" t="s">
        <v>88</v>
      </c>
      <c r="E6" s="3"/>
      <c r="F6" s="4">
        <v>0.5</v>
      </c>
      <c r="G6" s="5">
        <v>1</v>
      </c>
      <c r="H6" s="5">
        <v>353</v>
      </c>
      <c r="I6" s="5">
        <v>15.8</v>
      </c>
      <c r="J6" s="5">
        <v>0</v>
      </c>
      <c r="K6" s="5">
        <v>11.7</v>
      </c>
      <c r="L6" s="5">
        <v>55.7</v>
      </c>
      <c r="M6" s="5">
        <v>55.7</v>
      </c>
      <c r="N6" s="5">
        <v>0</v>
      </c>
      <c r="O6" s="5">
        <v>0</v>
      </c>
      <c r="P6" s="5">
        <v>9.6999999999999993</v>
      </c>
      <c r="Q6" s="5">
        <v>7.1</v>
      </c>
      <c r="R6" s="5">
        <v>1.5</v>
      </c>
      <c r="S6" s="5">
        <v>2.6</v>
      </c>
      <c r="T6" s="5">
        <v>2.9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0.84</v>
      </c>
      <c r="AA6" s="5">
        <v>50</v>
      </c>
      <c r="AB6" s="5">
        <v>0.67</v>
      </c>
      <c r="AC6" s="5">
        <v>0.17</v>
      </c>
      <c r="AD6" s="5">
        <v>3.4</v>
      </c>
      <c r="AE6" s="5">
        <v>0.96</v>
      </c>
      <c r="AF6" s="5">
        <v>33</v>
      </c>
      <c r="AG6" s="5">
        <v>0</v>
      </c>
      <c r="AH6" s="5">
        <v>0.71</v>
      </c>
      <c r="AI6" s="5">
        <v>13</v>
      </c>
      <c r="AJ6" s="5">
        <v>0</v>
      </c>
      <c r="AK6" s="5">
        <v>80</v>
      </c>
      <c r="AL6" s="5">
        <v>342</v>
      </c>
      <c r="AM6" s="5">
        <v>5.8</v>
      </c>
      <c r="AN6" s="5">
        <v>7.7</v>
      </c>
      <c r="AO6" s="5">
        <v>3.2</v>
      </c>
      <c r="AP6" s="5">
        <v>129</v>
      </c>
      <c r="AQ6" s="5">
        <v>8.4</v>
      </c>
      <c r="AR6" s="5">
        <v>355</v>
      </c>
      <c r="AS6" s="5">
        <v>3.1</v>
      </c>
      <c r="AT6" s="5">
        <v>0.42</v>
      </c>
      <c r="AU6" s="5">
        <v>7.1</v>
      </c>
      <c r="AV6" s="5">
        <f>IFERROR(VLOOKUP(IFERROR(VLOOKUP(D6,Mapa_Similitud!$A$2:$B$2000,2,FALSE()),D6),Hoja1!$A$2:$K$1000,2,FALSE()),IFERROR(VLOOKUP(IFERROR(VLOOKUP(D6,Mapa_Similitud!$A$2:$B$2000,2,FALSE()),D6),Omega3_Referencia!$A$2:$E$100,3,FALSE()),0))</f>
        <v>0.11</v>
      </c>
      <c r="AW6" s="3" t="str">
        <f>IFERROR(VLOOKUP(IFERROR(VLOOKUP(D6,Mapa_Similitud!$A$2:$B$2000,2,FALSE()),D6),Hoja1!$A$2:$K$1000,3,FALSE()),IFERROR(VLOOKUP(IFERROR(VLOOKUP(D6,Mapa_Similitud!$A$2:$B$2000,2,FALSE()),D6),Omega3_Referencia!$A$2:$E$100,4,FALSE()),"N/A"))</f>
        <v>ALA</v>
      </c>
      <c r="AX6" s="5">
        <f>IFERROR(VLOOKUP(IFERROR(VLOOKUP(D6,Mapa_Similitud!$A$2:$B$2000,2,FALSE()),D6),Hoja1!$A$2:$K$1000,5,FALSE()),0)</f>
        <v>0</v>
      </c>
      <c r="AY6" s="5">
        <f>IFERROR(VLOOKUP(IFERROR(VLOOKUP(D6,Mapa_Similitud!$A$2:$B$2000,2,FALSE()),D6),Hoja1!$A$2:$K$1000,7,FALSE()),0)</f>
        <v>80</v>
      </c>
      <c r="AZ6" s="5">
        <f>IFERROR(VLOOKUP(IFERROR(VLOOKUP(D6,Mapa_Similitud!$A$2:$B$2000,2,FALSE()),D6),Hoja1!$A$2:$K$1000,9,FALSE()),0)</f>
        <v>0</v>
      </c>
      <c r="BA6" s="25">
        <f t="shared" si="0"/>
        <v>3.3144475920679886E-2</v>
      </c>
      <c r="BB6" s="25">
        <f t="shared" si="1"/>
        <v>2.7478753541076484E-2</v>
      </c>
      <c r="BC6" s="25">
        <f t="shared" si="2"/>
        <v>0.22662889518413598</v>
      </c>
      <c r="BD6" s="25">
        <f t="shared" si="3"/>
        <v>1.6430594900849856E-2</v>
      </c>
      <c r="BE6" s="25">
        <f t="shared" si="4"/>
        <v>2.3796033994334279E-2</v>
      </c>
      <c r="BF6" s="25">
        <f t="shared" si="5"/>
        <v>1.9333333333333333</v>
      </c>
      <c r="BG6" s="25">
        <f t="shared" si="6"/>
        <v>0.23391812865497075</v>
      </c>
      <c r="BH6" s="25">
        <f t="shared" si="7"/>
        <v>0.21126760563380284</v>
      </c>
      <c r="BI6" s="25">
        <f t="shared" si="8"/>
        <v>2.3661971830985916E-2</v>
      </c>
      <c r="BJ6" s="25">
        <f t="shared" si="9"/>
        <v>0</v>
      </c>
      <c r="BK6" s="25">
        <f t="shared" si="10"/>
        <v>0.1741472172351885</v>
      </c>
      <c r="BL6" s="25">
        <f t="shared" si="11"/>
        <v>0.18101983002832861</v>
      </c>
      <c r="BM6" s="25">
        <f t="shared" si="12"/>
        <v>0.36543909348441928</v>
      </c>
      <c r="BN6" s="18" t="str">
        <f t="shared" si="18"/>
        <v>Baja fuente de proteína</v>
      </c>
      <c r="BO6" s="18" t="str">
        <f t="shared" si="19"/>
        <v>Media fuente de fibra</v>
      </c>
      <c r="BP6" s="18" t="str">
        <f t="shared" si="20"/>
        <v>Baja fuente de calcio</v>
      </c>
      <c r="BQ6" s="18" t="str">
        <f t="shared" si="21"/>
        <v>Alta fuente de hierro</v>
      </c>
      <c r="BR6" s="18" t="str">
        <f t="shared" si="22"/>
        <v>Bajo en sodio</v>
      </c>
      <c r="BS6" s="6" t="str">
        <f t="shared" si="13"/>
        <v>Ligeramente antiinflamatorio</v>
      </c>
      <c r="BT6" s="6" t="str">
        <f t="shared" si="14"/>
        <v>Bajo en grasas</v>
      </c>
      <c r="BU6" s="18" t="str">
        <f t="shared" si="23"/>
        <v>Equilibrio de líquidos ideal</v>
      </c>
      <c r="BV6" s="18" t="str">
        <f t="shared" si="24"/>
        <v>Media fuente de magnesio</v>
      </c>
      <c r="BW6" s="18" t="str">
        <f t="shared" si="25"/>
        <v>Ligera fuente de Omega 3</v>
      </c>
      <c r="BX6" s="18" t="str">
        <f t="shared" si="26"/>
        <v>Libre de grasas trans</v>
      </c>
      <c r="BY6" s="18" t="str">
        <f t="shared" si="27"/>
        <v>Alto poder antioxidante</v>
      </c>
      <c r="BZ6" s="6" t="str">
        <f t="shared" si="15"/>
        <v>Sin probióticos</v>
      </c>
      <c r="CA6" s="18" t="str">
        <f t="shared" si="28"/>
        <v>Antiinflamatorio</v>
      </c>
      <c r="CB6" s="18" t="str">
        <f>IF(ISNUMBER(SEARCH("miel", D6)), "No irritante (Uso condicionado SII)", IF(OR(J6&gt;0, ISNUMBER(SEARCH("cacao", D6)), ISNUMBER(SEARCH("chocolate puro", D6))), "Altamente irritante", IF(OR(AND(O6&gt;15, BI6&gt;1), ISNUMBER(SEARCH("chocolate", D6))), "Moderadamente irritante", "No irritante")))</f>
        <v>No irritante</v>
      </c>
      <c r="CC6" s="6" t="str">
        <f t="shared" si="16"/>
        <v>Exceso relativo de Omega 6</v>
      </c>
    </row>
    <row r="7" spans="1:81" ht="15" customHeight="1" x14ac:dyDescent="0.3">
      <c r="A7" s="2">
        <f t="shared" si="17"/>
        <v>6</v>
      </c>
      <c r="B7" s="3" t="s">
        <v>80</v>
      </c>
      <c r="C7" s="3" t="s">
        <v>83</v>
      </c>
      <c r="D7" s="3" t="s">
        <v>89</v>
      </c>
      <c r="E7" s="3"/>
      <c r="F7" s="4">
        <v>1</v>
      </c>
      <c r="G7" s="5">
        <v>1</v>
      </c>
      <c r="H7" s="5">
        <v>330</v>
      </c>
      <c r="I7" s="5">
        <v>10.1</v>
      </c>
      <c r="J7" s="5">
        <v>0</v>
      </c>
      <c r="K7" s="5">
        <v>9.9</v>
      </c>
      <c r="L7" s="5">
        <v>62.1</v>
      </c>
      <c r="M7" s="5">
        <v>61.3</v>
      </c>
      <c r="N7" s="5">
        <v>0.8</v>
      </c>
      <c r="O7" s="5">
        <v>0</v>
      </c>
      <c r="P7" s="5">
        <v>15.6</v>
      </c>
      <c r="Q7" s="5">
        <v>1.2</v>
      </c>
      <c r="R7" s="5">
        <v>0.24</v>
      </c>
      <c r="S7" s="5">
        <v>0.15</v>
      </c>
      <c r="T7" s="5">
        <v>0.56000000000000005</v>
      </c>
      <c r="U7" s="5">
        <v>0</v>
      </c>
      <c r="V7" s="5">
        <v>2.2000000000000002</v>
      </c>
      <c r="W7" s="5">
        <v>0</v>
      </c>
      <c r="X7" s="5">
        <v>13</v>
      </c>
      <c r="Y7" s="5">
        <v>0</v>
      </c>
      <c r="Z7" s="5">
        <v>0.02</v>
      </c>
      <c r="AA7" s="5">
        <v>2.2000000000000002</v>
      </c>
      <c r="AB7" s="5">
        <v>0.19</v>
      </c>
      <c r="AC7" s="5">
        <v>0.11</v>
      </c>
      <c r="AD7" s="5">
        <v>4.5999999999999996</v>
      </c>
      <c r="AE7" s="5">
        <v>0.26</v>
      </c>
      <c r="AF7" s="5">
        <v>23</v>
      </c>
      <c r="AG7" s="5">
        <v>0</v>
      </c>
      <c r="AH7" s="5">
        <v>0.28000000000000003</v>
      </c>
      <c r="AI7" s="5">
        <v>0</v>
      </c>
      <c r="AJ7" s="5">
        <v>0</v>
      </c>
      <c r="AK7" s="5">
        <v>29</v>
      </c>
      <c r="AL7" s="5">
        <v>221</v>
      </c>
      <c r="AM7" s="5">
        <v>2.5</v>
      </c>
      <c r="AN7" s="5">
        <v>0</v>
      </c>
      <c r="AO7" s="5">
        <v>2.1</v>
      </c>
      <c r="AP7" s="5">
        <v>79</v>
      </c>
      <c r="AQ7" s="5">
        <v>9</v>
      </c>
      <c r="AR7" s="5">
        <v>280</v>
      </c>
      <c r="AS7" s="5">
        <v>1.3</v>
      </c>
      <c r="AT7" s="5">
        <v>0.42</v>
      </c>
      <c r="AU7" s="5">
        <v>37.700000000000003</v>
      </c>
      <c r="AV7" s="5">
        <f>IFERROR(VLOOKUP(IFERROR(VLOOKUP(D7,Mapa_Similitud!$A$2:$B$2000,2,FALSE()),D7),Hoja1!$A$2:$K$1000,2,FALSE()),IFERROR(VLOOKUP(IFERROR(VLOOKUP(D7,Mapa_Similitud!$A$2:$B$2000,2,FALSE()),D7),Omega3_Referencia!$A$2:$E$100,3,FALSE()),0))</f>
        <v>0.08</v>
      </c>
      <c r="AW7" s="3" t="str">
        <f>IFERROR(VLOOKUP(IFERROR(VLOOKUP(D7,Mapa_Similitud!$A$2:$B$2000,2,FALSE()),D7),Hoja1!$A$2:$K$1000,3,FALSE()),IFERROR(VLOOKUP(IFERROR(VLOOKUP(D7,Mapa_Similitud!$A$2:$B$2000,2,FALSE()),D7),Omega3_Referencia!$A$2:$E$100,4,FALSE()),"N/A"))</f>
        <v>ALA</v>
      </c>
      <c r="AX7" s="5">
        <f>IFERROR(VLOOKUP(IFERROR(VLOOKUP(D7,Mapa_Similitud!$A$2:$B$2000,2,FALSE()),D7),Hoja1!$A$2:$K$1000,5,FALSE()),0)</f>
        <v>0</v>
      </c>
      <c r="AY7" s="5">
        <f>IFERROR(VLOOKUP(IFERROR(VLOOKUP(D7,Mapa_Similitud!$A$2:$B$2000,2,FALSE()),D7),Hoja1!$A$2:$K$1000,7,FALSE()),0)</f>
        <v>72.900000000000006</v>
      </c>
      <c r="AZ7" s="5">
        <f>IFERROR(VLOOKUP(IFERROR(VLOOKUP(D7,Mapa_Similitud!$A$2:$B$2000,2,FALSE()),D7),Hoja1!$A$2:$K$1000,9,FALSE()),0)</f>
        <v>0</v>
      </c>
      <c r="BA7" s="25">
        <f t="shared" si="0"/>
        <v>3.0000000000000002E-2</v>
      </c>
      <c r="BB7" s="25">
        <f t="shared" si="1"/>
        <v>4.7272727272727272E-2</v>
      </c>
      <c r="BC7" s="25">
        <f t="shared" si="2"/>
        <v>8.7878787878787876E-2</v>
      </c>
      <c r="BD7" s="25">
        <f t="shared" si="3"/>
        <v>7.575757575757576E-3</v>
      </c>
      <c r="BE7" s="25">
        <f t="shared" si="4"/>
        <v>2.7272727272727271E-2</v>
      </c>
      <c r="BF7" s="25">
        <f t="shared" si="5"/>
        <v>2.3333333333333335</v>
      </c>
      <c r="BG7" s="25">
        <f t="shared" si="6"/>
        <v>0.13122171945701358</v>
      </c>
      <c r="BH7" s="25">
        <f t="shared" si="7"/>
        <v>0.2</v>
      </c>
      <c r="BI7" s="25">
        <f t="shared" si="8"/>
        <v>3.214285714285714E-2</v>
      </c>
      <c r="BJ7" s="25">
        <f t="shared" si="9"/>
        <v>1.2882447665056361E-2</v>
      </c>
      <c r="BK7" s="25">
        <f t="shared" si="10"/>
        <v>0.25120772946859904</v>
      </c>
      <c r="BL7" s="25">
        <f t="shared" si="11"/>
        <v>3.2727272727272723E-2</v>
      </c>
      <c r="BM7" s="25">
        <f t="shared" si="12"/>
        <v>0.23939393939393938</v>
      </c>
      <c r="BN7" s="18" t="str">
        <f t="shared" si="18"/>
        <v>Baja fuente de proteína</v>
      </c>
      <c r="BO7" s="18" t="str">
        <f t="shared" si="19"/>
        <v>Alta fuente de fibra</v>
      </c>
      <c r="BP7" s="18" t="str">
        <f t="shared" si="20"/>
        <v>Baja fuente de calcio</v>
      </c>
      <c r="BQ7" s="18" t="str">
        <f t="shared" si="21"/>
        <v>Baja fuente de hierro</v>
      </c>
      <c r="BR7" s="18" t="str">
        <f t="shared" si="22"/>
        <v>Bajo en sodio</v>
      </c>
      <c r="BS7" s="6" t="str">
        <f t="shared" si="13"/>
        <v>Altamente antiinflamatorio</v>
      </c>
      <c r="BT7" s="6" t="str">
        <f t="shared" si="14"/>
        <v>Bajo en grasas</v>
      </c>
      <c r="BU7" s="18" t="str">
        <f t="shared" si="23"/>
        <v>Equilibrio de líquidos ideal</v>
      </c>
      <c r="BV7" s="18" t="str">
        <f t="shared" si="24"/>
        <v>Media fuente de magnesio</v>
      </c>
      <c r="BW7" s="18" t="str">
        <f t="shared" si="25"/>
        <v>Sin aporte de Omega 3</v>
      </c>
      <c r="BX7" s="18" t="str">
        <f t="shared" si="26"/>
        <v>Libre de grasas trans</v>
      </c>
      <c r="BY7" s="18" t="str">
        <f t="shared" si="27"/>
        <v>Alto poder antioxidante</v>
      </c>
      <c r="BZ7" s="6" t="str">
        <f t="shared" si="15"/>
        <v>Sin probióticos</v>
      </c>
      <c r="CA7" s="18" t="str">
        <f t="shared" si="28"/>
        <v>Antiinflamatorio</v>
      </c>
      <c r="CB7" s="18" t="str">
        <f>IF(ISNUMBER(SEARCH("miel", D7)), "No irritante (Uso condicionado SII)", IF(OR(J7&gt;0, ISNUMBER(SEARCH("cacao", D7)), ISNUMBER(SEARCH("chocolate puro", D7))), "Altamente irritante", IF(OR(AND(O7&gt;15, BI7&gt;1), ISNUMBER(SEARCH("chocolate", D7))), "Moderadamente irritante", "No irritante")))</f>
        <v>No irritante</v>
      </c>
      <c r="CC7" s="6" t="str">
        <f t="shared" si="16"/>
        <v>Exceso relativo de Omega 6</v>
      </c>
    </row>
    <row r="8" spans="1:81" ht="15" customHeight="1" x14ac:dyDescent="0.3">
      <c r="A8" s="2">
        <f t="shared" si="17"/>
        <v>7</v>
      </c>
      <c r="B8" s="3" t="s">
        <v>80</v>
      </c>
      <c r="C8" s="3" t="s">
        <v>83</v>
      </c>
      <c r="D8" s="3" t="s">
        <v>90</v>
      </c>
      <c r="E8" s="3"/>
      <c r="F8" s="4">
        <v>0.7</v>
      </c>
      <c r="G8" s="5">
        <v>1</v>
      </c>
      <c r="H8" s="5">
        <v>372</v>
      </c>
      <c r="I8" s="5">
        <v>0</v>
      </c>
      <c r="J8" s="5">
        <v>0</v>
      </c>
      <c r="K8" s="5">
        <v>14.8</v>
      </c>
      <c r="L8" s="5">
        <v>65.2</v>
      </c>
      <c r="M8" s="5">
        <v>64.2</v>
      </c>
      <c r="N8" s="5">
        <v>1.1000000000000001</v>
      </c>
      <c r="O8" s="5">
        <v>0</v>
      </c>
      <c r="P8" s="5">
        <v>14.6</v>
      </c>
      <c r="Q8" s="5">
        <v>2.5</v>
      </c>
      <c r="R8" s="5">
        <v>0.28999999999999998</v>
      </c>
      <c r="S8" s="5">
        <v>0.3</v>
      </c>
      <c r="T8" s="5">
        <v>1.1000000000000001</v>
      </c>
      <c r="U8" s="5">
        <v>0</v>
      </c>
      <c r="V8" s="5">
        <v>1.2</v>
      </c>
      <c r="W8" s="5">
        <v>0</v>
      </c>
      <c r="X8" s="5">
        <v>7</v>
      </c>
      <c r="Y8" s="5">
        <v>0</v>
      </c>
      <c r="Z8" s="5">
        <v>1.9</v>
      </c>
      <c r="AA8" s="5">
        <v>5.9</v>
      </c>
      <c r="AB8" s="5">
        <v>0.32</v>
      </c>
      <c r="AC8" s="5">
        <v>0.25</v>
      </c>
      <c r="AD8" s="5">
        <v>4.3</v>
      </c>
      <c r="AE8" s="5">
        <v>0.28999999999999998</v>
      </c>
      <c r="AF8" s="5">
        <v>38</v>
      </c>
      <c r="AG8" s="5">
        <v>0</v>
      </c>
      <c r="AH8" s="5">
        <v>1.5</v>
      </c>
      <c r="AI8" s="5">
        <v>0</v>
      </c>
      <c r="AJ8" s="5">
        <v>0</v>
      </c>
      <c r="AK8" s="5">
        <v>33</v>
      </c>
      <c r="AL8" s="5">
        <v>374</v>
      </c>
      <c r="AM8" s="5">
        <v>2.7</v>
      </c>
      <c r="AN8" s="5">
        <v>10</v>
      </c>
      <c r="AO8" s="5">
        <v>3.7</v>
      </c>
      <c r="AP8" s="5">
        <v>121</v>
      </c>
      <c r="AQ8" s="5">
        <v>6</v>
      </c>
      <c r="AR8" s="5">
        <v>264</v>
      </c>
      <c r="AS8" s="5">
        <v>0</v>
      </c>
      <c r="AT8" s="5">
        <v>0.45</v>
      </c>
      <c r="AU8" s="5">
        <v>35.299999999999997</v>
      </c>
      <c r="AV8" s="5">
        <f>IFERROR(VLOOKUP(IFERROR(VLOOKUP(D8,Mapa_Similitud!$A$2:$B$2000,2,FALSE()),D8),Hoja1!$A$2:$K$1000,2,FALSE()),IFERROR(VLOOKUP(IFERROR(VLOOKUP(D8,Mapa_Similitud!$A$2:$B$2000,2,FALSE()),D8),Omega3_Referencia!$A$2:$E$100,3,FALSE()),0))</f>
        <v>0.06</v>
      </c>
      <c r="AW8" s="3" t="str">
        <f>IFERROR(VLOOKUP(IFERROR(VLOOKUP(D8,Mapa_Similitud!$A$2:$B$2000,2,FALSE()),D8),Hoja1!$A$2:$K$1000,3,FALSE()),IFERROR(VLOOKUP(IFERROR(VLOOKUP(D8,Mapa_Similitud!$A$2:$B$2000,2,FALSE()),D8),Omega3_Referencia!$A$2:$E$100,4,FALSE()),"N/A"))</f>
        <v>ALA</v>
      </c>
      <c r="AX8" s="5">
        <f>IFERROR(VLOOKUP(IFERROR(VLOOKUP(D8,Mapa_Similitud!$A$2:$B$2000,2,FALSE()),D8),Hoja1!$A$2:$K$1000,5,FALSE()),0)</f>
        <v>0</v>
      </c>
      <c r="AY8" s="5">
        <f>IFERROR(VLOOKUP(IFERROR(VLOOKUP(D8,Mapa_Similitud!$A$2:$B$2000,2,FALSE()),D8),Hoja1!$A$2:$K$1000,7,FALSE()),0)</f>
        <v>65</v>
      </c>
      <c r="AZ8" s="5">
        <f>IFERROR(VLOOKUP(IFERROR(VLOOKUP(D8,Mapa_Similitud!$A$2:$B$2000,2,FALSE()),D8),Hoja1!$A$2:$K$1000,9,FALSE()),0)</f>
        <v>0</v>
      </c>
      <c r="BA8" s="25">
        <f t="shared" si="0"/>
        <v>3.9784946236559142E-2</v>
      </c>
      <c r="BB8" s="25">
        <f t="shared" si="1"/>
        <v>3.9247311827956988E-2</v>
      </c>
      <c r="BC8" s="25">
        <f t="shared" si="2"/>
        <v>8.8709677419354843E-2</v>
      </c>
      <c r="BD8" s="25">
        <f t="shared" si="3"/>
        <v>7.2580645161290326E-3</v>
      </c>
      <c r="BE8" s="25">
        <f t="shared" si="4"/>
        <v>1.6129032258064516E-2</v>
      </c>
      <c r="BF8" s="25">
        <f t="shared" si="5"/>
        <v>3.7931034482758625</v>
      </c>
      <c r="BG8" s="25">
        <f t="shared" si="6"/>
        <v>8.8235294117647065E-2</v>
      </c>
      <c r="BH8" s="25">
        <f t="shared" si="7"/>
        <v>0.11599999999999999</v>
      </c>
      <c r="BI8" s="25">
        <f t="shared" si="8"/>
        <v>2.2727272727272728E-2</v>
      </c>
      <c r="BJ8" s="25">
        <f t="shared" si="9"/>
        <v>1.6871165644171779E-2</v>
      </c>
      <c r="BK8" s="25">
        <f t="shared" si="10"/>
        <v>0.22392638036809814</v>
      </c>
      <c r="BL8" s="25">
        <f t="shared" si="11"/>
        <v>6.0483870967741937E-2</v>
      </c>
      <c r="BM8" s="25">
        <f t="shared" si="12"/>
        <v>0.32526881720430106</v>
      </c>
      <c r="BN8" s="18" t="str">
        <f t="shared" si="18"/>
        <v>Baja fuente de proteína</v>
      </c>
      <c r="BO8" s="18" t="str">
        <f t="shared" si="19"/>
        <v>Alta fuente de fibra</v>
      </c>
      <c r="BP8" s="18" t="str">
        <f t="shared" si="20"/>
        <v>Baja fuente de calcio</v>
      </c>
      <c r="BQ8" s="18" t="str">
        <f t="shared" si="21"/>
        <v>Baja fuente de hierro</v>
      </c>
      <c r="BR8" s="18" t="str">
        <f t="shared" si="22"/>
        <v>Bajo en sodio</v>
      </c>
      <c r="BS8" s="6" t="str">
        <f t="shared" si="13"/>
        <v>Altamente antiinflamatorio</v>
      </c>
      <c r="BT8" s="6" t="str">
        <f t="shared" si="14"/>
        <v>Bajo en grasas</v>
      </c>
      <c r="BU8" s="18" t="str">
        <f t="shared" si="23"/>
        <v>Equilibrio de líquidos ideal</v>
      </c>
      <c r="BV8" s="18" t="str">
        <f t="shared" si="24"/>
        <v>Media fuente de magnesio</v>
      </c>
      <c r="BW8" s="18" t="str">
        <f t="shared" si="25"/>
        <v>Sin aporte de Omega 3</v>
      </c>
      <c r="BX8" s="18" t="str">
        <f t="shared" si="26"/>
        <v>Libre de grasas trans</v>
      </c>
      <c r="BY8" s="18" t="str">
        <f t="shared" si="27"/>
        <v>Alto poder antioxidante</v>
      </c>
      <c r="BZ8" s="6" t="str">
        <f t="shared" si="15"/>
        <v>Sin probióticos</v>
      </c>
      <c r="CA8" s="18" t="str">
        <f t="shared" si="28"/>
        <v>Antiinflamatorio</v>
      </c>
      <c r="CB8" s="18" t="str">
        <f>IF(ISNUMBER(SEARCH("miel", D8)), "No irritante (Uso condicionado SII)", IF(OR(J8&gt;0, ISNUMBER(SEARCH("cacao", D8)), ISNUMBER(SEARCH("chocolate puro", D8))), "Altamente irritante", IF(OR(AND(O8&gt;15, BI8&gt;1), ISNUMBER(SEARCH("chocolate", D8))), "Moderadamente irritante", "No irritante")))</f>
        <v>No irritante</v>
      </c>
      <c r="CC8" s="6" t="str">
        <f t="shared" si="16"/>
        <v>Exceso relativo de Omega 6</v>
      </c>
    </row>
    <row r="9" spans="1:81" ht="15" customHeight="1" x14ac:dyDescent="0.3">
      <c r="A9" s="2">
        <f t="shared" si="17"/>
        <v>8</v>
      </c>
      <c r="B9" s="3" t="s">
        <v>80</v>
      </c>
      <c r="C9" s="3" t="s">
        <v>83</v>
      </c>
      <c r="D9" s="3" t="s">
        <v>91</v>
      </c>
      <c r="E9" s="3" t="s">
        <v>92</v>
      </c>
      <c r="F9" s="4">
        <v>0.6</v>
      </c>
      <c r="G9" s="5">
        <v>1</v>
      </c>
      <c r="H9" s="5">
        <v>356</v>
      </c>
      <c r="I9" s="5">
        <v>10.9</v>
      </c>
      <c r="J9" s="5">
        <v>0</v>
      </c>
      <c r="K9" s="5">
        <v>0.41</v>
      </c>
      <c r="L9" s="5">
        <v>88</v>
      </c>
      <c r="M9" s="5">
        <v>88</v>
      </c>
      <c r="N9" s="5">
        <v>0</v>
      </c>
      <c r="O9" s="5">
        <v>0</v>
      </c>
      <c r="P9" s="5">
        <v>0.6</v>
      </c>
      <c r="Q9" s="5">
        <v>0.08</v>
      </c>
      <c r="R9" s="5">
        <v>1.0999999999999999E-2</v>
      </c>
      <c r="S9" s="5">
        <v>0.02</v>
      </c>
      <c r="T9" s="5">
        <v>0.03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8.0000000000000002E-3</v>
      </c>
      <c r="AD9" s="5">
        <v>0.03</v>
      </c>
      <c r="AE9" s="5">
        <v>5.0000000000000001E-3</v>
      </c>
      <c r="AF9" s="5">
        <v>1</v>
      </c>
      <c r="AG9" s="5">
        <v>0</v>
      </c>
      <c r="AH9" s="5">
        <v>0</v>
      </c>
      <c r="AI9" s="5">
        <v>0</v>
      </c>
      <c r="AJ9" s="5">
        <v>0</v>
      </c>
      <c r="AK9" s="5">
        <v>1</v>
      </c>
      <c r="AL9" s="5">
        <v>30</v>
      </c>
      <c r="AM9" s="5">
        <v>0.5</v>
      </c>
      <c r="AN9" s="5">
        <v>2.5</v>
      </c>
      <c r="AO9" s="5">
        <v>0.3</v>
      </c>
      <c r="AP9" s="5">
        <v>2</v>
      </c>
      <c r="AQ9" s="5">
        <v>3</v>
      </c>
      <c r="AR9" s="5">
        <v>7</v>
      </c>
      <c r="AS9" s="5">
        <v>1</v>
      </c>
      <c r="AT9" s="5">
        <v>0.05</v>
      </c>
      <c r="AU9" s="5">
        <v>2.8</v>
      </c>
      <c r="AV9" s="5">
        <f>IFERROR(VLOOKUP(IFERROR(VLOOKUP(D9,Mapa_Similitud!$A$2:$B$2000,2,FALSE()),D9),Hoja1!$A$2:$K$1000,2,FALSE()),IFERROR(VLOOKUP(IFERROR(VLOOKUP(D9,Mapa_Similitud!$A$2:$B$2000,2,FALSE()),D9),Omega3_Referencia!$A$2:$E$100,3,FALSE()),0))</f>
        <v>0</v>
      </c>
      <c r="AW9" s="3" t="str">
        <f>IFERROR(VLOOKUP(IFERROR(VLOOKUP(D9,Mapa_Similitud!$A$2:$B$2000,2,FALSE()),D9),Hoja1!$A$2:$K$1000,3,FALSE()),IFERROR(VLOOKUP(IFERROR(VLOOKUP(D9,Mapa_Similitud!$A$2:$B$2000,2,FALSE()),D9),Omega3_Referencia!$A$2:$E$100,4,FALSE()),"N/A"))</f>
        <v>N/A</v>
      </c>
      <c r="AX9" s="5">
        <f>IFERROR(VLOOKUP(IFERROR(VLOOKUP(D9,Mapa_Similitud!$A$2:$B$2000,2,FALSE()),D9),Hoja1!$A$2:$K$1000,5,FALSE()),0)</f>
        <v>0</v>
      </c>
      <c r="AY9" s="5">
        <f>IFERROR(VLOOKUP(IFERROR(VLOOKUP(D9,Mapa_Similitud!$A$2:$B$2000,2,FALSE()),D9),Hoja1!$A$2:$K$1000,7,FALSE()),0)</f>
        <v>0</v>
      </c>
      <c r="AZ9" s="5">
        <f>IFERROR(VLOOKUP(IFERROR(VLOOKUP(D9,Mapa_Similitud!$A$2:$B$2000,2,FALSE()),D9),Hoja1!$A$2:$K$1000,9,FALSE()),0)</f>
        <v>0</v>
      </c>
      <c r="BA9" s="25">
        <f t="shared" si="0"/>
        <v>1.1516853932584269E-3</v>
      </c>
      <c r="BB9" s="25">
        <f t="shared" si="1"/>
        <v>1.6853932584269663E-3</v>
      </c>
      <c r="BC9" s="25">
        <f t="shared" si="2"/>
        <v>2.8089887640449437E-3</v>
      </c>
      <c r="BD9" s="25">
        <f t="shared" si="3"/>
        <v>1.4044943820224719E-3</v>
      </c>
      <c r="BE9" s="25">
        <f t="shared" si="4"/>
        <v>8.4269662921348312E-3</v>
      </c>
      <c r="BF9" s="25">
        <f t="shared" si="5"/>
        <v>2.7272727272727275</v>
      </c>
      <c r="BG9" s="25">
        <f t="shared" si="6"/>
        <v>3.3333333333333333E-2</v>
      </c>
      <c r="BH9" s="25">
        <f t="shared" si="7"/>
        <v>0.13749999999999998</v>
      </c>
      <c r="BI9" s="25">
        <f t="shared" si="8"/>
        <v>0.42857142857142855</v>
      </c>
      <c r="BJ9" s="25">
        <f t="shared" si="9"/>
        <v>0</v>
      </c>
      <c r="BK9" s="25">
        <f t="shared" si="10"/>
        <v>6.8181818181818179E-3</v>
      </c>
      <c r="BL9" s="25">
        <f t="shared" si="11"/>
        <v>2.0224719101123597E-3</v>
      </c>
      <c r="BM9" s="25">
        <f t="shared" si="12"/>
        <v>5.6179775280898875E-3</v>
      </c>
      <c r="BN9" s="18" t="str">
        <f t="shared" si="18"/>
        <v>Baja fuente de proteína</v>
      </c>
      <c r="BO9" s="18" t="str">
        <f t="shared" si="19"/>
        <v>Baja fuente de fibra</v>
      </c>
      <c r="BP9" s="18" t="str">
        <f t="shared" si="20"/>
        <v>Baja fuente de calcio</v>
      </c>
      <c r="BQ9" s="18" t="str">
        <f t="shared" si="21"/>
        <v>Baja fuente de hierro</v>
      </c>
      <c r="BR9" s="18" t="str">
        <f t="shared" si="22"/>
        <v>Bajo en sodio</v>
      </c>
      <c r="BS9" s="6" t="str">
        <f t="shared" si="13"/>
        <v>Altamente antiinflamatorio</v>
      </c>
      <c r="BT9" s="6" t="str">
        <f t="shared" si="14"/>
        <v>Bajo en grasas</v>
      </c>
      <c r="BU9" s="18" t="str">
        <f t="shared" si="23"/>
        <v>Equilibrio de líquidos ideal</v>
      </c>
      <c r="BV9" s="18" t="str">
        <f t="shared" si="24"/>
        <v>Baja fuente de magnesio</v>
      </c>
      <c r="BW9" s="18" t="str">
        <f t="shared" si="25"/>
        <v>Sin aporte de Omega 3</v>
      </c>
      <c r="BX9" s="18" t="str">
        <f t="shared" si="26"/>
        <v>Libre de grasas trans</v>
      </c>
      <c r="BY9" s="18" t="str">
        <f t="shared" si="27"/>
        <v>Bajo poder antioxidante</v>
      </c>
      <c r="BZ9" s="6" t="str">
        <f t="shared" si="15"/>
        <v>Sin probióticos</v>
      </c>
      <c r="CA9" s="18" t="str">
        <f t="shared" si="28"/>
        <v>Poco inflamatorio</v>
      </c>
      <c r="CB9" s="18" t="str">
        <f>IF(ISNUMBER(SEARCH("miel", D9)), "No irritante (Uso condicionado SII)", IF(OR(J9&gt;0, ISNUMBER(SEARCH("cacao", D9)), ISNUMBER(SEARCH("chocolate puro", D9))), "Altamente irritante", IF(OR(AND(O9&gt;15, BI9&gt;1), ISNUMBER(SEARCH("chocolate", D9))), "Moderadamente irritante", "No irritante")))</f>
        <v>No irritante</v>
      </c>
      <c r="CC9" s="6" t="str">
        <f t="shared" si="16"/>
        <v>Sin Omega 3 para evaluar</v>
      </c>
    </row>
    <row r="10" spans="1:81" ht="15" customHeight="1" x14ac:dyDescent="0.3">
      <c r="A10" s="2">
        <f t="shared" si="17"/>
        <v>9</v>
      </c>
      <c r="B10" s="3" t="s">
        <v>80</v>
      </c>
      <c r="C10" s="3" t="s">
        <v>83</v>
      </c>
      <c r="D10" s="3" t="s">
        <v>93</v>
      </c>
      <c r="E10" s="3"/>
      <c r="F10" s="4">
        <v>1.2</v>
      </c>
      <c r="G10" s="5">
        <v>1</v>
      </c>
      <c r="H10" s="5">
        <v>349</v>
      </c>
      <c r="I10" s="5">
        <v>11.9</v>
      </c>
      <c r="J10" s="5">
        <v>0</v>
      </c>
      <c r="K10" s="5">
        <v>7.6</v>
      </c>
      <c r="L10" s="5">
        <v>78</v>
      </c>
      <c r="M10" s="5">
        <v>77.900000000000006</v>
      </c>
      <c r="N10" s="5">
        <v>0.12</v>
      </c>
      <c r="O10" s="5">
        <v>0</v>
      </c>
      <c r="P10" s="5">
        <v>0</v>
      </c>
      <c r="Q10" s="5">
        <v>0.7</v>
      </c>
      <c r="R10" s="5">
        <v>0.2</v>
      </c>
      <c r="S10" s="5">
        <v>0.22</v>
      </c>
      <c r="T10" s="5">
        <v>0.19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0.11</v>
      </c>
      <c r="AA10" s="5">
        <v>0</v>
      </c>
      <c r="AB10" s="5">
        <v>0.14000000000000001</v>
      </c>
      <c r="AC10" s="5">
        <v>2.1000000000000001E-2</v>
      </c>
      <c r="AD10" s="5">
        <v>2.6</v>
      </c>
      <c r="AE10" s="5">
        <v>0.44</v>
      </c>
      <c r="AF10" s="5">
        <v>4</v>
      </c>
      <c r="AG10" s="5">
        <v>0</v>
      </c>
      <c r="AH10" s="5">
        <v>0</v>
      </c>
      <c r="AI10" s="5">
        <v>0</v>
      </c>
      <c r="AJ10" s="5">
        <v>0</v>
      </c>
      <c r="AK10" s="5">
        <v>10</v>
      </c>
      <c r="AL10" s="5">
        <v>98</v>
      </c>
      <c r="AM10" s="5">
        <v>0.35</v>
      </c>
      <c r="AN10" s="5">
        <v>0</v>
      </c>
      <c r="AO10" s="5">
        <v>0.8</v>
      </c>
      <c r="AP10" s="5">
        <v>35</v>
      </c>
      <c r="AQ10" s="5">
        <v>0</v>
      </c>
      <c r="AR10" s="5">
        <v>76</v>
      </c>
      <c r="AS10" s="5">
        <v>0</v>
      </c>
      <c r="AT10" s="5">
        <v>0</v>
      </c>
      <c r="AU10" s="5">
        <v>0</v>
      </c>
      <c r="AV10" s="5">
        <f>IFERROR(VLOOKUP(IFERROR(VLOOKUP(D10,Mapa_Similitud!$A$2:$B$2000,2,FALSE()),D10),Hoja1!$A$2:$K$1000,2,FALSE()),IFERROR(VLOOKUP(IFERROR(VLOOKUP(D10,Mapa_Similitud!$A$2:$B$2000,2,FALSE()),D10),Omega3_Referencia!$A$2:$E$100,3,FALSE()),0))</f>
        <v>0.01</v>
      </c>
      <c r="AW10" s="3" t="str">
        <f>IFERROR(VLOOKUP(IFERROR(VLOOKUP(D10,Mapa_Similitud!$A$2:$B$2000,2,FALSE()),D10),Hoja1!$A$2:$K$1000,3,FALSE()),IFERROR(VLOOKUP(IFERROR(VLOOKUP(D10,Mapa_Similitud!$A$2:$B$2000,2,FALSE()),D10),Omega3_Referencia!$A$2:$E$100,4,FALSE()),"N/A"))</f>
        <v>ALA</v>
      </c>
      <c r="AX10" s="5">
        <f>IFERROR(VLOOKUP(IFERROR(VLOOKUP(D10,Mapa_Similitud!$A$2:$B$2000,2,FALSE()),D10),Hoja1!$A$2:$K$1000,5,FALSE()),0)</f>
        <v>0</v>
      </c>
      <c r="AY10" s="5">
        <f>IFERROR(VLOOKUP(IFERROR(VLOOKUP(D10,Mapa_Similitud!$A$2:$B$2000,2,FALSE()),D10),Hoja1!$A$2:$K$1000,7,FALSE()),0)</f>
        <v>1</v>
      </c>
      <c r="AZ10" s="5">
        <f>IFERROR(VLOOKUP(IFERROR(VLOOKUP(D10,Mapa_Similitud!$A$2:$B$2000,2,FALSE()),D10),Hoja1!$A$2:$K$1000,9,FALSE()),0)</f>
        <v>0</v>
      </c>
      <c r="BA10" s="25">
        <f t="shared" si="0"/>
        <v>2.1776504297994267E-2</v>
      </c>
      <c r="BB10" s="25">
        <f t="shared" si="1"/>
        <v>0</v>
      </c>
      <c r="BC10" s="25">
        <f t="shared" si="2"/>
        <v>2.865329512893983E-2</v>
      </c>
      <c r="BD10" s="25">
        <f t="shared" si="3"/>
        <v>1.0028653295128939E-3</v>
      </c>
      <c r="BE10" s="25">
        <f t="shared" si="4"/>
        <v>0</v>
      </c>
      <c r="BF10" s="25">
        <f t="shared" si="5"/>
        <v>0.95</v>
      </c>
      <c r="BG10" s="25">
        <f t="shared" si="6"/>
        <v>0.10204081632653061</v>
      </c>
      <c r="BH10" s="25">
        <f t="shared" si="7"/>
        <v>0.28571428571428575</v>
      </c>
      <c r="BI10" s="25">
        <f t="shared" si="8"/>
        <v>0</v>
      </c>
      <c r="BJ10" s="25">
        <f t="shared" si="9"/>
        <v>1.5384615384615385E-3</v>
      </c>
      <c r="BK10" s="25">
        <f t="shared" si="10"/>
        <v>0</v>
      </c>
      <c r="BL10" s="25">
        <f t="shared" si="11"/>
        <v>1.8051575931232092E-2</v>
      </c>
      <c r="BM10" s="25">
        <f t="shared" si="12"/>
        <v>0.10028653295128939</v>
      </c>
      <c r="BN10" s="18" t="str">
        <f t="shared" si="18"/>
        <v>Baja fuente de proteína</v>
      </c>
      <c r="BO10" s="18" t="str">
        <f t="shared" si="19"/>
        <v>Baja fuente de fibra</v>
      </c>
      <c r="BP10" s="18" t="str">
        <f t="shared" si="20"/>
        <v>Baja fuente de calcio</v>
      </c>
      <c r="BQ10" s="18" t="str">
        <f t="shared" si="21"/>
        <v>Baja fuente de hierro</v>
      </c>
      <c r="BR10" s="18" t="str">
        <f t="shared" si="22"/>
        <v>Bajo en sodio</v>
      </c>
      <c r="BS10" s="6" t="str">
        <f t="shared" si="13"/>
        <v>Neutro</v>
      </c>
      <c r="BT10" s="6" t="str">
        <f t="shared" si="14"/>
        <v>Bajo en grasas</v>
      </c>
      <c r="BU10" s="18" t="str">
        <f t="shared" si="23"/>
        <v>Equilibrio de líquidos ideal</v>
      </c>
      <c r="BV10" s="18" t="str">
        <f t="shared" si="24"/>
        <v>Baja fuente de magnesio</v>
      </c>
      <c r="BW10" s="18" t="str">
        <f t="shared" si="25"/>
        <v>Sin aporte de Omega 3</v>
      </c>
      <c r="BX10" s="18" t="str">
        <f t="shared" si="26"/>
        <v>Libre de grasas trans</v>
      </c>
      <c r="BY10" s="18" t="str">
        <f t="shared" si="27"/>
        <v>Bajo poder antioxidante</v>
      </c>
      <c r="BZ10" s="6" t="str">
        <f t="shared" si="15"/>
        <v>Sin probióticos</v>
      </c>
      <c r="CA10" s="18" t="str">
        <f t="shared" si="28"/>
        <v>Poco inflamatorio</v>
      </c>
      <c r="CB10" s="18" t="str">
        <f>IF(ISNUMBER(SEARCH("miel", D10)), "No irritante (Uso condicionado SII)", IF(OR(J10&gt;0, ISNUMBER(SEARCH("cacao", D10)), ISNUMBER(SEARCH("chocolate puro", D10))), "Altamente irritante", IF(OR(AND(O10&gt;15, BI10&gt;1), ISNUMBER(SEARCH("chocolate", D10))), "Moderadamente irritante", "No irritante")))</f>
        <v>No irritante</v>
      </c>
      <c r="CC10" s="6" t="str">
        <f t="shared" si="16"/>
        <v>Exceso relativo de Omega 6</v>
      </c>
    </row>
    <row r="11" spans="1:81" ht="15" customHeight="1" x14ac:dyDescent="0.3">
      <c r="A11" s="2">
        <f t="shared" si="17"/>
        <v>10</v>
      </c>
      <c r="B11" s="3" t="s">
        <v>80</v>
      </c>
      <c r="C11" s="3" t="s">
        <v>83</v>
      </c>
      <c r="D11" s="3" t="s">
        <v>94</v>
      </c>
      <c r="E11" s="3"/>
      <c r="F11" s="4">
        <v>1.5</v>
      </c>
      <c r="G11" s="5">
        <v>1</v>
      </c>
      <c r="H11" s="5">
        <v>326</v>
      </c>
      <c r="I11" s="5">
        <v>13.4</v>
      </c>
      <c r="J11" s="5">
        <v>0</v>
      </c>
      <c r="K11" s="5">
        <v>10</v>
      </c>
      <c r="L11" s="5">
        <v>59.7</v>
      </c>
      <c r="M11" s="5">
        <v>59.7</v>
      </c>
      <c r="N11" s="5">
        <v>0</v>
      </c>
      <c r="O11" s="5">
        <v>0</v>
      </c>
      <c r="P11" s="5">
        <v>15</v>
      </c>
      <c r="Q11" s="5">
        <v>1.9</v>
      </c>
      <c r="R11" s="5">
        <v>0.24</v>
      </c>
      <c r="S11" s="5">
        <v>0.2</v>
      </c>
      <c r="T11" s="5">
        <v>0.85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1.5</v>
      </c>
      <c r="AA11" s="5">
        <v>0</v>
      </c>
      <c r="AB11" s="5">
        <v>0.3</v>
      </c>
      <c r="AC11" s="5">
        <v>0.2</v>
      </c>
      <c r="AD11" s="5">
        <v>1.6</v>
      </c>
      <c r="AE11" s="5">
        <v>0.3</v>
      </c>
      <c r="AF11" s="5">
        <v>70</v>
      </c>
      <c r="AG11" s="5">
        <v>0</v>
      </c>
      <c r="AH11" s="5">
        <v>0</v>
      </c>
      <c r="AI11" s="5">
        <v>0</v>
      </c>
      <c r="AJ11" s="5">
        <v>0</v>
      </c>
      <c r="AK11" s="5">
        <v>27</v>
      </c>
      <c r="AL11" s="5">
        <v>286</v>
      </c>
      <c r="AM11" s="5">
        <v>2.6</v>
      </c>
      <c r="AN11" s="5">
        <v>0</v>
      </c>
      <c r="AO11" s="5">
        <v>3</v>
      </c>
      <c r="AP11" s="5">
        <v>82</v>
      </c>
      <c r="AQ11" s="5">
        <v>2</v>
      </c>
      <c r="AR11" s="5">
        <v>390</v>
      </c>
      <c r="AS11" s="5">
        <v>0</v>
      </c>
      <c r="AT11" s="5">
        <v>0</v>
      </c>
      <c r="AU11" s="5">
        <v>14.4</v>
      </c>
      <c r="AV11" s="5">
        <f>IFERROR(VLOOKUP(IFERROR(VLOOKUP(D11,Mapa_Similitud!$A$2:$B$2000,2,FALSE()),D11),Hoja1!$A$2:$K$1000,2,FALSE()),IFERROR(VLOOKUP(IFERROR(VLOOKUP(D11,Mapa_Similitud!$A$2:$B$2000,2,FALSE()),D11),Omega3_Referencia!$A$2:$E$100,3,FALSE()),0))</f>
        <v>0.04</v>
      </c>
      <c r="AW11" s="3" t="str">
        <f>IFERROR(VLOOKUP(IFERROR(VLOOKUP(D11,Mapa_Similitud!$A$2:$B$2000,2,FALSE()),D11),Hoja1!$A$2:$K$1000,3,FALSE()),IFERROR(VLOOKUP(IFERROR(VLOOKUP(D11,Mapa_Similitud!$A$2:$B$2000,2,FALSE()),D11),Omega3_Referencia!$A$2:$E$100,4,FALSE()),"N/A"))</f>
        <v>ALA</v>
      </c>
      <c r="AX11" s="5">
        <f>IFERROR(VLOOKUP(IFERROR(VLOOKUP(D11,Mapa_Similitud!$A$2:$B$2000,2,FALSE()),D11),Hoja1!$A$2:$K$1000,5,FALSE()),0)</f>
        <v>0</v>
      </c>
      <c r="AY11" s="5">
        <f>IFERROR(VLOOKUP(IFERROR(VLOOKUP(D11,Mapa_Similitud!$A$2:$B$2000,2,FALSE()),D11),Hoja1!$A$2:$K$1000,7,FALSE()),0)</f>
        <v>45</v>
      </c>
      <c r="AZ11" s="5">
        <f>IFERROR(VLOOKUP(IFERROR(VLOOKUP(D11,Mapa_Similitud!$A$2:$B$2000,2,FALSE()),D11),Hoja1!$A$2:$K$1000,9,FALSE()),0)</f>
        <v>0</v>
      </c>
      <c r="BA11" s="25">
        <f t="shared" si="0"/>
        <v>3.0674846625766871E-2</v>
      </c>
      <c r="BB11" s="25">
        <f t="shared" si="1"/>
        <v>4.6012269938650305E-2</v>
      </c>
      <c r="BC11" s="25">
        <f t="shared" si="2"/>
        <v>8.2822085889570546E-2</v>
      </c>
      <c r="BD11" s="25">
        <f t="shared" si="3"/>
        <v>7.9754601226993873E-3</v>
      </c>
      <c r="BE11" s="25">
        <f t="shared" si="4"/>
        <v>6.1349693251533744E-3</v>
      </c>
      <c r="BF11" s="25">
        <f t="shared" si="5"/>
        <v>3.5416666666666665</v>
      </c>
      <c r="BG11" s="25">
        <f t="shared" si="6"/>
        <v>9.4405594405594401E-2</v>
      </c>
      <c r="BH11" s="25">
        <f t="shared" si="7"/>
        <v>0.12631578947368421</v>
      </c>
      <c r="BI11" s="25">
        <f t="shared" si="8"/>
        <v>5.1282051282051282E-3</v>
      </c>
      <c r="BJ11" s="25">
        <f t="shared" si="9"/>
        <v>0</v>
      </c>
      <c r="BK11" s="25">
        <f t="shared" si="10"/>
        <v>0.25125628140703515</v>
      </c>
      <c r="BL11" s="25">
        <f t="shared" si="11"/>
        <v>5.2453987730061345E-2</v>
      </c>
      <c r="BM11" s="25">
        <f t="shared" si="12"/>
        <v>0.25153374233128833</v>
      </c>
      <c r="BN11" s="18" t="str">
        <f t="shared" si="18"/>
        <v>Baja fuente de proteína</v>
      </c>
      <c r="BO11" s="18" t="str">
        <f t="shared" si="19"/>
        <v>Alta fuente de fibra</v>
      </c>
      <c r="BP11" s="18" t="str">
        <f t="shared" si="20"/>
        <v>Baja fuente de calcio</v>
      </c>
      <c r="BQ11" s="18" t="str">
        <f t="shared" si="21"/>
        <v>Baja fuente de hierro</v>
      </c>
      <c r="BR11" s="18" t="str">
        <f t="shared" si="22"/>
        <v>Bajo en sodio</v>
      </c>
      <c r="BS11" s="6" t="str">
        <f t="shared" si="13"/>
        <v>Altamente antiinflamatorio</v>
      </c>
      <c r="BT11" s="6" t="str">
        <f t="shared" si="14"/>
        <v>Bajo en grasas</v>
      </c>
      <c r="BU11" s="18" t="str">
        <f t="shared" si="23"/>
        <v>Equilibrio de líquidos ideal</v>
      </c>
      <c r="BV11" s="18" t="str">
        <f t="shared" si="24"/>
        <v>Media fuente de magnesio</v>
      </c>
      <c r="BW11" s="18" t="str">
        <f t="shared" si="25"/>
        <v>Sin aporte de Omega 3</v>
      </c>
      <c r="BX11" s="18" t="str">
        <f t="shared" si="26"/>
        <v>Libre de grasas trans</v>
      </c>
      <c r="BY11" s="18" t="str">
        <f t="shared" si="27"/>
        <v>Medio poder antioxidante</v>
      </c>
      <c r="BZ11" s="6" t="str">
        <f t="shared" si="15"/>
        <v>Sin probióticos</v>
      </c>
      <c r="CA11" s="18" t="str">
        <f t="shared" si="28"/>
        <v>Poco inflamatorio</v>
      </c>
      <c r="CB11" s="18" t="str">
        <f>IF(ISNUMBER(SEARCH("miel", D11)), "No irritante (Uso condicionado SII)", IF(OR(J11&gt;0, ISNUMBER(SEARCH("cacao", D11)), ISNUMBER(SEARCH("chocolate puro", D11))), "Altamente irritante", IF(OR(AND(O11&gt;15, BI11&gt;1), ISNUMBER(SEARCH("chocolate", D11))), "Moderadamente irritante", "No irritante")))</f>
        <v>No irritante</v>
      </c>
      <c r="CC11" s="6" t="str">
        <f t="shared" si="16"/>
        <v>Exceso relativo de Omega 6</v>
      </c>
    </row>
    <row r="12" spans="1:81" ht="15" customHeight="1" x14ac:dyDescent="0.3">
      <c r="A12" s="2">
        <f t="shared" si="17"/>
        <v>11</v>
      </c>
      <c r="B12" s="3" t="s">
        <v>80</v>
      </c>
      <c r="C12" s="3" t="s">
        <v>83</v>
      </c>
      <c r="D12" s="3" t="s">
        <v>95</v>
      </c>
      <c r="E12" s="3"/>
      <c r="F12" s="4">
        <v>0.6</v>
      </c>
      <c r="G12" s="5">
        <v>1</v>
      </c>
      <c r="H12" s="5">
        <v>342</v>
      </c>
      <c r="I12" s="5">
        <v>13.2</v>
      </c>
      <c r="J12" s="5">
        <v>0</v>
      </c>
      <c r="K12" s="5">
        <v>8.3000000000000007</v>
      </c>
      <c r="L12" s="5">
        <v>66.3</v>
      </c>
      <c r="M12" s="5">
        <v>66.3</v>
      </c>
      <c r="N12" s="5">
        <v>0</v>
      </c>
      <c r="O12" s="5">
        <v>0</v>
      </c>
      <c r="P12" s="5">
        <v>9.4</v>
      </c>
      <c r="Q12" s="5">
        <v>2.8</v>
      </c>
      <c r="R12" s="5">
        <v>0.35</v>
      </c>
      <c r="S12" s="5">
        <v>0.88</v>
      </c>
      <c r="T12" s="5">
        <v>1.4</v>
      </c>
      <c r="U12" s="5">
        <v>0</v>
      </c>
      <c r="V12" s="5">
        <v>50</v>
      </c>
      <c r="W12" s="5">
        <v>0</v>
      </c>
      <c r="X12" s="5">
        <v>300</v>
      </c>
      <c r="Y12" s="5">
        <v>0</v>
      </c>
      <c r="Z12" s="5">
        <v>0</v>
      </c>
      <c r="AA12" s="5">
        <v>1</v>
      </c>
      <c r="AB12" s="5">
        <v>0.44</v>
      </c>
      <c r="AC12" s="5">
        <v>0.13</v>
      </c>
      <c r="AD12" s="5">
        <v>0.82</v>
      </c>
      <c r="AE12" s="5">
        <v>0.06</v>
      </c>
      <c r="AF12" s="5">
        <v>10</v>
      </c>
      <c r="AG12" s="5">
        <v>0</v>
      </c>
      <c r="AH12" s="5">
        <v>0.55000000000000004</v>
      </c>
      <c r="AI12" s="5">
        <v>6.6</v>
      </c>
      <c r="AJ12" s="5">
        <v>0</v>
      </c>
      <c r="AK12" s="5">
        <v>18</v>
      </c>
      <c r="AL12" s="5">
        <v>39</v>
      </c>
      <c r="AM12" s="5">
        <v>2.4</v>
      </c>
      <c r="AN12" s="5">
        <v>80</v>
      </c>
      <c r="AO12" s="5">
        <v>1.6</v>
      </c>
      <c r="AP12" s="5">
        <v>47</v>
      </c>
      <c r="AQ12" s="5">
        <v>0.7</v>
      </c>
      <c r="AR12" s="5">
        <v>120</v>
      </c>
      <c r="AS12" s="5">
        <v>0.46</v>
      </c>
      <c r="AT12" s="5">
        <v>0.13</v>
      </c>
      <c r="AU12" s="5">
        <v>15.4</v>
      </c>
      <c r="AV12" s="5">
        <f>IFERROR(VLOOKUP(IFERROR(VLOOKUP(D12,Mapa_Similitud!$A$2:$B$2000,2,FALSE()),D12),Hoja1!$A$2:$K$1000,2,FALSE()),IFERROR(VLOOKUP(IFERROR(VLOOKUP(D12,Mapa_Similitud!$A$2:$B$2000,2,FALSE()),D12),Omega3_Referencia!$A$2:$E$100,3,FALSE()),0))</f>
        <v>0.03</v>
      </c>
      <c r="AW12" s="3" t="str">
        <f>IFERROR(VLOOKUP(IFERROR(VLOOKUP(D12,Mapa_Similitud!$A$2:$B$2000,2,FALSE()),D12),Hoja1!$A$2:$K$1000,3,FALSE()),IFERROR(VLOOKUP(IFERROR(VLOOKUP(D12,Mapa_Similitud!$A$2:$B$2000,2,FALSE()),D12),Omega3_Referencia!$A$2:$E$100,4,FALSE()),"N/A"))</f>
        <v>ALA</v>
      </c>
      <c r="AX12" s="5">
        <f>IFERROR(VLOOKUP(IFERROR(VLOOKUP(D12,Mapa_Similitud!$A$2:$B$2000,2,FALSE()),D12),Hoja1!$A$2:$K$1000,5,FALSE()),0)</f>
        <v>0</v>
      </c>
      <c r="AY12" s="5">
        <f>IFERROR(VLOOKUP(IFERROR(VLOOKUP(D12,Mapa_Similitud!$A$2:$B$2000,2,FALSE()),D12),Hoja1!$A$2:$K$1000,7,FALSE()),0)</f>
        <v>10</v>
      </c>
      <c r="AZ12" s="5">
        <f>IFERROR(VLOOKUP(IFERROR(VLOOKUP(D12,Mapa_Similitud!$A$2:$B$2000,2,FALSE()),D12),Hoja1!$A$2:$K$1000,9,FALSE()),0)</f>
        <v>0</v>
      </c>
      <c r="BA12" s="25">
        <f t="shared" si="0"/>
        <v>2.4269005847953218E-2</v>
      </c>
      <c r="BB12" s="25">
        <f t="shared" si="1"/>
        <v>2.7485380116959064E-2</v>
      </c>
      <c r="BC12" s="25">
        <f t="shared" si="2"/>
        <v>5.2631578947368418E-2</v>
      </c>
      <c r="BD12" s="25">
        <f t="shared" si="3"/>
        <v>7.0175438596491229E-3</v>
      </c>
      <c r="BE12" s="25">
        <f t="shared" si="4"/>
        <v>2.0467836257309939E-3</v>
      </c>
      <c r="BF12" s="25">
        <f t="shared" si="5"/>
        <v>4</v>
      </c>
      <c r="BG12" s="25">
        <f t="shared" si="6"/>
        <v>0.46153846153846156</v>
      </c>
      <c r="BH12" s="25">
        <f t="shared" si="7"/>
        <v>0.125</v>
      </c>
      <c r="BI12" s="25">
        <f t="shared" si="8"/>
        <v>5.8333333333333327E-3</v>
      </c>
      <c r="BJ12" s="25">
        <f t="shared" si="9"/>
        <v>0</v>
      </c>
      <c r="BK12" s="25">
        <f t="shared" si="10"/>
        <v>0.14177978883861239</v>
      </c>
      <c r="BL12" s="25">
        <f t="shared" si="11"/>
        <v>7.3684210526315783E-2</v>
      </c>
      <c r="BM12" s="25">
        <f t="shared" si="12"/>
        <v>0.13742690058479531</v>
      </c>
      <c r="BN12" s="18" t="str">
        <f t="shared" si="18"/>
        <v>Baja fuente de proteína</v>
      </c>
      <c r="BO12" s="18" t="str">
        <f t="shared" si="19"/>
        <v>Media fuente de fibra</v>
      </c>
      <c r="BP12" s="18" t="str">
        <f t="shared" si="20"/>
        <v>Baja fuente de calcio</v>
      </c>
      <c r="BQ12" s="18" t="str">
        <f t="shared" si="21"/>
        <v>Baja fuente de hierro</v>
      </c>
      <c r="BR12" s="18" t="str">
        <f t="shared" si="22"/>
        <v>Bajo en sodio</v>
      </c>
      <c r="BS12" s="6" t="str">
        <f t="shared" si="13"/>
        <v>Altamente antiinflamatorio</v>
      </c>
      <c r="BT12" s="6" t="str">
        <f t="shared" si="14"/>
        <v>Bajo en grasas</v>
      </c>
      <c r="BU12" s="18" t="str">
        <f t="shared" si="23"/>
        <v>Equilibrio de líquidos ideal</v>
      </c>
      <c r="BV12" s="18" t="str">
        <f t="shared" si="24"/>
        <v>Baja fuente de magnesio</v>
      </c>
      <c r="BW12" s="18" t="str">
        <f t="shared" si="25"/>
        <v>Sin aporte de Omega 3</v>
      </c>
      <c r="BX12" s="18" t="str">
        <f t="shared" si="26"/>
        <v>Libre de grasas trans</v>
      </c>
      <c r="BY12" s="18" t="str">
        <f t="shared" si="27"/>
        <v>Medio poder antioxidante</v>
      </c>
      <c r="BZ12" s="6" t="str">
        <f t="shared" si="15"/>
        <v>Sin probióticos</v>
      </c>
      <c r="CA12" s="18" t="str">
        <f t="shared" si="28"/>
        <v>Poco inflamatorio</v>
      </c>
      <c r="CB12" s="18" t="str">
        <f>IF(ISNUMBER(SEARCH("miel", D12)), "No irritante (Uso condicionado SII)", IF(OR(J12&gt;0, ISNUMBER(SEARCH("cacao", D12)), ISNUMBER(SEARCH("chocolate puro", D12))), "Altamente irritante", IF(OR(AND(O12&gt;15, BI12&gt;1), ISNUMBER(SEARCH("chocolate", D12))), "Moderadamente irritante", "No irritante")))</f>
        <v>No irritante</v>
      </c>
      <c r="CC12" s="6" t="str">
        <f t="shared" si="16"/>
        <v>Exceso relativo de Omega 6</v>
      </c>
    </row>
    <row r="13" spans="1:81" ht="15" customHeight="1" x14ac:dyDescent="0.3">
      <c r="A13" s="2">
        <f t="shared" si="17"/>
        <v>12</v>
      </c>
      <c r="B13" s="3" t="s">
        <v>80</v>
      </c>
      <c r="C13" s="3" t="s">
        <v>83</v>
      </c>
      <c r="D13" s="3" t="s">
        <v>96</v>
      </c>
      <c r="E13" s="3"/>
      <c r="F13" s="4">
        <v>0.45</v>
      </c>
      <c r="G13" s="5">
        <v>1</v>
      </c>
      <c r="H13" s="5">
        <v>341</v>
      </c>
      <c r="I13" s="5">
        <v>14</v>
      </c>
      <c r="J13" s="5">
        <v>0</v>
      </c>
      <c r="K13" s="5">
        <v>9.9</v>
      </c>
      <c r="L13" s="5">
        <v>70.599999999999994</v>
      </c>
      <c r="M13" s="5">
        <v>69.900000000000006</v>
      </c>
      <c r="N13" s="5">
        <v>0.7</v>
      </c>
      <c r="O13" s="5">
        <v>0</v>
      </c>
      <c r="P13" s="5">
        <v>4.3</v>
      </c>
      <c r="Q13" s="5">
        <v>1.2</v>
      </c>
      <c r="R13" s="5">
        <v>0.16</v>
      </c>
      <c r="S13" s="5">
        <v>0.13</v>
      </c>
      <c r="T13" s="5">
        <v>0.51</v>
      </c>
      <c r="U13" s="5">
        <v>0</v>
      </c>
      <c r="V13" s="5">
        <v>0.17</v>
      </c>
      <c r="W13" s="5">
        <v>0</v>
      </c>
      <c r="X13" s="5">
        <v>1</v>
      </c>
      <c r="Y13" s="5">
        <v>0</v>
      </c>
      <c r="Z13" s="5">
        <v>0.34</v>
      </c>
      <c r="AA13" s="5">
        <v>32.700000000000003</v>
      </c>
      <c r="AB13" s="5">
        <v>0.11</v>
      </c>
      <c r="AC13" s="5">
        <v>0.03</v>
      </c>
      <c r="AD13" s="5">
        <v>2.2999999999999998</v>
      </c>
      <c r="AE13" s="5">
        <v>0.1</v>
      </c>
      <c r="AF13" s="5">
        <v>16</v>
      </c>
      <c r="AG13" s="5">
        <v>0</v>
      </c>
      <c r="AH13" s="5">
        <v>0.4</v>
      </c>
      <c r="AI13" s="5">
        <v>1.1000000000000001</v>
      </c>
      <c r="AJ13" s="5">
        <v>0</v>
      </c>
      <c r="AK13" s="5">
        <v>17</v>
      </c>
      <c r="AL13" s="5">
        <v>108</v>
      </c>
      <c r="AM13" s="5">
        <v>1</v>
      </c>
      <c r="AN13" s="5">
        <v>10</v>
      </c>
      <c r="AO13" s="5">
        <v>0.78</v>
      </c>
      <c r="AP13" s="5">
        <v>23</v>
      </c>
      <c r="AQ13" s="5">
        <v>2</v>
      </c>
      <c r="AR13" s="5">
        <v>146</v>
      </c>
      <c r="AS13" s="5">
        <v>0.69</v>
      </c>
      <c r="AT13" s="5">
        <v>0.14000000000000001</v>
      </c>
      <c r="AU13" s="5">
        <v>4</v>
      </c>
      <c r="AV13" s="5">
        <f>IFERROR(VLOOKUP(IFERROR(VLOOKUP(D13,Mapa_Similitud!$A$2:$B$2000,2,FALSE()),D13),Hoja1!$A$2:$K$1000,2,FALSE()),IFERROR(VLOOKUP(IFERROR(VLOOKUP(D13,Mapa_Similitud!$A$2:$B$2000,2,FALSE()),D13),Omega3_Referencia!$A$2:$E$100,3,FALSE()),0))</f>
        <v>0.02</v>
      </c>
      <c r="AW13" s="3" t="str">
        <f>IFERROR(VLOOKUP(IFERROR(VLOOKUP(D13,Mapa_Similitud!$A$2:$B$2000,2,FALSE()),D13),Hoja1!$A$2:$K$1000,3,FALSE()),IFERROR(VLOOKUP(IFERROR(VLOOKUP(D13,Mapa_Similitud!$A$2:$B$2000,2,FALSE()),D13),Omega3_Referencia!$A$2:$E$100,4,FALSE()),"N/A"))</f>
        <v>ALA</v>
      </c>
      <c r="AX13" s="5">
        <f>IFERROR(VLOOKUP(IFERROR(VLOOKUP(D13,Mapa_Similitud!$A$2:$B$2000,2,FALSE()),D13),Hoja1!$A$2:$K$1000,5,FALSE()),0)</f>
        <v>0</v>
      </c>
      <c r="AY13" s="5">
        <f>IFERROR(VLOOKUP(IFERROR(VLOOKUP(D13,Mapa_Similitud!$A$2:$B$2000,2,FALSE()),D13),Hoja1!$A$2:$K$1000,7,FALSE()),0)</f>
        <v>68.3</v>
      </c>
      <c r="AZ13" s="5">
        <f>IFERROR(VLOOKUP(IFERROR(VLOOKUP(D13,Mapa_Similitud!$A$2:$B$2000,2,FALSE()),D13),Hoja1!$A$2:$K$1000,9,FALSE()),0)</f>
        <v>0</v>
      </c>
      <c r="BA13" s="25">
        <f t="shared" si="0"/>
        <v>2.903225806451613E-2</v>
      </c>
      <c r="BB13" s="25">
        <f t="shared" si="1"/>
        <v>1.2609970674486803E-2</v>
      </c>
      <c r="BC13" s="25">
        <f t="shared" si="2"/>
        <v>4.9853372434017593E-2</v>
      </c>
      <c r="BD13" s="25">
        <f t="shared" si="3"/>
        <v>2.9325513196480938E-3</v>
      </c>
      <c r="BE13" s="25">
        <f t="shared" si="4"/>
        <v>5.8651026392961877E-3</v>
      </c>
      <c r="BF13" s="25">
        <f t="shared" si="5"/>
        <v>3.1875</v>
      </c>
      <c r="BG13" s="25">
        <f t="shared" si="6"/>
        <v>0.15740740740740741</v>
      </c>
      <c r="BH13" s="25">
        <f t="shared" si="7"/>
        <v>0.13333333333333333</v>
      </c>
      <c r="BI13" s="25">
        <f t="shared" si="8"/>
        <v>1.3698630136986301E-2</v>
      </c>
      <c r="BJ13" s="25">
        <f t="shared" si="9"/>
        <v>9.9150141643059488E-3</v>
      </c>
      <c r="BK13" s="25">
        <f t="shared" si="10"/>
        <v>6.0906515580736544E-2</v>
      </c>
      <c r="BL13" s="25">
        <f t="shared" si="11"/>
        <v>3.1671554252199412E-2</v>
      </c>
      <c r="BM13" s="25">
        <f t="shared" si="12"/>
        <v>6.7448680351906154E-2</v>
      </c>
      <c r="BN13" s="18" t="str">
        <f t="shared" si="18"/>
        <v>Baja fuente de proteína</v>
      </c>
      <c r="BO13" s="18" t="str">
        <f t="shared" si="19"/>
        <v>Baja fuente de fibra</v>
      </c>
      <c r="BP13" s="18" t="str">
        <f t="shared" si="20"/>
        <v>Baja fuente de calcio</v>
      </c>
      <c r="BQ13" s="18" t="str">
        <f t="shared" si="21"/>
        <v>Baja fuente de hierro</v>
      </c>
      <c r="BR13" s="18" t="str">
        <f t="shared" si="22"/>
        <v>Bajo en sodio</v>
      </c>
      <c r="BS13" s="6" t="str">
        <f t="shared" si="13"/>
        <v>Altamente antiinflamatorio</v>
      </c>
      <c r="BT13" s="6" t="str">
        <f t="shared" si="14"/>
        <v>Bajo en grasas</v>
      </c>
      <c r="BU13" s="18" t="str">
        <f t="shared" si="23"/>
        <v>Equilibrio de líquidos ideal</v>
      </c>
      <c r="BV13" s="18" t="str">
        <f t="shared" si="24"/>
        <v>Baja fuente de magnesio</v>
      </c>
      <c r="BW13" s="18" t="str">
        <f t="shared" si="25"/>
        <v>Sin aporte de Omega 3</v>
      </c>
      <c r="BX13" s="18" t="str">
        <f t="shared" si="26"/>
        <v>Libre de grasas trans</v>
      </c>
      <c r="BY13" s="18" t="str">
        <f t="shared" si="27"/>
        <v>Alto poder antioxidante</v>
      </c>
      <c r="BZ13" s="6" t="str">
        <f t="shared" si="15"/>
        <v>Sin probióticos</v>
      </c>
      <c r="CA13" s="18" t="str">
        <f t="shared" si="28"/>
        <v>Antiinflamatorio</v>
      </c>
      <c r="CB13" s="18" t="str">
        <f>IF(ISNUMBER(SEARCH("miel", D13)), "No irritante (Uso condicionado SII)", IF(OR(J13&gt;0, ISNUMBER(SEARCH("cacao", D13)), ISNUMBER(SEARCH("chocolate puro", D13))), "Altamente irritante", IF(OR(AND(O13&gt;15, BI13&gt;1), ISNUMBER(SEARCH("chocolate", D13))), "Moderadamente irritante", "No irritante")))</f>
        <v>No irritante</v>
      </c>
      <c r="CC13" s="6" t="str">
        <f t="shared" si="16"/>
        <v>Exceso relativo de Omega 6</v>
      </c>
    </row>
    <row r="14" spans="1:81" ht="15" customHeight="1" x14ac:dyDescent="0.3">
      <c r="A14" s="2">
        <f t="shared" si="17"/>
        <v>13</v>
      </c>
      <c r="B14" s="3" t="s">
        <v>80</v>
      </c>
      <c r="C14" s="3" t="s">
        <v>83</v>
      </c>
      <c r="D14" s="3" t="s">
        <v>97</v>
      </c>
      <c r="E14" s="3"/>
      <c r="F14" s="4">
        <v>0.7</v>
      </c>
      <c r="G14" s="5">
        <v>1</v>
      </c>
      <c r="H14" s="5">
        <v>322</v>
      </c>
      <c r="I14" s="5">
        <v>17.8</v>
      </c>
      <c r="J14" s="5">
        <v>0</v>
      </c>
      <c r="K14" s="5">
        <v>12.7</v>
      </c>
      <c r="L14" s="5">
        <v>58.3</v>
      </c>
      <c r="M14" s="5">
        <v>56.2</v>
      </c>
      <c r="N14" s="5">
        <v>2.1</v>
      </c>
      <c r="O14" s="5">
        <v>0</v>
      </c>
      <c r="P14" s="5">
        <v>9</v>
      </c>
      <c r="Q14" s="5">
        <v>2.2000000000000002</v>
      </c>
      <c r="R14" s="5">
        <v>0.28000000000000003</v>
      </c>
      <c r="S14" s="5">
        <v>0.21</v>
      </c>
      <c r="T14" s="5">
        <v>0.89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1.4</v>
      </c>
      <c r="AA14" s="5">
        <v>65.5</v>
      </c>
      <c r="AB14" s="5">
        <v>0.47</v>
      </c>
      <c r="AC14" s="5">
        <v>0.09</v>
      </c>
      <c r="AD14" s="5">
        <v>8.1999999999999993</v>
      </c>
      <c r="AE14" s="5">
        <v>0.5</v>
      </c>
      <c r="AF14" s="5">
        <v>57</v>
      </c>
      <c r="AG14" s="5">
        <v>0</v>
      </c>
      <c r="AH14" s="5">
        <v>0.8</v>
      </c>
      <c r="AI14" s="5">
        <v>7</v>
      </c>
      <c r="AJ14" s="5">
        <v>0</v>
      </c>
      <c r="AK14" s="5">
        <v>38</v>
      </c>
      <c r="AL14" s="5">
        <v>320</v>
      </c>
      <c r="AM14" s="5">
        <v>3.9</v>
      </c>
      <c r="AN14" s="5">
        <v>0</v>
      </c>
      <c r="AO14" s="5">
        <v>2.9</v>
      </c>
      <c r="AP14" s="5">
        <v>120</v>
      </c>
      <c r="AQ14" s="5">
        <v>3</v>
      </c>
      <c r="AR14" s="5">
        <v>340</v>
      </c>
      <c r="AS14" s="5">
        <v>3.1</v>
      </c>
      <c r="AT14" s="5">
        <v>0.45</v>
      </c>
      <c r="AU14" s="5">
        <v>53</v>
      </c>
      <c r="AV14" s="5">
        <f>IFERROR(VLOOKUP(IFERROR(VLOOKUP(D14,Mapa_Similitud!$A$2:$B$2000,2,FALSE()),D14),Hoja1!$A$2:$K$1000,2,FALSE()),IFERROR(VLOOKUP(IFERROR(VLOOKUP(D14,Mapa_Similitud!$A$2:$B$2000,2,FALSE()),D14),Omega3_Referencia!$A$2:$E$100,3,FALSE()),0))</f>
        <v>7.0000000000000007E-2</v>
      </c>
      <c r="AW14" s="3" t="str">
        <f>IFERROR(VLOOKUP(IFERROR(VLOOKUP(D14,Mapa_Similitud!$A$2:$B$2000,2,FALSE()),D14),Hoja1!$A$2:$K$1000,3,FALSE()),IFERROR(VLOOKUP(IFERROR(VLOOKUP(D14,Mapa_Similitud!$A$2:$B$2000,2,FALSE()),D14),Omega3_Referencia!$A$2:$E$100,4,FALSE()),"N/A"))</f>
        <v>ALA</v>
      </c>
      <c r="AX14" s="5">
        <f>IFERROR(VLOOKUP(IFERROR(VLOOKUP(D14,Mapa_Similitud!$A$2:$B$2000,2,FALSE()),D14),Hoja1!$A$2:$K$1000,5,FALSE()),0)</f>
        <v>0</v>
      </c>
      <c r="AY14" s="5">
        <f>IFERROR(VLOOKUP(IFERROR(VLOOKUP(D14,Mapa_Similitud!$A$2:$B$2000,2,FALSE()),D14),Hoja1!$A$2:$K$1000,7,FALSE()),0)</f>
        <v>90.5</v>
      </c>
      <c r="AZ14" s="5">
        <f>IFERROR(VLOOKUP(IFERROR(VLOOKUP(D14,Mapa_Similitud!$A$2:$B$2000,2,FALSE()),D14),Hoja1!$A$2:$K$1000,9,FALSE()),0)</f>
        <v>0</v>
      </c>
      <c r="BA14" s="25">
        <f t="shared" si="0"/>
        <v>3.9440993788819871E-2</v>
      </c>
      <c r="BB14" s="25">
        <f t="shared" si="1"/>
        <v>2.7950310559006212E-2</v>
      </c>
      <c r="BC14" s="25">
        <f t="shared" si="2"/>
        <v>0.11801242236024845</v>
      </c>
      <c r="BD14" s="25">
        <f t="shared" si="3"/>
        <v>1.2111801242236025E-2</v>
      </c>
      <c r="BE14" s="25">
        <f t="shared" si="4"/>
        <v>9.316770186335404E-3</v>
      </c>
      <c r="BF14" s="25">
        <f t="shared" si="5"/>
        <v>3.1785714285714284</v>
      </c>
      <c r="BG14" s="25">
        <f t="shared" si="6"/>
        <v>0.11874999999999999</v>
      </c>
      <c r="BH14" s="25">
        <f t="shared" si="7"/>
        <v>0.12727272727272729</v>
      </c>
      <c r="BI14" s="25">
        <f t="shared" si="8"/>
        <v>8.8235294117647058E-3</v>
      </c>
      <c r="BJ14" s="25">
        <f t="shared" si="9"/>
        <v>3.6020583190394515E-2</v>
      </c>
      <c r="BK14" s="25">
        <f t="shared" si="10"/>
        <v>0.15437392795883362</v>
      </c>
      <c r="BL14" s="25">
        <f t="shared" si="11"/>
        <v>6.1490683229813665E-2</v>
      </c>
      <c r="BM14" s="25">
        <f t="shared" si="12"/>
        <v>0.37267080745341613</v>
      </c>
      <c r="BN14" s="18" t="str">
        <f t="shared" si="18"/>
        <v>Baja fuente de proteína</v>
      </c>
      <c r="BO14" s="18" t="str">
        <f t="shared" si="19"/>
        <v>Media fuente de fibra</v>
      </c>
      <c r="BP14" s="18" t="str">
        <f t="shared" si="20"/>
        <v>Baja fuente de calcio</v>
      </c>
      <c r="BQ14" s="18" t="str">
        <f t="shared" si="21"/>
        <v>Media fuente de hierro</v>
      </c>
      <c r="BR14" s="18" t="str">
        <f t="shared" si="22"/>
        <v>Bajo en sodio</v>
      </c>
      <c r="BS14" s="6" t="str">
        <f t="shared" si="13"/>
        <v>Altamente antiinflamatorio</v>
      </c>
      <c r="BT14" s="6" t="str">
        <f t="shared" si="14"/>
        <v>Bajo en grasas</v>
      </c>
      <c r="BU14" s="18" t="str">
        <f t="shared" si="23"/>
        <v>Equilibrio de líquidos ideal</v>
      </c>
      <c r="BV14" s="18" t="str">
        <f t="shared" si="24"/>
        <v>Media fuente de magnesio</v>
      </c>
      <c r="BW14" s="18" t="str">
        <f t="shared" si="25"/>
        <v>Sin aporte de Omega 3</v>
      </c>
      <c r="BX14" s="18" t="str">
        <f t="shared" si="26"/>
        <v>Libre de grasas trans</v>
      </c>
      <c r="BY14" s="18" t="str">
        <f t="shared" si="27"/>
        <v>Alto poder antioxidante</v>
      </c>
      <c r="BZ14" s="6" t="str">
        <f t="shared" si="15"/>
        <v>Sin probióticos</v>
      </c>
      <c r="CA14" s="18" t="str">
        <f t="shared" si="28"/>
        <v>Antiinflamatorio</v>
      </c>
      <c r="CB14" s="18" t="str">
        <f>IF(ISNUMBER(SEARCH("miel", D14)), "No irritante (Uso condicionado SII)", IF(OR(J14&gt;0, ISNUMBER(SEARCH("cacao", D14)), ISNUMBER(SEARCH("chocolate puro", D14))), "Altamente irritante", IF(OR(AND(O14&gt;15, BI14&gt;1), ISNUMBER(SEARCH("chocolate", D14))), "Moderadamente irritante", "No irritante")))</f>
        <v>No irritante</v>
      </c>
      <c r="CC14" s="6" t="str">
        <f t="shared" si="16"/>
        <v>Exceso relativo de Omega 6</v>
      </c>
    </row>
    <row r="15" spans="1:81" ht="15" customHeight="1" x14ac:dyDescent="0.3">
      <c r="A15" s="2">
        <f t="shared" si="17"/>
        <v>14</v>
      </c>
      <c r="B15" s="3" t="s">
        <v>80</v>
      </c>
      <c r="C15" s="3" t="s">
        <v>83</v>
      </c>
      <c r="D15" s="3" t="s">
        <v>98</v>
      </c>
      <c r="E15" s="3" t="s">
        <v>99</v>
      </c>
      <c r="F15" s="4">
        <v>0.8</v>
      </c>
      <c r="G15" s="5">
        <v>1</v>
      </c>
      <c r="H15" s="5">
        <v>356</v>
      </c>
      <c r="I15" s="5">
        <v>6.1</v>
      </c>
      <c r="J15" s="5">
        <v>0</v>
      </c>
      <c r="K15" s="5">
        <v>10.1</v>
      </c>
      <c r="L15" s="5">
        <v>64.8</v>
      </c>
      <c r="M15" s="5">
        <v>63.4</v>
      </c>
      <c r="N15" s="5">
        <v>1.4</v>
      </c>
      <c r="O15" s="5">
        <v>0</v>
      </c>
      <c r="P15" s="5">
        <v>16.2</v>
      </c>
      <c r="Q15" s="5">
        <v>2.7</v>
      </c>
      <c r="R15" s="5">
        <v>0.31</v>
      </c>
      <c r="S15" s="5">
        <v>0.36</v>
      </c>
      <c r="T15" s="5">
        <v>1.2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0.4</v>
      </c>
      <c r="AA15" s="5">
        <v>0</v>
      </c>
      <c r="AB15" s="5">
        <v>0.21</v>
      </c>
      <c r="AC15" s="5">
        <v>0.04</v>
      </c>
      <c r="AD15" s="5">
        <v>4.5999999999999996</v>
      </c>
      <c r="AE15" s="5">
        <v>0.3</v>
      </c>
      <c r="AF15" s="5">
        <v>25</v>
      </c>
      <c r="AG15" s="5">
        <v>0</v>
      </c>
      <c r="AH15" s="5">
        <v>0</v>
      </c>
      <c r="AI15" s="5">
        <v>0</v>
      </c>
      <c r="AJ15" s="5">
        <v>0</v>
      </c>
      <c r="AK15" s="5">
        <v>16.8</v>
      </c>
      <c r="AL15" s="5">
        <v>314</v>
      </c>
      <c r="AM15" s="5">
        <v>6.8</v>
      </c>
      <c r="AN15" s="5">
        <v>0</v>
      </c>
      <c r="AO15" s="5">
        <v>0.7</v>
      </c>
      <c r="AP15" s="5">
        <v>103</v>
      </c>
      <c r="AQ15" s="5">
        <v>214</v>
      </c>
      <c r="AR15" s="5">
        <v>136</v>
      </c>
      <c r="AS15" s="5">
        <v>0</v>
      </c>
      <c r="AT15" s="5">
        <v>0</v>
      </c>
      <c r="AU15" s="5">
        <v>0</v>
      </c>
      <c r="AV15" s="5">
        <f>IFERROR(VLOOKUP(IFERROR(VLOOKUP(D15,Mapa_Similitud!$A$2:$B$2000,2,FALSE()),D15),Hoja1!$A$2:$K$1000,2,FALSE()),IFERROR(VLOOKUP(IFERROR(VLOOKUP(D15,Mapa_Similitud!$A$2:$B$2000,2,FALSE()),D15),Omega3_Referencia!$A$2:$E$100,3,FALSE()),0))</f>
        <v>0.05</v>
      </c>
      <c r="AW15" s="3" t="str">
        <f>IFERROR(VLOOKUP(IFERROR(VLOOKUP(D15,Mapa_Similitud!$A$2:$B$2000,2,FALSE()),D15),Hoja1!$A$2:$K$1000,3,FALSE()),IFERROR(VLOOKUP(IFERROR(VLOOKUP(D15,Mapa_Similitud!$A$2:$B$2000,2,FALSE()),D15),Omega3_Referencia!$A$2:$E$100,4,FALSE()),"N/A"))</f>
        <v>ALA</v>
      </c>
      <c r="AX15" s="5">
        <f>IFERROR(VLOOKUP(IFERROR(VLOOKUP(D15,Mapa_Similitud!$A$2:$B$2000,2,FALSE()),D15),Hoja1!$A$2:$K$1000,5,FALSE()),0)</f>
        <v>0</v>
      </c>
      <c r="AY15" s="5">
        <f>IFERROR(VLOOKUP(IFERROR(VLOOKUP(D15,Mapa_Similitud!$A$2:$B$2000,2,FALSE()),D15),Hoja1!$A$2:$K$1000,7,FALSE()),0)</f>
        <v>50</v>
      </c>
      <c r="AZ15" s="5">
        <f>IFERROR(VLOOKUP(IFERROR(VLOOKUP(D15,Mapa_Similitud!$A$2:$B$2000,2,FALSE()),D15),Hoja1!$A$2:$K$1000,9,FALSE()),0)</f>
        <v>0</v>
      </c>
      <c r="BA15" s="25">
        <f t="shared" si="0"/>
        <v>2.8370786516853933E-2</v>
      </c>
      <c r="BB15" s="25">
        <f t="shared" si="1"/>
        <v>4.5505617977528084E-2</v>
      </c>
      <c r="BC15" s="25">
        <f t="shared" si="2"/>
        <v>4.7191011235955059E-2</v>
      </c>
      <c r="BD15" s="25">
        <f t="shared" si="3"/>
        <v>1.9101123595505618E-2</v>
      </c>
      <c r="BE15" s="25">
        <f t="shared" si="4"/>
        <v>0.601123595505618</v>
      </c>
      <c r="BF15" s="25">
        <f t="shared" si="5"/>
        <v>3.8709677419354835</v>
      </c>
      <c r="BG15" s="25">
        <f t="shared" si="6"/>
        <v>5.3503184713375798E-2</v>
      </c>
      <c r="BH15" s="25">
        <f t="shared" si="7"/>
        <v>0.1148148148148148</v>
      </c>
      <c r="BI15" s="25">
        <f t="shared" si="8"/>
        <v>1.5735294117647058</v>
      </c>
      <c r="BJ15" s="25">
        <f t="shared" si="9"/>
        <v>2.1604938271604937E-2</v>
      </c>
      <c r="BK15" s="25">
        <f t="shared" si="10"/>
        <v>0.25</v>
      </c>
      <c r="BL15" s="25">
        <f t="shared" si="11"/>
        <v>6.8258426966292141E-2</v>
      </c>
      <c r="BM15" s="25">
        <f t="shared" si="12"/>
        <v>0.2893258426966292</v>
      </c>
      <c r="BN15" s="18" t="str">
        <f t="shared" si="18"/>
        <v>Baja fuente de proteína</v>
      </c>
      <c r="BO15" s="18" t="str">
        <f t="shared" si="19"/>
        <v>Alta fuente de fibra</v>
      </c>
      <c r="BP15" s="18" t="str">
        <f t="shared" si="20"/>
        <v>Baja fuente de calcio</v>
      </c>
      <c r="BQ15" s="18" t="str">
        <f t="shared" si="21"/>
        <v>Alta fuente de hierro</v>
      </c>
      <c r="BR15" s="18" t="str">
        <f t="shared" si="22"/>
        <v>Moderado en sodio</v>
      </c>
      <c r="BS15" s="6" t="str">
        <f t="shared" si="13"/>
        <v>Altamente antiinflamatorio</v>
      </c>
      <c r="BT15" s="6" t="str">
        <f t="shared" si="14"/>
        <v>Bajo en grasas</v>
      </c>
      <c r="BU15" s="18" t="str">
        <f t="shared" si="23"/>
        <v>Alto riesgo de retención de líquidos</v>
      </c>
      <c r="BV15" s="18" t="str">
        <f t="shared" si="24"/>
        <v>Media fuente de magnesio</v>
      </c>
      <c r="BW15" s="18" t="str">
        <f t="shared" si="25"/>
        <v>Sin aporte de Omega 3</v>
      </c>
      <c r="BX15" s="18" t="str">
        <f t="shared" si="26"/>
        <v>Libre de grasas trans</v>
      </c>
      <c r="BY15" s="18" t="str">
        <f t="shared" si="27"/>
        <v>Alto poder antioxidante</v>
      </c>
      <c r="BZ15" s="6" t="str">
        <f t="shared" si="15"/>
        <v>Sin probióticos</v>
      </c>
      <c r="CA15" s="18" t="str">
        <f t="shared" si="28"/>
        <v>Antiinflamatorio</v>
      </c>
      <c r="CB15" s="18" t="str">
        <f>IF(ISNUMBER(SEARCH("miel", D15)), "No irritante (Uso condicionado SII)", IF(OR(J15&gt;0, ISNUMBER(SEARCH("cacao", D15)), ISNUMBER(SEARCH("chocolate puro", D15))), "Altamente irritante", IF(OR(AND(O15&gt;15, BI15&gt;1), ISNUMBER(SEARCH("chocolate", D15))), "Moderadamente irritante", "No irritante")))</f>
        <v>No irritante</v>
      </c>
      <c r="CC15" s="6" t="str">
        <f t="shared" si="16"/>
        <v>Exceso relativo de Omega 6</v>
      </c>
    </row>
    <row r="16" spans="1:81" ht="15" customHeight="1" x14ac:dyDescent="0.3">
      <c r="A16" s="2">
        <f t="shared" si="17"/>
        <v>15</v>
      </c>
      <c r="B16" s="3" t="s">
        <v>80</v>
      </c>
      <c r="C16" s="3" t="s">
        <v>83</v>
      </c>
      <c r="D16" s="3" t="s">
        <v>100</v>
      </c>
      <c r="E16" s="3"/>
      <c r="F16" s="4">
        <v>1.8</v>
      </c>
      <c r="G16" s="5">
        <v>1</v>
      </c>
      <c r="H16" s="5">
        <v>102</v>
      </c>
      <c r="I16" s="5">
        <v>74.900000000000006</v>
      </c>
      <c r="J16" s="5">
        <v>0</v>
      </c>
      <c r="K16" s="5">
        <v>3.3</v>
      </c>
      <c r="L16" s="5">
        <v>18.2</v>
      </c>
      <c r="M16" s="5">
        <v>13.7</v>
      </c>
      <c r="N16" s="5">
        <v>4.5</v>
      </c>
      <c r="O16" s="5">
        <v>0</v>
      </c>
      <c r="P16" s="5">
        <v>2.2999999999999998</v>
      </c>
      <c r="Q16" s="5">
        <v>1.3</v>
      </c>
      <c r="R16" s="5">
        <v>0.2</v>
      </c>
      <c r="S16" s="5">
        <v>0.37</v>
      </c>
      <c r="T16" s="5">
        <v>0.6</v>
      </c>
      <c r="U16" s="5">
        <v>0</v>
      </c>
      <c r="V16" s="5">
        <v>13</v>
      </c>
      <c r="W16" s="5">
        <v>0</v>
      </c>
      <c r="X16" s="5">
        <v>0</v>
      </c>
      <c r="Y16" s="5">
        <v>0</v>
      </c>
      <c r="Z16" s="5">
        <v>0.45</v>
      </c>
      <c r="AA16" s="5">
        <v>1</v>
      </c>
      <c r="AB16" s="5">
        <v>0.04</v>
      </c>
      <c r="AC16" s="5">
        <v>0.08</v>
      </c>
      <c r="AD16" s="5">
        <v>1.8</v>
      </c>
      <c r="AE16" s="5">
        <v>0.09</v>
      </c>
      <c r="AF16" s="5">
        <v>33</v>
      </c>
      <c r="AG16" s="5">
        <v>0</v>
      </c>
      <c r="AH16" s="5">
        <v>0.88</v>
      </c>
      <c r="AI16" s="5">
        <v>0</v>
      </c>
      <c r="AJ16" s="5">
        <v>1</v>
      </c>
      <c r="AK16" s="5">
        <v>3</v>
      </c>
      <c r="AL16" s="5">
        <v>69</v>
      </c>
      <c r="AM16" s="5">
        <v>0.6</v>
      </c>
      <c r="AN16" s="5">
        <v>1</v>
      </c>
      <c r="AO16" s="5">
        <v>0.3</v>
      </c>
      <c r="AP16" s="5">
        <v>22</v>
      </c>
      <c r="AQ16" s="5">
        <v>288</v>
      </c>
      <c r="AR16" s="5">
        <v>200</v>
      </c>
      <c r="AS16" s="5">
        <v>0.19</v>
      </c>
      <c r="AT16" s="5">
        <v>5.2999999999999999E-2</v>
      </c>
      <c r="AU16" s="5">
        <v>0.8</v>
      </c>
      <c r="AV16" s="5">
        <f>IFERROR(VLOOKUP(IFERROR(VLOOKUP(D16,Mapa_Similitud!$A$2:$B$2000,2,FALSE()),D16),Hoja1!$A$2:$K$1000,2,FALSE()),IFERROR(VLOOKUP(IFERROR(VLOOKUP(D16,Mapa_Similitud!$A$2:$B$2000,2,FALSE()),D16),Omega3_Referencia!$A$2:$E$100,3,FALSE()),0))</f>
        <v>0.02</v>
      </c>
      <c r="AW16" s="3" t="str">
        <f>IFERROR(VLOOKUP(IFERROR(VLOOKUP(D16,Mapa_Similitud!$A$2:$B$2000,2,FALSE()),D16),Hoja1!$A$2:$K$1000,3,FALSE()),IFERROR(VLOOKUP(IFERROR(VLOOKUP(D16,Mapa_Similitud!$A$2:$B$2000,2,FALSE()),D16),Omega3_Referencia!$A$2:$E$100,4,FALSE()),"N/A"))</f>
        <v>ALA</v>
      </c>
      <c r="AX16" s="5">
        <f>IFERROR(VLOOKUP(IFERROR(VLOOKUP(D16,Mapa_Similitud!$A$2:$B$2000,2,FALSE()),D16),Hoja1!$A$2:$K$1000,5,FALSE()),0)</f>
        <v>0</v>
      </c>
      <c r="AY16" s="5">
        <f>IFERROR(VLOOKUP(IFERROR(VLOOKUP(D16,Mapa_Similitud!$A$2:$B$2000,2,FALSE()),D16),Hoja1!$A$2:$K$1000,7,FALSE()),0)</f>
        <v>15</v>
      </c>
      <c r="AZ16" s="5">
        <f>IFERROR(VLOOKUP(IFERROR(VLOOKUP(D16,Mapa_Similitud!$A$2:$B$2000,2,FALSE()),D16),Hoja1!$A$2:$K$1000,9,FALSE()),0)</f>
        <v>0</v>
      </c>
      <c r="BA16" s="25">
        <f t="shared" si="0"/>
        <v>3.2352941176470584E-2</v>
      </c>
      <c r="BB16" s="25">
        <f t="shared" si="1"/>
        <v>2.2549019607843137E-2</v>
      </c>
      <c r="BC16" s="25">
        <f t="shared" si="2"/>
        <v>2.9411764705882353E-2</v>
      </c>
      <c r="BD16" s="25">
        <f t="shared" si="3"/>
        <v>5.8823529411764705E-3</v>
      </c>
      <c r="BE16" s="25">
        <f t="shared" si="4"/>
        <v>2.8235294117647061</v>
      </c>
      <c r="BF16" s="25">
        <f t="shared" si="5"/>
        <v>2.9999999999999996</v>
      </c>
      <c r="BG16" s="25">
        <f t="shared" si="6"/>
        <v>4.3478260869565216E-2</v>
      </c>
      <c r="BH16" s="25">
        <f t="shared" si="7"/>
        <v>0.15384615384615385</v>
      </c>
      <c r="BI16" s="25">
        <f t="shared" si="8"/>
        <v>1.44</v>
      </c>
      <c r="BJ16" s="25">
        <f t="shared" si="9"/>
        <v>0.24725274725274726</v>
      </c>
      <c r="BK16" s="25">
        <f t="shared" si="10"/>
        <v>0.12637362637362637</v>
      </c>
      <c r="BL16" s="25">
        <f t="shared" si="11"/>
        <v>0.11470588235294119</v>
      </c>
      <c r="BM16" s="25">
        <f t="shared" si="12"/>
        <v>0.21568627450980393</v>
      </c>
      <c r="BN16" s="18" t="str">
        <f t="shared" si="18"/>
        <v>Baja fuente de proteína</v>
      </c>
      <c r="BO16" s="18" t="str">
        <f t="shared" si="19"/>
        <v>Media fuente de fibra</v>
      </c>
      <c r="BP16" s="18" t="str">
        <f t="shared" si="20"/>
        <v>Baja fuente de calcio</v>
      </c>
      <c r="BQ16" s="18" t="str">
        <f t="shared" si="21"/>
        <v>Baja fuente de hierro</v>
      </c>
      <c r="BR16" s="18" t="str">
        <f t="shared" si="22"/>
        <v>Muy alto en sodio</v>
      </c>
      <c r="BS16" s="6" t="str">
        <f t="shared" si="13"/>
        <v>Altamente antiinflamatorio</v>
      </c>
      <c r="BT16" s="6" t="str">
        <f t="shared" si="14"/>
        <v>Bajo en grasas</v>
      </c>
      <c r="BU16" s="18" t="str">
        <f t="shared" si="23"/>
        <v>Alto riesgo de retención de líquidos</v>
      </c>
      <c r="BV16" s="18" t="str">
        <f t="shared" si="24"/>
        <v>Media fuente de magnesio</v>
      </c>
      <c r="BW16" s="18" t="str">
        <f t="shared" si="25"/>
        <v>Sin aporte de Omega 3</v>
      </c>
      <c r="BX16" s="18" t="str">
        <f t="shared" si="26"/>
        <v>Libre de grasas trans</v>
      </c>
      <c r="BY16" s="18" t="str">
        <f t="shared" si="27"/>
        <v>Medio poder antioxidante</v>
      </c>
      <c r="BZ16" s="6" t="str">
        <f t="shared" si="15"/>
        <v>Sin probióticos</v>
      </c>
      <c r="CA16" s="18" t="str">
        <f t="shared" si="28"/>
        <v>Poco inflamatorio</v>
      </c>
      <c r="CB16" s="18" t="str">
        <f>IF(ISNUMBER(SEARCH("miel", D16)), "No irritante (Uso condicionado SII)", IF(OR(J16&gt;0, ISNUMBER(SEARCH("cacao", D16)), ISNUMBER(SEARCH("chocolate puro", D16))), "Altamente irritante", IF(OR(AND(O16&gt;15, BI16&gt;1), ISNUMBER(SEARCH("chocolate", D16))), "Moderadamente irritante", "No irritante")))</f>
        <v>No irritante</v>
      </c>
      <c r="CC16" s="6" t="str">
        <f t="shared" si="16"/>
        <v>Exceso relativo de Omega 6</v>
      </c>
    </row>
    <row r="17" spans="1:81" ht="15" customHeight="1" x14ac:dyDescent="0.3">
      <c r="A17" s="2">
        <f t="shared" si="17"/>
        <v>16</v>
      </c>
      <c r="B17" s="3" t="s">
        <v>80</v>
      </c>
      <c r="C17" s="3" t="s">
        <v>83</v>
      </c>
      <c r="D17" s="3" t="s">
        <v>101</v>
      </c>
      <c r="E17" s="3"/>
      <c r="F17" s="4">
        <v>0.5</v>
      </c>
      <c r="G17" s="5">
        <v>0.59</v>
      </c>
      <c r="H17" s="5">
        <v>346</v>
      </c>
      <c r="I17" s="5">
        <v>13.7</v>
      </c>
      <c r="J17" s="5">
        <v>0</v>
      </c>
      <c r="K17" s="5">
        <v>8.6</v>
      </c>
      <c r="L17" s="5">
        <v>64.7</v>
      </c>
      <c r="M17" s="5">
        <v>58.5</v>
      </c>
      <c r="N17" s="5">
        <v>6.2</v>
      </c>
      <c r="O17" s="5">
        <v>0</v>
      </c>
      <c r="P17" s="5">
        <v>9.1999999999999993</v>
      </c>
      <c r="Q17" s="5">
        <v>3.8</v>
      </c>
      <c r="R17" s="5">
        <v>0.56999999999999995</v>
      </c>
      <c r="S17" s="5">
        <v>1</v>
      </c>
      <c r="T17" s="5">
        <v>1.5</v>
      </c>
      <c r="U17" s="5">
        <v>0</v>
      </c>
      <c r="V17" s="5">
        <v>21.4</v>
      </c>
      <c r="W17" s="5">
        <v>0</v>
      </c>
      <c r="X17" s="5">
        <v>129</v>
      </c>
      <c r="Y17" s="5">
        <v>0</v>
      </c>
      <c r="Z17" s="5">
        <v>1.1000000000000001</v>
      </c>
      <c r="AA17" s="5">
        <v>1</v>
      </c>
      <c r="AB17" s="5">
        <v>0.36</v>
      </c>
      <c r="AC17" s="5">
        <v>0.2</v>
      </c>
      <c r="AD17" s="5">
        <v>1.5</v>
      </c>
      <c r="AE17" s="5">
        <v>0.4</v>
      </c>
      <c r="AF17" s="5">
        <v>26</v>
      </c>
      <c r="AG17" s="5">
        <v>0</v>
      </c>
      <c r="AH17" s="5">
        <v>0.65</v>
      </c>
      <c r="AI17" s="5">
        <v>0</v>
      </c>
      <c r="AJ17" s="5">
        <v>0</v>
      </c>
      <c r="AK17" s="5">
        <v>7</v>
      </c>
      <c r="AL17" s="5">
        <v>256</v>
      </c>
      <c r="AM17" s="5">
        <v>2.4</v>
      </c>
      <c r="AN17" s="5">
        <v>2</v>
      </c>
      <c r="AO17" s="5">
        <v>1.7</v>
      </c>
      <c r="AP17" s="5">
        <v>93</v>
      </c>
      <c r="AQ17" s="5">
        <v>6</v>
      </c>
      <c r="AR17" s="5">
        <v>330</v>
      </c>
      <c r="AS17" s="5">
        <v>0.46</v>
      </c>
      <c r="AT17" s="5">
        <v>0.23</v>
      </c>
      <c r="AU17" s="5">
        <v>15.4</v>
      </c>
      <c r="AV17" s="5">
        <f>IFERROR(VLOOKUP(IFERROR(VLOOKUP(D17,Mapa_Similitud!$A$2:$B$2000,2,FALSE()),D17),Hoja1!$A$2:$K$1000,2,FALSE()),IFERROR(VLOOKUP(IFERROR(VLOOKUP(D17,Mapa_Similitud!$A$2:$B$2000,2,FALSE()),D17),Omega3_Referencia!$A$2:$E$100,3,FALSE()),0))</f>
        <v>0.02</v>
      </c>
      <c r="AW17" s="3" t="str">
        <f>IFERROR(VLOOKUP(IFERROR(VLOOKUP(D17,Mapa_Similitud!$A$2:$B$2000,2,FALSE()),D17),Hoja1!$A$2:$K$1000,3,FALSE()),IFERROR(VLOOKUP(IFERROR(VLOOKUP(D17,Mapa_Similitud!$A$2:$B$2000,2,FALSE()),D17),Omega3_Referencia!$A$2:$E$100,4,FALSE()),"N/A"))</f>
        <v>ALA</v>
      </c>
      <c r="AX17" s="5">
        <f>IFERROR(VLOOKUP(IFERROR(VLOOKUP(D17,Mapa_Similitud!$A$2:$B$2000,2,FALSE()),D17),Hoja1!$A$2:$K$1000,5,FALSE()),0)</f>
        <v>0</v>
      </c>
      <c r="AY17" s="5">
        <f>IFERROR(VLOOKUP(IFERROR(VLOOKUP(D17,Mapa_Similitud!$A$2:$B$2000,2,FALSE()),D17),Hoja1!$A$2:$K$1000,7,FALSE()),0)</f>
        <v>20</v>
      </c>
      <c r="AZ17" s="5">
        <f>IFERROR(VLOOKUP(IFERROR(VLOOKUP(D17,Mapa_Similitud!$A$2:$B$2000,2,FALSE()),D17),Hoja1!$A$2:$K$1000,9,FALSE()),0)</f>
        <v>0</v>
      </c>
      <c r="BA17" s="25">
        <f t="shared" si="0"/>
        <v>2.4855491329479767E-2</v>
      </c>
      <c r="BB17" s="25">
        <f t="shared" si="1"/>
        <v>2.658959537572254E-2</v>
      </c>
      <c r="BC17" s="25">
        <f t="shared" si="2"/>
        <v>2.023121387283237E-2</v>
      </c>
      <c r="BD17" s="25">
        <f t="shared" si="3"/>
        <v>6.9364161849710983E-3</v>
      </c>
      <c r="BE17" s="25">
        <f t="shared" si="4"/>
        <v>1.7341040462427744E-2</v>
      </c>
      <c r="BF17" s="25">
        <f t="shared" si="5"/>
        <v>2.6315789473684212</v>
      </c>
      <c r="BG17" s="25">
        <f t="shared" si="6"/>
        <v>2.734375E-2</v>
      </c>
      <c r="BH17" s="25">
        <f t="shared" si="7"/>
        <v>0.15</v>
      </c>
      <c r="BI17" s="25">
        <f t="shared" si="8"/>
        <v>1.8181818181818181E-2</v>
      </c>
      <c r="BJ17" s="25">
        <f t="shared" si="9"/>
        <v>9.5826893353941262E-2</v>
      </c>
      <c r="BK17" s="25">
        <f t="shared" si="10"/>
        <v>0.14219474497681606</v>
      </c>
      <c r="BL17" s="25">
        <f t="shared" si="11"/>
        <v>9.8843930635838143E-2</v>
      </c>
      <c r="BM17" s="25">
        <f t="shared" si="12"/>
        <v>0.26878612716763006</v>
      </c>
      <c r="BN17" s="18" t="str">
        <f t="shared" si="18"/>
        <v>Baja fuente de proteína</v>
      </c>
      <c r="BO17" s="18" t="str">
        <f t="shared" si="19"/>
        <v>Media fuente de fibra</v>
      </c>
      <c r="BP17" s="18" t="str">
        <f t="shared" si="20"/>
        <v>Baja fuente de calcio</v>
      </c>
      <c r="BQ17" s="18" t="str">
        <f t="shared" si="21"/>
        <v>Baja fuente de hierro</v>
      </c>
      <c r="BR17" s="18" t="str">
        <f t="shared" si="22"/>
        <v>Bajo en sodio</v>
      </c>
      <c r="BS17" s="6" t="str">
        <f t="shared" si="13"/>
        <v>Altamente antiinflamatorio</v>
      </c>
      <c r="BT17" s="6" t="str">
        <f t="shared" si="14"/>
        <v>Bajo en grasas</v>
      </c>
      <c r="BU17" s="18" t="str">
        <f t="shared" si="23"/>
        <v>Equilibrio de líquidos ideal</v>
      </c>
      <c r="BV17" s="18" t="str">
        <f t="shared" si="24"/>
        <v>Media fuente de magnesio</v>
      </c>
      <c r="BW17" s="18" t="str">
        <f t="shared" si="25"/>
        <v>Sin aporte de Omega 3</v>
      </c>
      <c r="BX17" s="18" t="str">
        <f t="shared" si="26"/>
        <v>Libre de grasas trans</v>
      </c>
      <c r="BY17" s="18" t="str">
        <f t="shared" si="27"/>
        <v>Medio poder antioxidante</v>
      </c>
      <c r="BZ17" s="6" t="str">
        <f t="shared" si="15"/>
        <v>Sin probióticos</v>
      </c>
      <c r="CA17" s="18" t="str">
        <f t="shared" si="28"/>
        <v>Poco inflamatorio</v>
      </c>
      <c r="CB17" s="18" t="str">
        <f>IF(ISNUMBER(SEARCH("miel", D17)), "No irritante (Uso condicionado SII)", IF(OR(J17&gt;0, ISNUMBER(SEARCH("cacao", D17)), ISNUMBER(SEARCH("chocolate puro", D17))), "Altamente irritante", IF(OR(AND(O17&gt;15, BI17&gt;1), ISNUMBER(SEARCH("chocolate", D17))), "Moderadamente irritante", "No irritante")))</f>
        <v>No irritante</v>
      </c>
      <c r="CC17" s="6" t="str">
        <f t="shared" si="16"/>
        <v>Exceso relativo de Omega 6</v>
      </c>
    </row>
    <row r="18" spans="1:81" ht="15" customHeight="1" x14ac:dyDescent="0.3">
      <c r="A18" s="2">
        <f t="shared" si="17"/>
        <v>17</v>
      </c>
      <c r="B18" s="3" t="s">
        <v>80</v>
      </c>
      <c r="C18" s="3" t="s">
        <v>83</v>
      </c>
      <c r="D18" s="3" t="s">
        <v>102</v>
      </c>
      <c r="E18" s="3"/>
      <c r="F18" s="4">
        <v>0.8</v>
      </c>
      <c r="G18" s="5">
        <v>0.59</v>
      </c>
      <c r="H18" s="5">
        <v>110</v>
      </c>
      <c r="I18" s="5">
        <v>72.3</v>
      </c>
      <c r="J18" s="5">
        <v>0</v>
      </c>
      <c r="K18" s="5">
        <v>3.4</v>
      </c>
      <c r="L18" s="5">
        <v>18.600000000000001</v>
      </c>
      <c r="M18" s="5">
        <v>14</v>
      </c>
      <c r="N18" s="5">
        <v>4.5</v>
      </c>
      <c r="O18" s="5">
        <v>0</v>
      </c>
      <c r="P18" s="5">
        <v>4.2</v>
      </c>
      <c r="Q18" s="5">
        <v>1.5</v>
      </c>
      <c r="R18" s="5">
        <v>0.2</v>
      </c>
      <c r="S18" s="5">
        <v>0.4</v>
      </c>
      <c r="T18" s="5">
        <v>0.6</v>
      </c>
      <c r="U18" s="5">
        <v>0</v>
      </c>
      <c r="V18" s="5">
        <v>26.3</v>
      </c>
      <c r="W18" s="5">
        <v>0</v>
      </c>
      <c r="X18" s="5">
        <v>158</v>
      </c>
      <c r="Y18" s="5">
        <v>0</v>
      </c>
      <c r="Z18" s="5">
        <v>0.7</v>
      </c>
      <c r="AA18" s="5">
        <v>1</v>
      </c>
      <c r="AB18" s="5">
        <v>0.22</v>
      </c>
      <c r="AC18" s="5">
        <v>7.0000000000000007E-2</v>
      </c>
      <c r="AD18" s="5">
        <v>2</v>
      </c>
      <c r="AE18" s="5">
        <v>0.1</v>
      </c>
      <c r="AF18" s="5">
        <v>31</v>
      </c>
      <c r="AG18" s="5">
        <v>0</v>
      </c>
      <c r="AH18" s="5">
        <v>0.37</v>
      </c>
      <c r="AI18" s="5">
        <v>0</v>
      </c>
      <c r="AJ18" s="5">
        <v>7</v>
      </c>
      <c r="AK18" s="5">
        <v>3</v>
      </c>
      <c r="AL18" s="5">
        <v>103</v>
      </c>
      <c r="AM18" s="5">
        <v>0.6</v>
      </c>
      <c r="AN18" s="5">
        <v>1</v>
      </c>
      <c r="AO18" s="5">
        <v>0.3</v>
      </c>
      <c r="AP18" s="5">
        <v>33</v>
      </c>
      <c r="AQ18" s="5">
        <v>17</v>
      </c>
      <c r="AR18" s="5">
        <v>251</v>
      </c>
      <c r="AS18" s="5">
        <v>0.14000000000000001</v>
      </c>
      <c r="AT18" s="5">
        <v>4.5999999999999999E-2</v>
      </c>
      <c r="AU18" s="5">
        <v>0.7</v>
      </c>
      <c r="AV18" s="5">
        <f>IFERROR(VLOOKUP(IFERROR(VLOOKUP(D18,Mapa_Similitud!$A$2:$B$2000,2,FALSE()),D18),Hoja1!$A$2:$K$1000,2,FALSE()),IFERROR(VLOOKUP(IFERROR(VLOOKUP(D18,Mapa_Similitud!$A$2:$B$2000,2,FALSE()),D18),Omega3_Referencia!$A$2:$E$100,3,FALSE()),0))</f>
        <v>0.02</v>
      </c>
      <c r="AW18" s="3" t="str">
        <f>IFERROR(VLOOKUP(IFERROR(VLOOKUP(D18,Mapa_Similitud!$A$2:$B$2000,2,FALSE()),D18),Hoja1!$A$2:$K$1000,3,FALSE()),IFERROR(VLOOKUP(IFERROR(VLOOKUP(D18,Mapa_Similitud!$A$2:$B$2000,2,FALSE()),D18),Omega3_Referencia!$A$2:$E$100,4,FALSE()),"N/A"))</f>
        <v>ALA</v>
      </c>
      <c r="AX18" s="5">
        <f>IFERROR(VLOOKUP(IFERROR(VLOOKUP(D18,Mapa_Similitud!$A$2:$B$2000,2,FALSE()),D18),Hoja1!$A$2:$K$1000,5,FALSE()),0)</f>
        <v>0</v>
      </c>
      <c r="AY18" s="5">
        <f>IFERROR(VLOOKUP(IFERROR(VLOOKUP(D18,Mapa_Similitud!$A$2:$B$2000,2,FALSE()),D18),Hoja1!$A$2:$K$1000,7,FALSE()),0)</f>
        <v>18</v>
      </c>
      <c r="AZ18" s="5">
        <f>IFERROR(VLOOKUP(IFERROR(VLOOKUP(D18,Mapa_Similitud!$A$2:$B$2000,2,FALSE()),D18),Hoja1!$A$2:$K$1000,9,FALSE()),0)</f>
        <v>0</v>
      </c>
      <c r="BA18" s="25">
        <f t="shared" si="0"/>
        <v>3.0909090909090907E-2</v>
      </c>
      <c r="BB18" s="25">
        <f t="shared" si="1"/>
        <v>3.8181818181818185E-2</v>
      </c>
      <c r="BC18" s="25">
        <f t="shared" si="2"/>
        <v>2.7272727272727271E-2</v>
      </c>
      <c r="BD18" s="25">
        <f t="shared" si="3"/>
        <v>5.4545454545454541E-3</v>
      </c>
      <c r="BE18" s="25">
        <f t="shared" si="4"/>
        <v>0.15454545454545454</v>
      </c>
      <c r="BF18" s="25">
        <f t="shared" si="5"/>
        <v>2.9999999999999996</v>
      </c>
      <c r="BG18" s="25">
        <f t="shared" si="6"/>
        <v>2.9126213592233011E-2</v>
      </c>
      <c r="BH18" s="25">
        <f t="shared" si="7"/>
        <v>0.13333333333333333</v>
      </c>
      <c r="BI18" s="25">
        <f t="shared" si="8"/>
        <v>6.7729083665338641E-2</v>
      </c>
      <c r="BJ18" s="25">
        <f t="shared" si="9"/>
        <v>0.24193548387096772</v>
      </c>
      <c r="BK18" s="25">
        <f t="shared" si="10"/>
        <v>0.22580645161290322</v>
      </c>
      <c r="BL18" s="25">
        <f t="shared" si="11"/>
        <v>0.12272727272727273</v>
      </c>
      <c r="BM18" s="25">
        <f t="shared" si="12"/>
        <v>0.3</v>
      </c>
      <c r="BN18" s="18" t="str">
        <f t="shared" si="18"/>
        <v>Baja fuente de proteína</v>
      </c>
      <c r="BO18" s="18" t="str">
        <f t="shared" si="19"/>
        <v>Alta fuente de fibra</v>
      </c>
      <c r="BP18" s="18" t="str">
        <f t="shared" si="20"/>
        <v>Baja fuente de calcio</v>
      </c>
      <c r="BQ18" s="18" t="str">
        <f t="shared" si="21"/>
        <v>Baja fuente de hierro</v>
      </c>
      <c r="BR18" s="18" t="str">
        <f t="shared" si="22"/>
        <v>Bajo en sodio</v>
      </c>
      <c r="BS18" s="6" t="str">
        <f t="shared" si="13"/>
        <v>Altamente antiinflamatorio</v>
      </c>
      <c r="BT18" s="6" t="str">
        <f t="shared" si="14"/>
        <v>Bajo en grasas</v>
      </c>
      <c r="BU18" s="18" t="str">
        <f t="shared" si="23"/>
        <v>Equilibrio de líquidos ideal</v>
      </c>
      <c r="BV18" s="18" t="str">
        <f t="shared" si="24"/>
        <v>Media fuente de magnesio</v>
      </c>
      <c r="BW18" s="18" t="str">
        <f t="shared" si="25"/>
        <v>Sin aporte de Omega 3</v>
      </c>
      <c r="BX18" s="18" t="str">
        <f t="shared" si="26"/>
        <v>Libre de grasas trans</v>
      </c>
      <c r="BY18" s="18" t="str">
        <f t="shared" si="27"/>
        <v>Medio poder antioxidante</v>
      </c>
      <c r="BZ18" s="6" t="str">
        <f t="shared" si="15"/>
        <v>Sin probióticos</v>
      </c>
      <c r="CA18" s="18" t="str">
        <f t="shared" si="28"/>
        <v>Poco inflamatorio</v>
      </c>
      <c r="CB18" s="18" t="str">
        <f>IF(ISNUMBER(SEARCH("miel", D18)), "No irritante (Uso condicionado SII)", IF(OR(J18&gt;0, ISNUMBER(SEARCH("cacao", D18)), ISNUMBER(SEARCH("chocolate puro", D18))), "Altamente irritante", IF(OR(AND(O18&gt;15, BI18&gt;1), ISNUMBER(SEARCH("chocolate", D18))), "Moderadamente irritante", "No irritante")))</f>
        <v>No irritante</v>
      </c>
      <c r="CC18" s="6" t="str">
        <f t="shared" si="16"/>
        <v>Exceso relativo de Omega 6</v>
      </c>
    </row>
    <row r="19" spans="1:81" ht="15" customHeight="1" x14ac:dyDescent="0.3">
      <c r="A19" s="2">
        <f t="shared" si="17"/>
        <v>18</v>
      </c>
      <c r="B19" s="3" t="s">
        <v>80</v>
      </c>
      <c r="C19" s="3" t="s">
        <v>83</v>
      </c>
      <c r="D19" s="3" t="s">
        <v>103</v>
      </c>
      <c r="E19" s="3"/>
      <c r="F19" s="4">
        <v>1.5</v>
      </c>
      <c r="G19" s="5">
        <v>1</v>
      </c>
      <c r="H19" s="5">
        <v>354</v>
      </c>
      <c r="I19" s="5">
        <v>13.3</v>
      </c>
      <c r="J19" s="5">
        <v>0</v>
      </c>
      <c r="K19" s="5">
        <v>14.1</v>
      </c>
      <c r="L19" s="5">
        <v>57.2</v>
      </c>
      <c r="M19" s="5">
        <v>52.2</v>
      </c>
      <c r="N19" s="5">
        <v>5</v>
      </c>
      <c r="O19" s="5">
        <v>0</v>
      </c>
      <c r="P19" s="5">
        <v>7</v>
      </c>
      <c r="Q19" s="5">
        <v>6.1</v>
      </c>
      <c r="R19" s="5">
        <v>0.71</v>
      </c>
      <c r="S19" s="5">
        <v>1.6</v>
      </c>
      <c r="T19" s="5">
        <v>3.3</v>
      </c>
      <c r="U19" s="5">
        <v>0</v>
      </c>
      <c r="V19" s="5">
        <v>1.4</v>
      </c>
      <c r="W19" s="5">
        <v>0</v>
      </c>
      <c r="X19" s="5">
        <v>8.5</v>
      </c>
      <c r="Y19" s="5">
        <v>0</v>
      </c>
      <c r="Z19" s="5">
        <v>2.9</v>
      </c>
      <c r="AA19" s="5">
        <v>0</v>
      </c>
      <c r="AB19" s="5">
        <v>0.36</v>
      </c>
      <c r="AC19" s="5">
        <v>0.32</v>
      </c>
      <c r="AD19" s="5">
        <v>1.5</v>
      </c>
      <c r="AE19" s="5">
        <v>0.49</v>
      </c>
      <c r="AF19" s="5">
        <v>184</v>
      </c>
      <c r="AG19" s="5">
        <v>0</v>
      </c>
      <c r="AH19" s="5">
        <v>0</v>
      </c>
      <c r="AI19" s="5">
        <v>0</v>
      </c>
      <c r="AJ19" s="5">
        <v>0</v>
      </c>
      <c r="AK19" s="5">
        <v>0.33</v>
      </c>
      <c r="AL19" s="5">
        <v>457</v>
      </c>
      <c r="AM19" s="5">
        <v>4.5999999999999996</v>
      </c>
      <c r="AN19" s="5">
        <v>0</v>
      </c>
      <c r="AO19" s="5">
        <v>3.1</v>
      </c>
      <c r="AP19" s="5">
        <v>197</v>
      </c>
      <c r="AQ19" s="5">
        <v>5</v>
      </c>
      <c r="AR19" s="5">
        <v>563</v>
      </c>
      <c r="AS19" s="5">
        <v>2</v>
      </c>
      <c r="AT19" s="5">
        <v>0.59</v>
      </c>
      <c r="AU19" s="5">
        <v>8.5</v>
      </c>
      <c r="AV19" s="5">
        <f>IFERROR(VLOOKUP(IFERROR(VLOOKUP(D19,Mapa_Similitud!$A$2:$B$2000,2,FALSE()),D19),Hoja1!$A$2:$K$1000,2,FALSE()),IFERROR(VLOOKUP(IFERROR(VLOOKUP(D19,Mapa_Similitud!$A$2:$B$2000,2,FALSE()),D19),Omega3_Referencia!$A$2:$E$100,3,FALSE()),0))</f>
        <v>0.26</v>
      </c>
      <c r="AW19" s="3" t="str">
        <f>IFERROR(VLOOKUP(IFERROR(VLOOKUP(D19,Mapa_Similitud!$A$2:$B$2000,2,FALSE()),D19),Hoja1!$A$2:$K$1000,3,FALSE()),IFERROR(VLOOKUP(IFERROR(VLOOKUP(D19,Mapa_Similitud!$A$2:$B$2000,2,FALSE()),D19),Omega3_Referencia!$A$2:$E$100,4,FALSE()),"N/A"))</f>
        <v>ALA</v>
      </c>
      <c r="AX19" s="5">
        <f>IFERROR(VLOOKUP(IFERROR(VLOOKUP(D19,Mapa_Similitud!$A$2:$B$2000,2,FALSE()),D19),Hoja1!$A$2:$K$1000,5,FALSE()),0)</f>
        <v>0</v>
      </c>
      <c r="AY19" s="5">
        <f>IFERROR(VLOOKUP(IFERROR(VLOOKUP(D19,Mapa_Similitud!$A$2:$B$2000,2,FALSE()),D19),Hoja1!$A$2:$K$1000,7,FALSE()),0)</f>
        <v>45</v>
      </c>
      <c r="AZ19" s="5">
        <f>IFERROR(VLOOKUP(IFERROR(VLOOKUP(D19,Mapa_Similitud!$A$2:$B$2000,2,FALSE()),D19),Hoja1!$A$2:$K$1000,9,FALSE()),0)</f>
        <v>0</v>
      </c>
      <c r="BA19" s="25">
        <f t="shared" si="0"/>
        <v>3.9830508474576268E-2</v>
      </c>
      <c r="BB19" s="25">
        <f t="shared" si="1"/>
        <v>1.977401129943503E-2</v>
      </c>
      <c r="BC19" s="25">
        <f t="shared" si="2"/>
        <v>9.3220338983050852E-4</v>
      </c>
      <c r="BD19" s="25">
        <f t="shared" si="3"/>
        <v>1.2994350282485875E-2</v>
      </c>
      <c r="BE19" s="25">
        <f t="shared" si="4"/>
        <v>1.4124293785310734E-2</v>
      </c>
      <c r="BF19" s="25">
        <f t="shared" si="5"/>
        <v>4.647887323943662</v>
      </c>
      <c r="BG19" s="25">
        <f t="shared" si="6"/>
        <v>7.2210065645514224E-4</v>
      </c>
      <c r="BH19" s="25">
        <f t="shared" si="7"/>
        <v>0.11639344262295082</v>
      </c>
      <c r="BI19" s="25">
        <f t="shared" si="8"/>
        <v>8.8809946714031966E-3</v>
      </c>
      <c r="BJ19" s="25">
        <f t="shared" si="9"/>
        <v>8.7412587412587409E-2</v>
      </c>
      <c r="BK19" s="25">
        <f t="shared" si="10"/>
        <v>0.12237762237762237</v>
      </c>
      <c r="BL19" s="25">
        <f t="shared" si="11"/>
        <v>0.15508474576271186</v>
      </c>
      <c r="BM19" s="25">
        <f t="shared" si="12"/>
        <v>0.55649717514124297</v>
      </c>
      <c r="BN19" s="18" t="str">
        <f t="shared" si="18"/>
        <v>Baja fuente de proteína</v>
      </c>
      <c r="BO19" s="18" t="str">
        <f t="shared" si="19"/>
        <v>Media fuente de fibra</v>
      </c>
      <c r="BP19" s="18" t="str">
        <f t="shared" si="20"/>
        <v>Baja fuente de calcio</v>
      </c>
      <c r="BQ19" s="18" t="str">
        <f t="shared" si="21"/>
        <v>Media fuente de hierro</v>
      </c>
      <c r="BR19" s="18" t="str">
        <f t="shared" si="22"/>
        <v>Bajo en sodio</v>
      </c>
      <c r="BS19" s="6" t="str">
        <f t="shared" si="13"/>
        <v>Altamente antiinflamatorio</v>
      </c>
      <c r="BT19" s="6" t="str">
        <f t="shared" si="14"/>
        <v>Bajo en grasas</v>
      </c>
      <c r="BU19" s="18" t="str">
        <f t="shared" si="23"/>
        <v>Equilibrio de líquidos ideal</v>
      </c>
      <c r="BV19" s="18" t="str">
        <f t="shared" si="24"/>
        <v>Alta fuente de magnesio</v>
      </c>
      <c r="BW19" s="18" t="str">
        <f t="shared" si="25"/>
        <v>Ligera fuente de Omega 3</v>
      </c>
      <c r="BX19" s="18" t="str">
        <f t="shared" si="26"/>
        <v>Libre de grasas trans</v>
      </c>
      <c r="BY19" s="18" t="str">
        <f t="shared" si="27"/>
        <v>Medio poder antioxidante</v>
      </c>
      <c r="BZ19" s="6" t="str">
        <f t="shared" si="15"/>
        <v>Sin probióticos</v>
      </c>
      <c r="CA19" s="18" t="str">
        <f t="shared" si="28"/>
        <v>Poco inflamatorio</v>
      </c>
      <c r="CB19" s="18" t="str">
        <f>IF(ISNUMBER(SEARCH("miel", D19)), "No irritante (Uso condicionado SII)", IF(OR(J19&gt;0, ISNUMBER(SEARCH("cacao", D19)), ISNUMBER(SEARCH("chocolate puro", D19))), "Altamente irritante", IF(OR(AND(O19&gt;15, BI19&gt;1), ISNUMBER(SEARCH("chocolate", D19))), "Moderadamente irritante", "No irritante")))</f>
        <v>No irritante</v>
      </c>
      <c r="CC19" s="6" t="str">
        <f t="shared" si="16"/>
        <v>Exceso relativo de Omega 6</v>
      </c>
    </row>
    <row r="20" spans="1:81" ht="15" customHeight="1" x14ac:dyDescent="0.3">
      <c r="A20" s="2">
        <f t="shared" si="17"/>
        <v>19</v>
      </c>
      <c r="B20" s="3" t="s">
        <v>80</v>
      </c>
      <c r="C20" s="3" t="s">
        <v>83</v>
      </c>
      <c r="D20" s="3" t="s">
        <v>104</v>
      </c>
      <c r="E20" s="3"/>
      <c r="F20" s="4">
        <v>1.1000000000000001</v>
      </c>
      <c r="G20" s="5">
        <v>1</v>
      </c>
      <c r="H20" s="5">
        <v>351</v>
      </c>
      <c r="I20" s="5">
        <v>10.1</v>
      </c>
      <c r="J20" s="5">
        <v>0</v>
      </c>
      <c r="K20" s="5">
        <v>12.7</v>
      </c>
      <c r="L20" s="5">
        <v>69</v>
      </c>
      <c r="M20" s="5">
        <v>68.7</v>
      </c>
      <c r="N20" s="5">
        <v>0.32</v>
      </c>
      <c r="O20" s="5">
        <v>0</v>
      </c>
      <c r="P20" s="5">
        <v>7.2</v>
      </c>
      <c r="Q20" s="5">
        <v>1.1000000000000001</v>
      </c>
      <c r="R20" s="5">
        <v>0.15</v>
      </c>
      <c r="S20" s="5">
        <v>0.12</v>
      </c>
      <c r="T20" s="5">
        <v>0.43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0.26</v>
      </c>
      <c r="AA20" s="5">
        <v>98.2</v>
      </c>
      <c r="AB20" s="5">
        <v>0.28000000000000003</v>
      </c>
      <c r="AC20" s="5">
        <v>0.08</v>
      </c>
      <c r="AD20" s="5">
        <v>6</v>
      </c>
      <c r="AE20" s="5">
        <v>0.1</v>
      </c>
      <c r="AF20" s="5">
        <v>72</v>
      </c>
      <c r="AG20" s="5">
        <v>0</v>
      </c>
      <c r="AH20" s="5">
        <v>0.57999999999999996</v>
      </c>
      <c r="AI20" s="5">
        <v>0</v>
      </c>
      <c r="AJ20" s="5">
        <v>0</v>
      </c>
      <c r="AK20" s="5">
        <v>17</v>
      </c>
      <c r="AL20" s="5">
        <v>136</v>
      </c>
      <c r="AM20" s="5">
        <v>1.2</v>
      </c>
      <c r="AN20" s="5">
        <v>5.0999999999999996</v>
      </c>
      <c r="AO20" s="5">
        <v>1.1000000000000001</v>
      </c>
      <c r="AP20" s="5">
        <v>47</v>
      </c>
      <c r="AQ20" s="5">
        <v>1</v>
      </c>
      <c r="AR20" s="5">
        <v>186</v>
      </c>
      <c r="AS20" s="5">
        <v>0.62</v>
      </c>
      <c r="AT20" s="5">
        <v>0.19</v>
      </c>
      <c r="AU20" s="5">
        <v>2.5</v>
      </c>
      <c r="AV20" s="5">
        <f>IFERROR(VLOOKUP(IFERROR(VLOOKUP(D20,Mapa_Similitud!$A$2:$B$2000,2,FALSE()),D20),Hoja1!$A$2:$K$1000,2,FALSE()),IFERROR(VLOOKUP(IFERROR(VLOOKUP(D20,Mapa_Similitud!$A$2:$B$2000,2,FALSE()),D20),Omega3_Referencia!$A$2:$E$100,3,FALSE()),0))</f>
        <v>0.02</v>
      </c>
      <c r="AW20" s="3" t="str">
        <f>IFERROR(VLOOKUP(IFERROR(VLOOKUP(D20,Mapa_Similitud!$A$2:$B$2000,2,FALSE()),D20),Hoja1!$A$2:$K$1000,3,FALSE()),IFERROR(VLOOKUP(IFERROR(VLOOKUP(D20,Mapa_Similitud!$A$2:$B$2000,2,FALSE()),D20),Omega3_Referencia!$A$2:$E$100,4,FALSE()),"N/A"))</f>
        <v>ALA</v>
      </c>
      <c r="AX20" s="5">
        <f>IFERROR(VLOOKUP(IFERROR(VLOOKUP(D20,Mapa_Similitud!$A$2:$B$2000,2,FALSE()),D20),Hoja1!$A$2:$K$1000,5,FALSE()),0)</f>
        <v>0</v>
      </c>
      <c r="AY20" s="5">
        <f>IFERROR(VLOOKUP(IFERROR(VLOOKUP(D20,Mapa_Similitud!$A$2:$B$2000,2,FALSE()),D20),Hoja1!$A$2:$K$1000,7,FALSE()),0)</f>
        <v>12</v>
      </c>
      <c r="AZ20" s="5">
        <f>IFERROR(VLOOKUP(IFERROR(VLOOKUP(D20,Mapa_Similitud!$A$2:$B$2000,2,FALSE()),D20),Hoja1!$A$2:$K$1000,9,FALSE()),0)</f>
        <v>0</v>
      </c>
      <c r="BA20" s="25">
        <f t="shared" si="0"/>
        <v>3.6182336182336183E-2</v>
      </c>
      <c r="BB20" s="25">
        <f t="shared" si="1"/>
        <v>2.0512820512820513E-2</v>
      </c>
      <c r="BC20" s="25">
        <f t="shared" si="2"/>
        <v>4.843304843304843E-2</v>
      </c>
      <c r="BD20" s="25">
        <f t="shared" si="3"/>
        <v>3.4188034188034188E-3</v>
      </c>
      <c r="BE20" s="25">
        <f t="shared" si="4"/>
        <v>2.8490028490028491E-3</v>
      </c>
      <c r="BF20" s="25">
        <f t="shared" si="5"/>
        <v>2.8666666666666667</v>
      </c>
      <c r="BG20" s="25">
        <f t="shared" si="6"/>
        <v>0.125</v>
      </c>
      <c r="BH20" s="25">
        <f t="shared" si="7"/>
        <v>0.13636363636363635</v>
      </c>
      <c r="BI20" s="25">
        <f t="shared" si="8"/>
        <v>5.3763440860215058E-3</v>
      </c>
      <c r="BJ20" s="25">
        <f t="shared" si="9"/>
        <v>4.6376811594202897E-3</v>
      </c>
      <c r="BK20" s="25">
        <f t="shared" si="10"/>
        <v>0.10434782608695653</v>
      </c>
      <c r="BL20" s="25">
        <f t="shared" si="11"/>
        <v>2.8205128205128206E-2</v>
      </c>
      <c r="BM20" s="25">
        <f t="shared" si="12"/>
        <v>0.13390313390313391</v>
      </c>
      <c r="BN20" s="18" t="str">
        <f t="shared" si="18"/>
        <v>Baja fuente de proteína</v>
      </c>
      <c r="BO20" s="18" t="str">
        <f t="shared" si="19"/>
        <v>Media fuente de fibra</v>
      </c>
      <c r="BP20" s="18" t="str">
        <f t="shared" si="20"/>
        <v>Baja fuente de calcio</v>
      </c>
      <c r="BQ20" s="18" t="str">
        <f t="shared" si="21"/>
        <v>Baja fuente de hierro</v>
      </c>
      <c r="BR20" s="18" t="str">
        <f t="shared" si="22"/>
        <v>Bajo en sodio</v>
      </c>
      <c r="BS20" s="6" t="str">
        <f t="shared" si="13"/>
        <v>Altamente antiinflamatorio</v>
      </c>
      <c r="BT20" s="6" t="str">
        <f t="shared" si="14"/>
        <v>Bajo en grasas</v>
      </c>
      <c r="BU20" s="18" t="str">
        <f t="shared" si="23"/>
        <v>Equilibrio de líquidos ideal</v>
      </c>
      <c r="BV20" s="18" t="str">
        <f t="shared" si="24"/>
        <v>Baja fuente de magnesio</v>
      </c>
      <c r="BW20" s="18" t="str">
        <f t="shared" si="25"/>
        <v>Sin aporte de Omega 3</v>
      </c>
      <c r="BX20" s="18" t="str">
        <f t="shared" si="26"/>
        <v>Libre de grasas trans</v>
      </c>
      <c r="BY20" s="18" t="str">
        <f t="shared" si="27"/>
        <v>Medio poder antioxidante</v>
      </c>
      <c r="BZ20" s="6" t="str">
        <f t="shared" si="15"/>
        <v>Sin probióticos</v>
      </c>
      <c r="CA20" s="18" t="str">
        <f t="shared" si="28"/>
        <v>Poco inflamatorio</v>
      </c>
      <c r="CB20" s="18" t="str">
        <f>IF(ISNUMBER(SEARCH("miel", D20)), "No irritante (Uso condicionado SII)", IF(OR(J20&gt;0, ISNUMBER(SEARCH("cacao", D20)), ISNUMBER(SEARCH("chocolate puro", D20))), "Altamente irritante", IF(OR(AND(O20&gt;15, BI20&gt;1), ISNUMBER(SEARCH("chocolate", D20))), "Moderadamente irritante", "No irritante")))</f>
        <v>No irritante</v>
      </c>
      <c r="CC20" s="6" t="str">
        <f t="shared" si="16"/>
        <v>Exceso relativo de Omega 6</v>
      </c>
    </row>
    <row r="21" spans="1:81" ht="15" customHeight="1" x14ac:dyDescent="0.3">
      <c r="A21" s="2">
        <f t="shared" si="17"/>
        <v>20</v>
      </c>
      <c r="B21" s="3" t="s">
        <v>80</v>
      </c>
      <c r="C21" s="3" t="s">
        <v>105</v>
      </c>
      <c r="D21" s="3" t="s">
        <v>106</v>
      </c>
      <c r="E21" s="3"/>
      <c r="F21" s="4">
        <v>2.5</v>
      </c>
      <c r="G21" s="5">
        <v>1</v>
      </c>
      <c r="H21" s="5">
        <v>544</v>
      </c>
      <c r="I21" s="5">
        <v>8.4</v>
      </c>
      <c r="J21" s="5">
        <v>0</v>
      </c>
      <c r="K21" s="5">
        <v>7.4</v>
      </c>
      <c r="L21" s="5">
        <v>41.3</v>
      </c>
      <c r="M21" s="5">
        <v>39.4</v>
      </c>
      <c r="N21" s="5">
        <v>1.9</v>
      </c>
      <c r="O21" s="5">
        <v>0</v>
      </c>
      <c r="P21" s="5">
        <v>1.5</v>
      </c>
      <c r="Q21" s="5">
        <v>38.5</v>
      </c>
      <c r="R21" s="5">
        <v>5.5</v>
      </c>
      <c r="S21" s="5">
        <v>8.3000000000000007</v>
      </c>
      <c r="T21" s="5">
        <v>22.2</v>
      </c>
      <c r="U21" s="5">
        <v>1</v>
      </c>
      <c r="V21" s="5">
        <v>0</v>
      </c>
      <c r="W21" s="5">
        <v>0</v>
      </c>
      <c r="X21" s="5">
        <v>0</v>
      </c>
      <c r="Y21" s="5">
        <v>1</v>
      </c>
      <c r="Z21" s="5">
        <v>2.4</v>
      </c>
      <c r="AA21" s="5">
        <v>14.4</v>
      </c>
      <c r="AB21" s="5">
        <v>0.32</v>
      </c>
      <c r="AC21" s="5">
        <v>0.25</v>
      </c>
      <c r="AD21" s="5">
        <v>5.2</v>
      </c>
      <c r="AE21" s="5">
        <v>1.9E-2</v>
      </c>
      <c r="AF21" s="5">
        <v>47</v>
      </c>
      <c r="AG21" s="5">
        <v>0</v>
      </c>
      <c r="AH21" s="5">
        <v>0</v>
      </c>
      <c r="AI21" s="5">
        <v>0</v>
      </c>
      <c r="AJ21" s="5">
        <v>0</v>
      </c>
      <c r="AK21" s="5">
        <v>10</v>
      </c>
      <c r="AL21" s="5">
        <v>60</v>
      </c>
      <c r="AM21" s="5">
        <v>2.6</v>
      </c>
      <c r="AN21" s="5">
        <v>17.2</v>
      </c>
      <c r="AO21" s="5">
        <v>0.54</v>
      </c>
      <c r="AP21" s="5">
        <v>16</v>
      </c>
      <c r="AQ21" s="5">
        <v>253</v>
      </c>
      <c r="AR21" s="5">
        <v>62</v>
      </c>
      <c r="AS21" s="5">
        <v>0.49</v>
      </c>
      <c r="AT21" s="5">
        <v>0.11</v>
      </c>
      <c r="AU21" s="5">
        <v>24.5</v>
      </c>
      <c r="AV21" s="5">
        <f>IFERROR(VLOOKUP(IFERROR(VLOOKUP(D21,Mapa_Similitud!$A$2:$B$2000,2,FALSE()),D21),Hoja1!$A$2:$K$1000,2,FALSE()),IFERROR(VLOOKUP(IFERROR(VLOOKUP(D21,Mapa_Similitud!$A$2:$B$2000,2,FALSE()),D21),Omega3_Referencia!$A$2:$E$100,3,FALSE()),0))</f>
        <v>0.05</v>
      </c>
      <c r="AW21" s="3" t="str">
        <f>IFERROR(VLOOKUP(IFERROR(VLOOKUP(D21,Mapa_Similitud!$A$2:$B$2000,2,FALSE()),D21),Hoja1!$A$2:$K$1000,3,FALSE()),IFERROR(VLOOKUP(IFERROR(VLOOKUP(D21,Mapa_Similitud!$A$2:$B$2000,2,FALSE()),D21),Omega3_Referencia!$A$2:$E$100,4,FALSE()),"N/A"))</f>
        <v>ALA</v>
      </c>
      <c r="AX21" s="5">
        <f>IFERROR(VLOOKUP(IFERROR(VLOOKUP(D21,Mapa_Similitud!$A$2:$B$2000,2,FALSE()),D21),Hoja1!$A$2:$K$1000,5,FALSE()),0)</f>
        <v>2.8</v>
      </c>
      <c r="AY21" s="5">
        <f>IFERROR(VLOOKUP(IFERROR(VLOOKUP(D21,Mapa_Similitud!$A$2:$B$2000,2,FALSE()),D21),Hoja1!$A$2:$K$1000,7,FALSE()),0)</f>
        <v>5</v>
      </c>
      <c r="AZ21" s="5">
        <f>IFERROR(VLOOKUP(IFERROR(VLOOKUP(D21,Mapa_Similitud!$A$2:$B$2000,2,FALSE()),D21),Hoja1!$A$2:$K$1000,9,FALSE()),0)</f>
        <v>0</v>
      </c>
      <c r="BA21" s="25">
        <f t="shared" si="0"/>
        <v>1.3602941176470588E-2</v>
      </c>
      <c r="BB21" s="25">
        <f t="shared" si="1"/>
        <v>2.7573529411764708E-3</v>
      </c>
      <c r="BC21" s="25">
        <f t="shared" si="2"/>
        <v>1.8382352941176471E-2</v>
      </c>
      <c r="BD21" s="25">
        <f t="shared" si="3"/>
        <v>4.7794117647058827E-3</v>
      </c>
      <c r="BE21" s="25">
        <f t="shared" si="4"/>
        <v>0.46507352941176472</v>
      </c>
      <c r="BF21" s="25">
        <f t="shared" si="5"/>
        <v>4.0363636363636362</v>
      </c>
      <c r="BG21" s="25">
        <f t="shared" si="6"/>
        <v>0.16666666666666666</v>
      </c>
      <c r="BH21" s="25">
        <f t="shared" si="7"/>
        <v>0.14285714285714285</v>
      </c>
      <c r="BI21" s="25">
        <f t="shared" si="8"/>
        <v>4.080645161290323</v>
      </c>
      <c r="BJ21" s="25">
        <f t="shared" si="9"/>
        <v>4.6004842615012108E-2</v>
      </c>
      <c r="BK21" s="25">
        <f t="shared" si="10"/>
        <v>3.6319612590799036E-2</v>
      </c>
      <c r="BL21" s="25">
        <f t="shared" si="11"/>
        <v>0.63694852941176472</v>
      </c>
      <c r="BM21" s="25">
        <f t="shared" si="12"/>
        <v>2.9411764705882353E-2</v>
      </c>
      <c r="BN21" s="18" t="str">
        <f t="shared" si="18"/>
        <v>Baja fuente de proteína</v>
      </c>
      <c r="BO21" s="18" t="str">
        <f t="shared" si="19"/>
        <v>Baja fuente de fibra</v>
      </c>
      <c r="BP21" s="18" t="str">
        <f t="shared" si="20"/>
        <v>Baja fuente de calcio</v>
      </c>
      <c r="BQ21" s="18" t="str">
        <f t="shared" si="21"/>
        <v>Baja fuente de hierro</v>
      </c>
      <c r="BR21" s="18" t="str">
        <f t="shared" si="22"/>
        <v>Bajo en sodio</v>
      </c>
      <c r="BS21" s="6" t="str">
        <f t="shared" si="13"/>
        <v>Altamente antiinflamatorio</v>
      </c>
      <c r="BT21" s="6" t="str">
        <f t="shared" si="14"/>
        <v>Muy alto en grasas</v>
      </c>
      <c r="BU21" s="18" t="str">
        <f t="shared" si="23"/>
        <v>Alto riesgo de retención de líquidos</v>
      </c>
      <c r="BV21" s="18" t="str">
        <f t="shared" si="24"/>
        <v>Baja fuente de magnesio</v>
      </c>
      <c r="BW21" s="18" t="str">
        <f t="shared" si="25"/>
        <v>Sin aporte de Omega 3</v>
      </c>
      <c r="BX21" s="18" t="str">
        <f t="shared" si="26"/>
        <v>Alerta: Alto en grasas trans</v>
      </c>
      <c r="BY21" s="18" t="str">
        <f t="shared" si="27"/>
        <v>Bajo poder antioxidante</v>
      </c>
      <c r="BZ21" s="6" t="str">
        <f t="shared" si="15"/>
        <v>Sin probióticos</v>
      </c>
      <c r="CA21" s="18" t="str">
        <f t="shared" si="28"/>
        <v>Altamente inflamatorio</v>
      </c>
      <c r="CB21" s="18" t="str">
        <f>IF(ISNUMBER(SEARCH("miel", D21)), "No irritante (Uso condicionado SII)", IF(OR(J21&gt;0, ISNUMBER(SEARCH("cacao", D21)), ISNUMBER(SEARCH("chocolate puro", D21))), "Altamente irritante", IF(OR(AND(O21&gt;15, BI21&gt;1), ISNUMBER(SEARCH("chocolate", D21))), "Moderadamente irritante", "No irritante")))</f>
        <v>No irritante</v>
      </c>
      <c r="CC21" s="6" t="str">
        <f t="shared" si="16"/>
        <v>Exceso relativo de Omega 6</v>
      </c>
    </row>
    <row r="22" spans="1:81" ht="15" customHeight="1" x14ac:dyDescent="0.3">
      <c r="A22" s="2">
        <f t="shared" si="17"/>
        <v>21</v>
      </c>
      <c r="B22" s="3" t="s">
        <v>80</v>
      </c>
      <c r="C22" s="3" t="s">
        <v>105</v>
      </c>
      <c r="D22" s="3" t="s">
        <v>107</v>
      </c>
      <c r="E22" s="3"/>
      <c r="F22" s="4">
        <v>2.5</v>
      </c>
      <c r="G22" s="5">
        <v>1</v>
      </c>
      <c r="H22" s="5">
        <v>372</v>
      </c>
      <c r="I22" s="5">
        <v>32.799999999999997</v>
      </c>
      <c r="J22" s="5">
        <v>0</v>
      </c>
      <c r="K22" s="5">
        <v>6.1</v>
      </c>
      <c r="L22" s="5">
        <v>39.299999999999997</v>
      </c>
      <c r="M22" s="5">
        <v>37.799999999999997</v>
      </c>
      <c r="N22" s="5">
        <v>1.5</v>
      </c>
      <c r="O22" s="5">
        <v>1.5</v>
      </c>
      <c r="P22" s="5">
        <v>0.9</v>
      </c>
      <c r="Q22" s="5">
        <v>20.9</v>
      </c>
      <c r="R22" s="5">
        <v>8.8000000000000007</v>
      </c>
      <c r="S22" s="5">
        <v>0</v>
      </c>
      <c r="T22" s="5">
        <v>0</v>
      </c>
      <c r="U22" s="5">
        <v>114</v>
      </c>
      <c r="V22" s="5">
        <v>35.799999999999997</v>
      </c>
      <c r="W22" s="5">
        <v>35.5</v>
      </c>
      <c r="X22" s="5">
        <v>1.6</v>
      </c>
      <c r="Y22" s="5">
        <v>0.52</v>
      </c>
      <c r="Z22" s="5">
        <v>1</v>
      </c>
      <c r="AA22" s="5">
        <v>17.899999999999999</v>
      </c>
      <c r="AB22" s="5">
        <v>7.0000000000000007E-2</v>
      </c>
      <c r="AC22" s="5">
        <v>7.9000000000000001E-2</v>
      </c>
      <c r="AD22" s="5">
        <v>1.6</v>
      </c>
      <c r="AE22" s="5">
        <v>6.4000000000000001E-2</v>
      </c>
      <c r="AF22" s="5">
        <v>16.100000000000001</v>
      </c>
      <c r="AG22" s="5">
        <v>0.36</v>
      </c>
      <c r="AH22" s="5">
        <v>0.49</v>
      </c>
      <c r="AI22" s="5">
        <v>4.5</v>
      </c>
      <c r="AJ22" s="5">
        <v>0</v>
      </c>
      <c r="AK22" s="5">
        <v>22.4</v>
      </c>
      <c r="AL22" s="5">
        <v>89</v>
      </c>
      <c r="AM22" s="5">
        <v>0.85</v>
      </c>
      <c r="AN22" s="5">
        <v>7.2</v>
      </c>
      <c r="AO22" s="5">
        <v>0.7</v>
      </c>
      <c r="AP22" s="5">
        <v>14.6</v>
      </c>
      <c r="AQ22" s="5">
        <v>460</v>
      </c>
      <c r="AR22" s="5">
        <v>95.7</v>
      </c>
      <c r="AS22" s="5">
        <v>0.33</v>
      </c>
      <c r="AT22" s="5">
        <v>8.7999999999999995E-2</v>
      </c>
      <c r="AU22" s="5">
        <v>3.9</v>
      </c>
      <c r="AV22" s="5">
        <f>IFERROR(VLOOKUP(IFERROR(VLOOKUP(D22,Mapa_Similitud!$A$2:$B$2000,2,FALSE()),D22),Hoja1!$A$2:$K$1000,2,FALSE()),IFERROR(VLOOKUP(IFERROR(VLOOKUP(D22,Mapa_Similitud!$A$2:$B$2000,2,FALSE()),D22),Omega3_Referencia!$A$2:$E$100,3,FALSE()),0))</f>
        <v>0.05</v>
      </c>
      <c r="AW22" s="3" t="str">
        <f>IFERROR(VLOOKUP(IFERROR(VLOOKUP(D22,Mapa_Similitud!$A$2:$B$2000,2,FALSE()),D22),Hoja1!$A$2:$K$1000,3,FALSE()),IFERROR(VLOOKUP(IFERROR(VLOOKUP(D22,Mapa_Similitud!$A$2:$B$2000,2,FALSE()),D22),Omega3_Referencia!$A$2:$E$100,4,FALSE()),"N/A"))</f>
        <v>ALA</v>
      </c>
      <c r="AX22" s="5">
        <f>IFERROR(VLOOKUP(IFERROR(VLOOKUP(D22,Mapa_Similitud!$A$2:$B$2000,2,FALSE()),D22),Hoja1!$A$2:$K$1000,5,FALSE()),0)</f>
        <v>1.9</v>
      </c>
      <c r="AY22" s="5">
        <f>IFERROR(VLOOKUP(IFERROR(VLOOKUP(D22,Mapa_Similitud!$A$2:$B$2000,2,FALSE()),D22),Hoja1!$A$2:$K$1000,7,FALSE()),0)</f>
        <v>4</v>
      </c>
      <c r="AZ22" s="5">
        <f>IFERROR(VLOOKUP(IFERROR(VLOOKUP(D22,Mapa_Similitud!$A$2:$B$2000,2,FALSE()),D22),Hoja1!$A$2:$K$1000,9,FALSE()),0)</f>
        <v>0</v>
      </c>
      <c r="BA22" s="25">
        <f t="shared" si="0"/>
        <v>1.6397849462365589E-2</v>
      </c>
      <c r="BB22" s="25">
        <f t="shared" si="1"/>
        <v>2.4193548387096775E-3</v>
      </c>
      <c r="BC22" s="25">
        <f t="shared" si="2"/>
        <v>6.0215053763440857E-2</v>
      </c>
      <c r="BD22" s="25">
        <f t="shared" si="3"/>
        <v>2.2849462365591398E-3</v>
      </c>
      <c r="BE22" s="25">
        <f t="shared" si="4"/>
        <v>1.2365591397849462</v>
      </c>
      <c r="BF22" s="25">
        <f t="shared" si="5"/>
        <v>0</v>
      </c>
      <c r="BG22" s="25">
        <f t="shared" si="6"/>
        <v>0.25168539325842693</v>
      </c>
      <c r="BH22" s="25">
        <f t="shared" si="7"/>
        <v>0.42105263157894746</v>
      </c>
      <c r="BI22" s="25">
        <f t="shared" si="8"/>
        <v>4.8066875653082546</v>
      </c>
      <c r="BJ22" s="25">
        <f t="shared" si="9"/>
        <v>3.8167938931297711E-2</v>
      </c>
      <c r="BK22" s="25">
        <f t="shared" si="10"/>
        <v>2.2900763358778629E-2</v>
      </c>
      <c r="BL22" s="25">
        <f t="shared" si="11"/>
        <v>0.50564516129032255</v>
      </c>
      <c r="BM22" s="25">
        <f t="shared" si="12"/>
        <v>3.9247311827956988E-2</v>
      </c>
      <c r="BN22" s="18" t="str">
        <f t="shared" si="18"/>
        <v>Baja fuente de proteína</v>
      </c>
      <c r="BO22" s="18" t="str">
        <f t="shared" si="19"/>
        <v>Baja fuente de fibra</v>
      </c>
      <c r="BP22" s="18" t="str">
        <f t="shared" si="20"/>
        <v>Baja fuente de calcio</v>
      </c>
      <c r="BQ22" s="18" t="str">
        <f t="shared" si="21"/>
        <v>Baja fuente de hierro</v>
      </c>
      <c r="BR22" s="18" t="str">
        <f t="shared" si="22"/>
        <v>Alto en sodio</v>
      </c>
      <c r="BS22" s="6" t="str">
        <f t="shared" si="13"/>
        <v>Proinflamatorio</v>
      </c>
      <c r="BT22" s="6" t="str">
        <f t="shared" si="14"/>
        <v>Muy alto en grasas</v>
      </c>
      <c r="BU22" s="18" t="str">
        <f t="shared" si="23"/>
        <v>Alto riesgo de retención de líquidos</v>
      </c>
      <c r="BV22" s="18" t="str">
        <f t="shared" si="24"/>
        <v>Baja fuente de magnesio</v>
      </c>
      <c r="BW22" s="18" t="str">
        <f t="shared" si="25"/>
        <v>Sin aporte de Omega 3</v>
      </c>
      <c r="BX22" s="18" t="str">
        <f t="shared" si="26"/>
        <v>Alerta: Alto en grasas trans</v>
      </c>
      <c r="BY22" s="18" t="str">
        <f t="shared" si="27"/>
        <v>Bajo poder antioxidante</v>
      </c>
      <c r="BZ22" s="6" t="str">
        <f t="shared" si="15"/>
        <v>Sin probióticos</v>
      </c>
      <c r="CA22" s="18" t="str">
        <f t="shared" si="28"/>
        <v>Altamente inflamatorio</v>
      </c>
      <c r="CB22" s="18" t="str">
        <f>IF(ISNUMBER(SEARCH("miel", D22)), "No irritante (Uso condicionado SII)", IF(OR(J22&gt;0, ISNUMBER(SEARCH("cacao", D22)), ISNUMBER(SEARCH("chocolate puro", D22))), "Altamente irritante", IF(OR(AND(O22&gt;15, BI22&gt;1), ISNUMBER(SEARCH("chocolate", D22))), "Moderadamente irritante", "No irritante")))</f>
        <v>No irritante</v>
      </c>
      <c r="CC22" s="6" t="str">
        <f t="shared" si="16"/>
        <v>Balance de omegas favorable</v>
      </c>
    </row>
    <row r="23" spans="1:81" ht="15" customHeight="1" x14ac:dyDescent="0.3">
      <c r="A23" s="2">
        <f t="shared" si="17"/>
        <v>22</v>
      </c>
      <c r="B23" s="3" t="s">
        <v>80</v>
      </c>
      <c r="C23" s="3" t="s">
        <v>105</v>
      </c>
      <c r="D23" s="3" t="s">
        <v>108</v>
      </c>
      <c r="E23" s="3"/>
      <c r="F23" s="4">
        <v>0.8</v>
      </c>
      <c r="G23" s="5">
        <v>1</v>
      </c>
      <c r="H23" s="5">
        <v>243</v>
      </c>
      <c r="I23" s="5">
        <v>39.6</v>
      </c>
      <c r="J23" s="5">
        <v>0</v>
      </c>
      <c r="K23" s="5">
        <v>8.3000000000000007</v>
      </c>
      <c r="L23" s="5">
        <v>47</v>
      </c>
      <c r="M23" s="5">
        <v>42.2</v>
      </c>
      <c r="N23" s="5">
        <v>4.8</v>
      </c>
      <c r="O23" s="5">
        <v>0</v>
      </c>
      <c r="P23" s="5">
        <v>3.5</v>
      </c>
      <c r="Q23" s="5">
        <v>1.6</v>
      </c>
      <c r="R23" s="5">
        <v>0.39</v>
      </c>
      <c r="S23" s="5">
        <v>0.28000000000000003</v>
      </c>
      <c r="T23" s="5">
        <v>0.34</v>
      </c>
      <c r="U23" s="5">
        <v>0</v>
      </c>
      <c r="V23" s="5">
        <v>0.33</v>
      </c>
      <c r="W23" s="5">
        <v>0</v>
      </c>
      <c r="X23" s="5">
        <v>2</v>
      </c>
      <c r="Y23" s="5">
        <v>0</v>
      </c>
      <c r="Z23" s="5">
        <v>0</v>
      </c>
      <c r="AA23" s="5">
        <v>1.9</v>
      </c>
      <c r="AB23" s="5">
        <v>8.5999999999999993E-2</v>
      </c>
      <c r="AC23" s="5">
        <v>0.06</v>
      </c>
      <c r="AD23" s="5">
        <v>3</v>
      </c>
      <c r="AE23" s="5">
        <v>0.06</v>
      </c>
      <c r="AF23" s="5">
        <v>23</v>
      </c>
      <c r="AG23" s="5">
        <v>0</v>
      </c>
      <c r="AH23" s="5">
        <v>0.3</v>
      </c>
      <c r="AI23" s="5">
        <v>1</v>
      </c>
      <c r="AJ23" s="5">
        <v>0</v>
      </c>
      <c r="AK23" s="5">
        <v>56</v>
      </c>
      <c r="AL23" s="5">
        <v>91</v>
      </c>
      <c r="AM23" s="5">
        <v>1.6</v>
      </c>
      <c r="AN23" s="5">
        <v>4.7</v>
      </c>
      <c r="AO23" s="5">
        <v>0.61</v>
      </c>
      <c r="AP23" s="5">
        <v>25.1</v>
      </c>
      <c r="AQ23" s="5">
        <v>424</v>
      </c>
      <c r="AR23" s="5">
        <v>110</v>
      </c>
      <c r="AS23" s="5">
        <v>0.5</v>
      </c>
      <c r="AT23" s="5">
        <v>0.19</v>
      </c>
      <c r="AU23" s="5">
        <v>28</v>
      </c>
      <c r="AV23" s="5">
        <f>IFERROR(VLOOKUP(IFERROR(VLOOKUP(D23,Mapa_Similitud!$A$2:$B$2000,2,FALSE()),D23),Hoja1!$A$2:$K$1000,2,FALSE()),IFERROR(VLOOKUP(IFERROR(VLOOKUP(D23,Mapa_Similitud!$A$2:$B$2000,2,FALSE()),D23),Omega3_Referencia!$A$2:$E$100,3,FALSE()),0))</f>
        <v>0.04</v>
      </c>
      <c r="AW23" s="3" t="str">
        <f>IFERROR(VLOOKUP(IFERROR(VLOOKUP(D23,Mapa_Similitud!$A$2:$B$2000,2,FALSE()),D23),Hoja1!$A$2:$K$1000,3,FALSE()),IFERROR(VLOOKUP(IFERROR(VLOOKUP(D23,Mapa_Similitud!$A$2:$B$2000,2,FALSE()),D23),Omega3_Referencia!$A$2:$E$100,4,FALSE()),"N/A"))</f>
        <v>ALA</v>
      </c>
      <c r="AX23" s="5">
        <f>IFERROR(VLOOKUP(IFERROR(VLOOKUP(D23,Mapa_Similitud!$A$2:$B$2000,2,FALSE()),D23),Hoja1!$A$2:$K$1000,5,FALSE()),0)</f>
        <v>0.1</v>
      </c>
      <c r="AY23" s="5">
        <f>IFERROR(VLOOKUP(IFERROR(VLOOKUP(D23,Mapa_Similitud!$A$2:$B$2000,2,FALSE()),D23),Hoja1!$A$2:$K$1000,7,FALSE()),0)</f>
        <v>20</v>
      </c>
      <c r="AZ23" s="5">
        <f>IFERROR(VLOOKUP(IFERROR(VLOOKUP(D23,Mapa_Similitud!$A$2:$B$2000,2,FALSE()),D23),Hoja1!$A$2:$K$1000,9,FALSE()),0)</f>
        <v>0</v>
      </c>
      <c r="BA23" s="25">
        <f t="shared" si="0"/>
        <v>3.4156378600823045E-2</v>
      </c>
      <c r="BB23" s="25">
        <f t="shared" si="1"/>
        <v>1.4403292181069959E-2</v>
      </c>
      <c r="BC23" s="25">
        <f t="shared" si="2"/>
        <v>0.23045267489711935</v>
      </c>
      <c r="BD23" s="25">
        <f t="shared" si="3"/>
        <v>6.5843621399176962E-3</v>
      </c>
      <c r="BE23" s="25">
        <f t="shared" si="4"/>
        <v>1.7448559670781894</v>
      </c>
      <c r="BF23" s="25">
        <f t="shared" si="5"/>
        <v>0.87179487179487181</v>
      </c>
      <c r="BG23" s="25">
        <f t="shared" si="6"/>
        <v>0.61538461538461542</v>
      </c>
      <c r="BH23" s="25">
        <f t="shared" si="7"/>
        <v>0.24374999999999999</v>
      </c>
      <c r="BI23" s="25">
        <f t="shared" si="8"/>
        <v>3.8545454545454545</v>
      </c>
      <c r="BJ23" s="25">
        <f t="shared" si="9"/>
        <v>0.10212765957446808</v>
      </c>
      <c r="BK23" s="25">
        <f t="shared" si="10"/>
        <v>7.4468085106382975E-2</v>
      </c>
      <c r="BL23" s="25">
        <f t="shared" si="11"/>
        <v>5.9259259259259262E-2</v>
      </c>
      <c r="BM23" s="25">
        <f t="shared" si="12"/>
        <v>0.10329218106995885</v>
      </c>
      <c r="BN23" s="18" t="str">
        <f t="shared" si="18"/>
        <v>Baja fuente de proteína</v>
      </c>
      <c r="BO23" s="18" t="str">
        <f t="shared" si="19"/>
        <v>Baja fuente de fibra</v>
      </c>
      <c r="BP23" s="18" t="str">
        <f t="shared" si="20"/>
        <v>Baja fuente de calcio</v>
      </c>
      <c r="BQ23" s="18" t="str">
        <f t="shared" si="21"/>
        <v>Baja fuente de hierro</v>
      </c>
      <c r="BR23" s="18" t="str">
        <f t="shared" si="22"/>
        <v>Alto en sodio</v>
      </c>
      <c r="BS23" s="6" t="str">
        <f t="shared" si="13"/>
        <v>Neutro</v>
      </c>
      <c r="BT23" s="6" t="str">
        <f t="shared" si="14"/>
        <v>Bajo en grasas</v>
      </c>
      <c r="BU23" s="18" t="str">
        <f t="shared" si="23"/>
        <v>Alto riesgo de retención de líquidos</v>
      </c>
      <c r="BV23" s="18" t="str">
        <f t="shared" si="24"/>
        <v>Baja fuente de magnesio</v>
      </c>
      <c r="BW23" s="18" t="str">
        <f t="shared" si="25"/>
        <v>Sin aporte de Omega 3</v>
      </c>
      <c r="BX23" s="18" t="str">
        <f t="shared" si="26"/>
        <v>Contiene grasas trans</v>
      </c>
      <c r="BY23" s="18" t="str">
        <f t="shared" si="27"/>
        <v>Medio poder antioxidante</v>
      </c>
      <c r="BZ23" s="6" t="str">
        <f t="shared" si="15"/>
        <v>Sin probióticos</v>
      </c>
      <c r="CA23" s="18" t="str">
        <f t="shared" si="28"/>
        <v>Moderadamente inflamatorio</v>
      </c>
      <c r="CB23" s="18" t="str">
        <f>IF(ISNUMBER(SEARCH("miel", D23)), "No irritante (Uso condicionado SII)", IF(OR(J23&gt;0, ISNUMBER(SEARCH("cacao", D23)), ISNUMBER(SEARCH("chocolate puro", D23))), "Altamente irritante", IF(OR(AND(O23&gt;15, BI23&gt;1), ISNUMBER(SEARCH("chocolate", D23))), "Moderadamente irritante", "No irritante")))</f>
        <v>No irritante</v>
      </c>
      <c r="CC23" s="6" t="str">
        <f t="shared" si="16"/>
        <v>Exceso relativo de Omega 6</v>
      </c>
    </row>
    <row r="24" spans="1:81" ht="15" customHeight="1" x14ac:dyDescent="0.3">
      <c r="A24" s="2">
        <f t="shared" si="17"/>
        <v>23</v>
      </c>
      <c r="B24" s="3" t="s">
        <v>80</v>
      </c>
      <c r="C24" s="3" t="s">
        <v>105</v>
      </c>
      <c r="D24" s="3" t="s">
        <v>109</v>
      </c>
      <c r="E24" s="3"/>
      <c r="F24" s="4">
        <v>1</v>
      </c>
      <c r="G24" s="5">
        <v>1</v>
      </c>
      <c r="H24" s="5">
        <v>265</v>
      </c>
      <c r="I24" s="5">
        <v>33.5</v>
      </c>
      <c r="J24" s="5">
        <v>0</v>
      </c>
      <c r="K24" s="5">
        <v>8</v>
      </c>
      <c r="L24" s="5">
        <v>53.9</v>
      </c>
      <c r="M24" s="5">
        <v>52</v>
      </c>
      <c r="N24" s="5">
        <v>1.9</v>
      </c>
      <c r="O24" s="5">
        <v>0</v>
      </c>
      <c r="P24" s="5">
        <v>3.5</v>
      </c>
      <c r="Q24" s="5">
        <v>1.1000000000000001</v>
      </c>
      <c r="R24" s="5">
        <v>0.2</v>
      </c>
      <c r="S24" s="5">
        <v>0.1</v>
      </c>
      <c r="T24" s="5">
        <v>0.4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0.18</v>
      </c>
      <c r="AA24" s="5">
        <v>1.9</v>
      </c>
      <c r="AB24" s="5">
        <v>0.09</v>
      </c>
      <c r="AC24" s="5">
        <v>0.05</v>
      </c>
      <c r="AD24" s="5">
        <v>2.6</v>
      </c>
      <c r="AE24" s="5">
        <v>0.12</v>
      </c>
      <c r="AF24" s="5">
        <v>23</v>
      </c>
      <c r="AG24" s="5">
        <v>0</v>
      </c>
      <c r="AH24" s="5">
        <v>0.3</v>
      </c>
      <c r="AI24" s="5">
        <v>0</v>
      </c>
      <c r="AJ24" s="5">
        <v>0</v>
      </c>
      <c r="AK24" s="5">
        <v>20</v>
      </c>
      <c r="AL24" s="5">
        <v>90</v>
      </c>
      <c r="AM24" s="5">
        <v>1.7</v>
      </c>
      <c r="AN24" s="5">
        <v>5</v>
      </c>
      <c r="AO24" s="5">
        <v>0.6</v>
      </c>
      <c r="AP24" s="5">
        <v>26</v>
      </c>
      <c r="AQ24" s="5">
        <v>2</v>
      </c>
      <c r="AR24" s="5">
        <v>100</v>
      </c>
      <c r="AS24" s="5">
        <v>0.38</v>
      </c>
      <c r="AT24" s="5">
        <v>0.13</v>
      </c>
      <c r="AU24" s="5">
        <v>22.6</v>
      </c>
      <c r="AV24" s="5">
        <f>IFERROR(VLOOKUP(IFERROR(VLOOKUP(D24,Mapa_Similitud!$A$2:$B$2000,2,FALSE()),D24),Hoja1!$A$2:$K$1000,2,FALSE()),IFERROR(VLOOKUP(IFERROR(VLOOKUP(D24,Mapa_Similitud!$A$2:$B$2000,2,FALSE()),D24),Omega3_Referencia!$A$2:$E$100,3,FALSE()),0))</f>
        <v>0.04</v>
      </c>
      <c r="AW24" s="3" t="str">
        <f>IFERROR(VLOOKUP(IFERROR(VLOOKUP(D24,Mapa_Similitud!$A$2:$B$2000,2,FALSE()),D24),Hoja1!$A$2:$K$1000,3,FALSE()),IFERROR(VLOOKUP(IFERROR(VLOOKUP(D24,Mapa_Similitud!$A$2:$B$2000,2,FALSE()),D24),Omega3_Referencia!$A$2:$E$100,4,FALSE()),"N/A"))</f>
        <v>ALA</v>
      </c>
      <c r="AX24" s="5">
        <f>IFERROR(VLOOKUP(IFERROR(VLOOKUP(D24,Mapa_Similitud!$A$2:$B$2000,2,FALSE()),D24),Hoja1!$A$2:$K$1000,5,FALSE()),0)</f>
        <v>0.1</v>
      </c>
      <c r="AY24" s="5">
        <f>IFERROR(VLOOKUP(IFERROR(VLOOKUP(D24,Mapa_Similitud!$A$2:$B$2000,2,FALSE()),D24),Hoja1!$A$2:$K$1000,7,FALSE()),0)</f>
        <v>20</v>
      </c>
      <c r="AZ24" s="5">
        <f>IFERROR(VLOOKUP(IFERROR(VLOOKUP(D24,Mapa_Similitud!$A$2:$B$2000,2,FALSE()),D24),Hoja1!$A$2:$K$1000,9,FALSE()),0)</f>
        <v>0</v>
      </c>
      <c r="BA24" s="25">
        <f t="shared" si="0"/>
        <v>3.0188679245283019E-2</v>
      </c>
      <c r="BB24" s="25">
        <f t="shared" si="1"/>
        <v>1.3207547169811321E-2</v>
      </c>
      <c r="BC24" s="25">
        <f t="shared" si="2"/>
        <v>7.5471698113207544E-2</v>
      </c>
      <c r="BD24" s="25">
        <f t="shared" si="3"/>
        <v>6.4150943396226413E-3</v>
      </c>
      <c r="BE24" s="25">
        <f t="shared" si="4"/>
        <v>7.5471698113207548E-3</v>
      </c>
      <c r="BF24" s="25">
        <f t="shared" si="5"/>
        <v>2</v>
      </c>
      <c r="BG24" s="25">
        <f t="shared" si="6"/>
        <v>0.22222222222222221</v>
      </c>
      <c r="BH24" s="25">
        <f t="shared" si="7"/>
        <v>0.18181818181818182</v>
      </c>
      <c r="BI24" s="25">
        <f t="shared" si="8"/>
        <v>0.02</v>
      </c>
      <c r="BJ24" s="25">
        <f t="shared" si="9"/>
        <v>3.525046382189239E-2</v>
      </c>
      <c r="BK24" s="25">
        <f t="shared" si="10"/>
        <v>6.4935064935064943E-2</v>
      </c>
      <c r="BL24" s="25">
        <f t="shared" si="11"/>
        <v>3.7358490566037739E-2</v>
      </c>
      <c r="BM24" s="25">
        <f t="shared" si="12"/>
        <v>9.8113207547169817E-2</v>
      </c>
      <c r="BN24" s="18" t="str">
        <f t="shared" si="18"/>
        <v>Baja fuente de proteína</v>
      </c>
      <c r="BO24" s="18" t="str">
        <f t="shared" si="19"/>
        <v>Baja fuente de fibra</v>
      </c>
      <c r="BP24" s="18" t="str">
        <f t="shared" si="20"/>
        <v>Baja fuente de calcio</v>
      </c>
      <c r="BQ24" s="18" t="str">
        <f t="shared" si="21"/>
        <v>Baja fuente de hierro</v>
      </c>
      <c r="BR24" s="18" t="str">
        <f t="shared" si="22"/>
        <v>Bajo en sodio</v>
      </c>
      <c r="BS24" s="6" t="str">
        <f t="shared" si="13"/>
        <v>Ligeramente antiinflamatorio</v>
      </c>
      <c r="BT24" s="6" t="str">
        <f t="shared" si="14"/>
        <v>Bajo en grasas</v>
      </c>
      <c r="BU24" s="18" t="str">
        <f t="shared" si="23"/>
        <v>Equilibrio de líquidos ideal</v>
      </c>
      <c r="BV24" s="18" t="str">
        <f t="shared" si="24"/>
        <v>Baja fuente de magnesio</v>
      </c>
      <c r="BW24" s="18" t="str">
        <f t="shared" si="25"/>
        <v>Sin aporte de Omega 3</v>
      </c>
      <c r="BX24" s="18" t="str">
        <f t="shared" si="26"/>
        <v>Contiene grasas trans</v>
      </c>
      <c r="BY24" s="18" t="str">
        <f t="shared" si="27"/>
        <v>Medio poder antioxidante</v>
      </c>
      <c r="BZ24" s="6" t="str">
        <f t="shared" si="15"/>
        <v>Sin probióticos</v>
      </c>
      <c r="CA24" s="18" t="str">
        <f t="shared" si="28"/>
        <v>Moderadamente inflamatorio</v>
      </c>
      <c r="CB24" s="18" t="str">
        <f>IF(ISNUMBER(SEARCH("miel", D24)), "No irritante (Uso condicionado SII)", IF(OR(J24&gt;0, ISNUMBER(SEARCH("cacao", D24)), ISNUMBER(SEARCH("chocolate puro", D24))), "Altamente irritante", IF(OR(AND(O24&gt;15, BI24&gt;1), ISNUMBER(SEARCH("chocolate", D24))), "Moderadamente irritante", "No irritante")))</f>
        <v>No irritante</v>
      </c>
      <c r="CC24" s="6" t="str">
        <f t="shared" si="16"/>
        <v>Exceso relativo de Omega 6</v>
      </c>
    </row>
    <row r="25" spans="1:81" ht="15" customHeight="1" x14ac:dyDescent="0.3">
      <c r="A25" s="2">
        <f t="shared" si="17"/>
        <v>24</v>
      </c>
      <c r="B25" s="3" t="s">
        <v>80</v>
      </c>
      <c r="C25" s="3" t="s">
        <v>105</v>
      </c>
      <c r="D25" s="3" t="s">
        <v>110</v>
      </c>
      <c r="E25" s="3"/>
      <c r="F25" s="4">
        <v>1.2</v>
      </c>
      <c r="G25" s="5">
        <v>1</v>
      </c>
      <c r="H25" s="5">
        <v>273</v>
      </c>
      <c r="I25" s="5">
        <v>31.5</v>
      </c>
      <c r="J25" s="5">
        <v>0</v>
      </c>
      <c r="K25" s="5">
        <v>8</v>
      </c>
      <c r="L25" s="5">
        <v>55.9</v>
      </c>
      <c r="M25" s="5">
        <v>53.6</v>
      </c>
      <c r="N25" s="5">
        <v>2.2999999999999998</v>
      </c>
      <c r="O25" s="5">
        <v>0</v>
      </c>
      <c r="P25" s="5">
        <v>3.5</v>
      </c>
      <c r="Q25" s="5">
        <v>1.2</v>
      </c>
      <c r="R25" s="5">
        <v>0.2</v>
      </c>
      <c r="S25" s="5">
        <v>0.1</v>
      </c>
      <c r="T25" s="5">
        <v>0.4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0.18</v>
      </c>
      <c r="AA25" s="5">
        <v>1.9</v>
      </c>
      <c r="AB25" s="5">
        <v>0.09</v>
      </c>
      <c r="AC25" s="5">
        <v>0.05</v>
      </c>
      <c r="AD25" s="5">
        <v>3.3</v>
      </c>
      <c r="AE25" s="5">
        <v>0.08</v>
      </c>
      <c r="AF25" s="5">
        <v>24</v>
      </c>
      <c r="AG25" s="5">
        <v>0</v>
      </c>
      <c r="AH25" s="5">
        <v>0.39</v>
      </c>
      <c r="AI25" s="5">
        <v>1</v>
      </c>
      <c r="AJ25" s="5">
        <v>0</v>
      </c>
      <c r="AK25" s="5">
        <v>23</v>
      </c>
      <c r="AL25" s="5">
        <v>110</v>
      </c>
      <c r="AM25" s="5">
        <v>1.5</v>
      </c>
      <c r="AN25" s="5">
        <v>6</v>
      </c>
      <c r="AO25" s="5">
        <v>0.7</v>
      </c>
      <c r="AP25" s="5">
        <v>28</v>
      </c>
      <c r="AQ25" s="5">
        <v>424</v>
      </c>
      <c r="AR25" s="5">
        <v>130</v>
      </c>
      <c r="AS25" s="5">
        <v>0.5</v>
      </c>
      <c r="AT25" s="5">
        <v>0.16</v>
      </c>
      <c r="AU25" s="5">
        <v>28</v>
      </c>
      <c r="AV25" s="5">
        <f>IFERROR(VLOOKUP(IFERROR(VLOOKUP(D25,Mapa_Similitud!$A$2:$B$2000,2,FALSE()),D25),Hoja1!$A$2:$K$1000,2,FALSE()),IFERROR(VLOOKUP(IFERROR(VLOOKUP(D25,Mapa_Similitud!$A$2:$B$2000,2,FALSE()),D25),Omega3_Referencia!$A$2:$E$100,3,FALSE()),0))</f>
        <v>0.04</v>
      </c>
      <c r="AW25" s="3" t="str">
        <f>IFERROR(VLOOKUP(IFERROR(VLOOKUP(D25,Mapa_Similitud!$A$2:$B$2000,2,FALSE()),D25),Hoja1!$A$2:$K$1000,3,FALSE()),IFERROR(VLOOKUP(IFERROR(VLOOKUP(D25,Mapa_Similitud!$A$2:$B$2000,2,FALSE()),D25),Omega3_Referencia!$A$2:$E$100,4,FALSE()),"N/A"))</f>
        <v>ALA</v>
      </c>
      <c r="AX25" s="5">
        <f>IFERROR(VLOOKUP(IFERROR(VLOOKUP(D25,Mapa_Similitud!$A$2:$B$2000,2,FALSE()),D25),Hoja1!$A$2:$K$1000,5,FALSE()),0)</f>
        <v>0.1</v>
      </c>
      <c r="AY25" s="5">
        <f>IFERROR(VLOOKUP(IFERROR(VLOOKUP(D25,Mapa_Similitud!$A$2:$B$2000,2,FALSE()),D25),Hoja1!$A$2:$K$1000,7,FALSE()),0)</f>
        <v>20</v>
      </c>
      <c r="AZ25" s="5">
        <f>IFERROR(VLOOKUP(IFERROR(VLOOKUP(D25,Mapa_Similitud!$A$2:$B$2000,2,FALSE()),D25),Hoja1!$A$2:$K$1000,9,FALSE()),0)</f>
        <v>0</v>
      </c>
      <c r="BA25" s="25">
        <f t="shared" si="0"/>
        <v>2.9304029304029304E-2</v>
      </c>
      <c r="BB25" s="25">
        <f t="shared" si="1"/>
        <v>1.282051282051282E-2</v>
      </c>
      <c r="BC25" s="25">
        <f t="shared" si="2"/>
        <v>8.4249084249084255E-2</v>
      </c>
      <c r="BD25" s="25">
        <f t="shared" si="3"/>
        <v>5.4945054945054949E-3</v>
      </c>
      <c r="BE25" s="25">
        <f t="shared" si="4"/>
        <v>1.5531135531135531</v>
      </c>
      <c r="BF25" s="25">
        <f t="shared" si="5"/>
        <v>2</v>
      </c>
      <c r="BG25" s="25">
        <f t="shared" si="6"/>
        <v>0.20909090909090908</v>
      </c>
      <c r="BH25" s="25">
        <f t="shared" si="7"/>
        <v>0.16666666666666669</v>
      </c>
      <c r="BI25" s="25">
        <f t="shared" si="8"/>
        <v>3.2615384615384615</v>
      </c>
      <c r="BJ25" s="25">
        <f t="shared" si="9"/>
        <v>4.1144901610017888E-2</v>
      </c>
      <c r="BK25" s="25">
        <f t="shared" si="10"/>
        <v>6.2611806797853317E-2</v>
      </c>
      <c r="BL25" s="25">
        <f t="shared" si="11"/>
        <v>3.9560439560439559E-2</v>
      </c>
      <c r="BM25" s="25">
        <f t="shared" si="12"/>
        <v>0.10256410256410256</v>
      </c>
      <c r="BN25" s="18" t="str">
        <f t="shared" si="18"/>
        <v>Baja fuente de proteína</v>
      </c>
      <c r="BO25" s="18" t="str">
        <f t="shared" si="19"/>
        <v>Baja fuente de fibra</v>
      </c>
      <c r="BP25" s="18" t="str">
        <f t="shared" si="20"/>
        <v>Baja fuente de calcio</v>
      </c>
      <c r="BQ25" s="18" t="str">
        <f t="shared" si="21"/>
        <v>Baja fuente de hierro</v>
      </c>
      <c r="BR25" s="18" t="str">
        <f t="shared" si="22"/>
        <v>Alto en sodio</v>
      </c>
      <c r="BS25" s="6" t="str">
        <f t="shared" si="13"/>
        <v>Ligeramente antiinflamatorio</v>
      </c>
      <c r="BT25" s="6" t="str">
        <f t="shared" si="14"/>
        <v>Bajo en grasas</v>
      </c>
      <c r="BU25" s="18" t="str">
        <f t="shared" si="23"/>
        <v>Alto riesgo de retención de líquidos</v>
      </c>
      <c r="BV25" s="18" t="str">
        <f t="shared" si="24"/>
        <v>Baja fuente de magnesio</v>
      </c>
      <c r="BW25" s="18" t="str">
        <f t="shared" si="25"/>
        <v>Sin aporte de Omega 3</v>
      </c>
      <c r="BX25" s="18" t="str">
        <f t="shared" si="26"/>
        <v>Contiene grasas trans</v>
      </c>
      <c r="BY25" s="18" t="str">
        <f t="shared" si="27"/>
        <v>Medio poder antioxidante</v>
      </c>
      <c r="BZ25" s="6" t="str">
        <f t="shared" si="15"/>
        <v>Sin probióticos</v>
      </c>
      <c r="CA25" s="18" t="str">
        <f t="shared" si="28"/>
        <v>Moderadamente inflamatorio</v>
      </c>
      <c r="CB25" s="18" t="str">
        <f>IF(ISNUMBER(SEARCH("miel", D25)), "No irritante (Uso condicionado SII)", IF(OR(J25&gt;0, ISNUMBER(SEARCH("cacao", D25)), ISNUMBER(SEARCH("chocolate puro", D25))), "Altamente irritante", IF(OR(AND(O25&gt;15, BI25&gt;1), ISNUMBER(SEARCH("chocolate", D25))), "Moderadamente irritante", "No irritante")))</f>
        <v>No irritante</v>
      </c>
      <c r="CC25" s="6" t="str">
        <f t="shared" si="16"/>
        <v>Exceso relativo de Omega 6</v>
      </c>
    </row>
    <row r="26" spans="1:81" ht="15" customHeight="1" x14ac:dyDescent="0.3">
      <c r="A26" s="2">
        <f t="shared" si="17"/>
        <v>25</v>
      </c>
      <c r="B26" s="3" t="s">
        <v>80</v>
      </c>
      <c r="C26" s="3" t="s">
        <v>105</v>
      </c>
      <c r="D26" s="3" t="s">
        <v>111</v>
      </c>
      <c r="E26" s="3"/>
      <c r="F26" s="4">
        <v>1.8</v>
      </c>
      <c r="G26" s="5">
        <v>1</v>
      </c>
      <c r="H26" s="5">
        <v>389</v>
      </c>
      <c r="I26" s="5">
        <v>6.6</v>
      </c>
      <c r="J26" s="5">
        <v>0</v>
      </c>
      <c r="K26" s="5">
        <v>11.5</v>
      </c>
      <c r="L26" s="5">
        <v>73.400000000000006</v>
      </c>
      <c r="M26" s="5">
        <v>68.2</v>
      </c>
      <c r="N26" s="5">
        <v>5.2</v>
      </c>
      <c r="O26" s="5">
        <v>0</v>
      </c>
      <c r="P26" s="5">
        <v>3.9</v>
      </c>
      <c r="Q26" s="5">
        <v>4.5999999999999996</v>
      </c>
      <c r="R26" s="5">
        <v>0.5</v>
      </c>
      <c r="S26" s="5">
        <v>1.9</v>
      </c>
      <c r="T26" s="5">
        <v>0.98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0.01</v>
      </c>
      <c r="AA26" s="5">
        <v>3</v>
      </c>
      <c r="AB26" s="5">
        <v>0.36</v>
      </c>
      <c r="AC26" s="5">
        <v>0.27</v>
      </c>
      <c r="AD26" s="5">
        <v>6.2</v>
      </c>
      <c r="AE26" s="5">
        <v>0.09</v>
      </c>
      <c r="AF26" s="5">
        <v>21</v>
      </c>
      <c r="AG26" s="5">
        <v>0</v>
      </c>
      <c r="AH26" s="5">
        <v>0.3</v>
      </c>
      <c r="AI26" s="5">
        <v>1</v>
      </c>
      <c r="AJ26" s="5">
        <v>0</v>
      </c>
      <c r="AK26" s="5">
        <v>114</v>
      </c>
      <c r="AL26" s="5">
        <v>92</v>
      </c>
      <c r="AM26" s="5">
        <v>1</v>
      </c>
      <c r="AN26" s="5">
        <v>7</v>
      </c>
      <c r="AO26" s="5">
        <v>0.78</v>
      </c>
      <c r="AP26" s="5">
        <v>25</v>
      </c>
      <c r="AQ26" s="5">
        <v>702</v>
      </c>
      <c r="AR26" s="5">
        <v>160</v>
      </c>
      <c r="AS26" s="5">
        <v>0.55000000000000004</v>
      </c>
      <c r="AT26" s="5">
        <v>0.17</v>
      </c>
      <c r="AU26" s="5">
        <v>33.6</v>
      </c>
      <c r="AV26" s="5">
        <f>IFERROR(VLOOKUP(IFERROR(VLOOKUP(D26,Mapa_Similitud!$A$2:$B$2000,2,FALSE()),D26),Hoja1!$A$2:$K$1000,2,FALSE()),IFERROR(VLOOKUP(IFERROR(VLOOKUP(D26,Mapa_Similitud!$A$2:$B$2000,2,FALSE()),D26),Omega3_Referencia!$A$2:$E$100,3,FALSE()),0))</f>
        <v>0.04</v>
      </c>
      <c r="AW26" s="3" t="str">
        <f>IFERROR(VLOOKUP(IFERROR(VLOOKUP(D26,Mapa_Similitud!$A$2:$B$2000,2,FALSE()),D26),Hoja1!$A$2:$K$1000,3,FALSE()),IFERROR(VLOOKUP(IFERROR(VLOOKUP(D26,Mapa_Similitud!$A$2:$B$2000,2,FALSE()),D26),Omega3_Referencia!$A$2:$E$100,4,FALSE()),"N/A"))</f>
        <v>ALA</v>
      </c>
      <c r="AX26" s="5">
        <f>IFERROR(VLOOKUP(IFERROR(VLOOKUP(D26,Mapa_Similitud!$A$2:$B$2000,2,FALSE()),D26),Hoja1!$A$2:$K$1000,5,FALSE()),0)</f>
        <v>0.1</v>
      </c>
      <c r="AY26" s="5">
        <f>IFERROR(VLOOKUP(IFERROR(VLOOKUP(D26,Mapa_Similitud!$A$2:$B$2000,2,FALSE()),D26),Hoja1!$A$2:$K$1000,7,FALSE()),0)</f>
        <v>18</v>
      </c>
      <c r="AZ26" s="5">
        <f>IFERROR(VLOOKUP(IFERROR(VLOOKUP(D26,Mapa_Similitud!$A$2:$B$2000,2,FALSE()),D26),Hoja1!$A$2:$K$1000,9,FALSE()),0)</f>
        <v>0</v>
      </c>
      <c r="BA26" s="25">
        <f t="shared" si="0"/>
        <v>2.9562982005141389E-2</v>
      </c>
      <c r="BB26" s="25">
        <f t="shared" si="1"/>
        <v>1.0025706940874035E-2</v>
      </c>
      <c r="BC26" s="25">
        <f t="shared" si="2"/>
        <v>0.29305912596401029</v>
      </c>
      <c r="BD26" s="25">
        <f t="shared" si="3"/>
        <v>2.5706940874035988E-3</v>
      </c>
      <c r="BE26" s="25">
        <f t="shared" si="4"/>
        <v>1.8046272493573265</v>
      </c>
      <c r="BF26" s="25">
        <f t="shared" si="5"/>
        <v>1.96</v>
      </c>
      <c r="BG26" s="25">
        <f t="shared" si="6"/>
        <v>1.2391304347826086</v>
      </c>
      <c r="BH26" s="25">
        <f t="shared" si="7"/>
        <v>0.10869565217391305</v>
      </c>
      <c r="BI26" s="25">
        <f t="shared" si="8"/>
        <v>4.3875000000000002</v>
      </c>
      <c r="BJ26" s="25">
        <f t="shared" si="9"/>
        <v>7.0844686648501354E-2</v>
      </c>
      <c r="BK26" s="25">
        <f t="shared" si="10"/>
        <v>5.3133514986376015E-2</v>
      </c>
      <c r="BL26" s="25">
        <f t="shared" si="11"/>
        <v>0.106426735218509</v>
      </c>
      <c r="BM26" s="25">
        <f t="shared" si="12"/>
        <v>6.4267352185089971E-2</v>
      </c>
      <c r="BN26" s="18" t="str">
        <f t="shared" si="18"/>
        <v>Baja fuente de proteína</v>
      </c>
      <c r="BO26" s="18" t="str">
        <f t="shared" si="19"/>
        <v>Baja fuente de fibra</v>
      </c>
      <c r="BP26" s="18" t="str">
        <f t="shared" si="20"/>
        <v>Baja fuente de calcio</v>
      </c>
      <c r="BQ26" s="18" t="str">
        <f t="shared" si="21"/>
        <v>Baja fuente de hierro</v>
      </c>
      <c r="BR26" s="18" t="str">
        <f t="shared" si="22"/>
        <v>Alto en sodio</v>
      </c>
      <c r="BS26" s="6" t="str">
        <f t="shared" si="13"/>
        <v>Ligeramente antiinflamatorio</v>
      </c>
      <c r="BT26" s="6" t="str">
        <f t="shared" si="14"/>
        <v>Bajo en grasas</v>
      </c>
      <c r="BU26" s="18" t="str">
        <f t="shared" si="23"/>
        <v>Alto riesgo de retención de líquidos</v>
      </c>
      <c r="BV26" s="18" t="str">
        <f t="shared" si="24"/>
        <v>Baja fuente de magnesio</v>
      </c>
      <c r="BW26" s="18" t="str">
        <f t="shared" si="25"/>
        <v>Sin aporte de Omega 3</v>
      </c>
      <c r="BX26" s="18" t="str">
        <f t="shared" si="26"/>
        <v>Contiene grasas trans</v>
      </c>
      <c r="BY26" s="18" t="str">
        <f t="shared" si="27"/>
        <v>Medio poder antioxidante</v>
      </c>
      <c r="BZ26" s="6" t="str">
        <f t="shared" si="15"/>
        <v>Sin probióticos</v>
      </c>
      <c r="CA26" s="18" t="str">
        <f t="shared" si="28"/>
        <v>Moderadamente inflamatorio</v>
      </c>
      <c r="CB26" s="18" t="str">
        <f>IF(ISNUMBER(SEARCH("miel", D26)), "No irritante (Uso condicionado SII)", IF(OR(J26&gt;0, ISNUMBER(SEARCH("cacao", D26)), ISNUMBER(SEARCH("chocolate puro", D26))), "Altamente irritante", IF(OR(AND(O26&gt;15, BI26&gt;1), ISNUMBER(SEARCH("chocolate", D26))), "Moderadamente irritante", "No irritante")))</f>
        <v>No irritante</v>
      </c>
      <c r="CC26" s="6" t="str">
        <f t="shared" si="16"/>
        <v>Exceso relativo de Omega 6</v>
      </c>
    </row>
    <row r="27" spans="1:81" ht="15" customHeight="1" x14ac:dyDescent="0.3">
      <c r="A27" s="2">
        <f t="shared" si="17"/>
        <v>26</v>
      </c>
      <c r="B27" s="3" t="s">
        <v>80</v>
      </c>
      <c r="C27" s="3" t="s">
        <v>105</v>
      </c>
      <c r="D27" s="3" t="s">
        <v>112</v>
      </c>
      <c r="E27" s="3"/>
      <c r="F27" s="4">
        <v>2</v>
      </c>
      <c r="G27" s="5">
        <v>1</v>
      </c>
      <c r="H27" s="5">
        <v>389</v>
      </c>
      <c r="I27" s="5">
        <v>6.6</v>
      </c>
      <c r="J27" s="5">
        <v>0</v>
      </c>
      <c r="K27" s="5">
        <v>11.5</v>
      </c>
      <c r="L27" s="5">
        <v>73.400000000000006</v>
      </c>
      <c r="M27" s="5">
        <v>68.2</v>
      </c>
      <c r="N27" s="5">
        <v>5.2</v>
      </c>
      <c r="O27" s="5">
        <v>0</v>
      </c>
      <c r="P27" s="5">
        <v>5.2</v>
      </c>
      <c r="Q27" s="5">
        <v>3.9</v>
      </c>
      <c r="R27" s="5">
        <v>0.5</v>
      </c>
      <c r="S27" s="5">
        <v>1.8</v>
      </c>
      <c r="T27" s="5">
        <v>0.82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0.01</v>
      </c>
      <c r="AA27" s="5">
        <v>3</v>
      </c>
      <c r="AB27" s="5">
        <v>0.42</v>
      </c>
      <c r="AC27" s="5">
        <v>0.34</v>
      </c>
      <c r="AD27" s="5">
        <v>5.7</v>
      </c>
      <c r="AE27" s="5">
        <v>6.3E-2</v>
      </c>
      <c r="AF27" s="5">
        <v>26</v>
      </c>
      <c r="AG27" s="5">
        <v>0.02</v>
      </c>
      <c r="AH27" s="5">
        <v>0.28000000000000003</v>
      </c>
      <c r="AI27" s="5">
        <v>0</v>
      </c>
      <c r="AJ27" s="5">
        <v>0</v>
      </c>
      <c r="AK27" s="5">
        <v>119</v>
      </c>
      <c r="AL27" s="5">
        <v>103</v>
      </c>
      <c r="AM27" s="5">
        <v>3.3</v>
      </c>
      <c r="AN27" s="5">
        <v>7</v>
      </c>
      <c r="AO27" s="5">
        <v>0.68</v>
      </c>
      <c r="AP27" s="5">
        <v>26</v>
      </c>
      <c r="AQ27" s="5">
        <v>192</v>
      </c>
      <c r="AR27" s="5">
        <v>131</v>
      </c>
      <c r="AS27" s="5">
        <v>0.42</v>
      </c>
      <c r="AT27" s="5">
        <v>0.14000000000000001</v>
      </c>
      <c r="AU27" s="5">
        <v>33.6</v>
      </c>
      <c r="AV27" s="5">
        <f>IFERROR(VLOOKUP(IFERROR(VLOOKUP(D27,Mapa_Similitud!$A$2:$B$2000,2,FALSE()),D27),Hoja1!$A$2:$K$1000,2,FALSE()),IFERROR(VLOOKUP(IFERROR(VLOOKUP(D27,Mapa_Similitud!$A$2:$B$2000,2,FALSE()),D27),Omega3_Referencia!$A$2:$E$100,3,FALSE()),0))</f>
        <v>0.04</v>
      </c>
      <c r="AW27" s="3" t="str">
        <f>IFERROR(VLOOKUP(IFERROR(VLOOKUP(D27,Mapa_Similitud!$A$2:$B$2000,2,FALSE()),D27),Hoja1!$A$2:$K$1000,3,FALSE()),IFERROR(VLOOKUP(IFERROR(VLOOKUP(D27,Mapa_Similitud!$A$2:$B$2000,2,FALSE()),D27),Omega3_Referencia!$A$2:$E$100,4,FALSE()),"N/A"))</f>
        <v>ALA</v>
      </c>
      <c r="AX27" s="5">
        <f>IFERROR(VLOOKUP(IFERROR(VLOOKUP(D27,Mapa_Similitud!$A$2:$B$2000,2,FALSE()),D27),Hoja1!$A$2:$K$1000,5,FALSE()),0)</f>
        <v>0.1</v>
      </c>
      <c r="AY27" s="5">
        <f>IFERROR(VLOOKUP(IFERROR(VLOOKUP(D27,Mapa_Similitud!$A$2:$B$2000,2,FALSE()),D27),Hoja1!$A$2:$K$1000,7,FALSE()),0)</f>
        <v>18</v>
      </c>
      <c r="AZ27" s="5">
        <f>IFERROR(VLOOKUP(IFERROR(VLOOKUP(D27,Mapa_Similitud!$A$2:$B$2000,2,FALSE()),D27),Hoja1!$A$2:$K$1000,9,FALSE()),0)</f>
        <v>0</v>
      </c>
      <c r="BA27" s="25">
        <f t="shared" si="0"/>
        <v>2.9562982005141389E-2</v>
      </c>
      <c r="BB27" s="25">
        <f t="shared" si="1"/>
        <v>1.3367609254498715E-2</v>
      </c>
      <c r="BC27" s="25">
        <f t="shared" si="2"/>
        <v>0.3059125964010283</v>
      </c>
      <c r="BD27" s="25">
        <f t="shared" si="3"/>
        <v>8.4832904884318758E-3</v>
      </c>
      <c r="BE27" s="25">
        <f t="shared" si="4"/>
        <v>0.49357326478149099</v>
      </c>
      <c r="BF27" s="25">
        <f t="shared" si="5"/>
        <v>1.64</v>
      </c>
      <c r="BG27" s="25">
        <f t="shared" si="6"/>
        <v>1.1553398058252426</v>
      </c>
      <c r="BH27" s="25">
        <f t="shared" si="7"/>
        <v>0.12820512820512822</v>
      </c>
      <c r="BI27" s="25">
        <f t="shared" si="8"/>
        <v>1.4656488549618321</v>
      </c>
      <c r="BJ27" s="25">
        <f t="shared" si="9"/>
        <v>7.0844686648501354E-2</v>
      </c>
      <c r="BK27" s="25">
        <f t="shared" si="10"/>
        <v>7.0844686648501354E-2</v>
      </c>
      <c r="BL27" s="25">
        <f t="shared" si="11"/>
        <v>9.0231362467866325E-2</v>
      </c>
      <c r="BM27" s="25">
        <f t="shared" si="12"/>
        <v>6.6838046272493568E-2</v>
      </c>
      <c r="BN27" s="18" t="str">
        <f t="shared" si="18"/>
        <v>Baja fuente de proteína</v>
      </c>
      <c r="BO27" s="18" t="str">
        <f t="shared" si="19"/>
        <v>Baja fuente de fibra</v>
      </c>
      <c r="BP27" s="18" t="str">
        <f t="shared" si="20"/>
        <v>Baja fuente de calcio</v>
      </c>
      <c r="BQ27" s="18" t="str">
        <f t="shared" si="21"/>
        <v>Media fuente de hierro</v>
      </c>
      <c r="BR27" s="18" t="str">
        <f t="shared" si="22"/>
        <v>Bajo en sodio</v>
      </c>
      <c r="BS27" s="6" t="str">
        <f t="shared" si="13"/>
        <v>Ligeramente antiinflamatorio</v>
      </c>
      <c r="BT27" s="6" t="str">
        <f t="shared" si="14"/>
        <v>Bajo en grasas</v>
      </c>
      <c r="BU27" s="18" t="str">
        <f t="shared" si="23"/>
        <v>Alto riesgo de retención de líquidos</v>
      </c>
      <c r="BV27" s="18" t="str">
        <f t="shared" si="24"/>
        <v>Baja fuente de magnesio</v>
      </c>
      <c r="BW27" s="18" t="str">
        <f t="shared" si="25"/>
        <v>Sin aporte de Omega 3</v>
      </c>
      <c r="BX27" s="18" t="str">
        <f t="shared" si="26"/>
        <v>Contiene grasas trans</v>
      </c>
      <c r="BY27" s="18" t="str">
        <f t="shared" si="27"/>
        <v>Medio poder antioxidante</v>
      </c>
      <c r="BZ27" s="6" t="str">
        <f t="shared" si="15"/>
        <v>Sin probióticos</v>
      </c>
      <c r="CA27" s="18" t="str">
        <f t="shared" si="28"/>
        <v>Moderadamente inflamatorio</v>
      </c>
      <c r="CB27" s="18" t="str">
        <f>IF(ISNUMBER(SEARCH("miel", D27)), "No irritante (Uso condicionado SII)", IF(OR(J27&gt;0, ISNUMBER(SEARCH("cacao", D27)), ISNUMBER(SEARCH("chocolate puro", D27))), "Altamente irritante", IF(OR(AND(O27&gt;15, BI27&gt;1), ISNUMBER(SEARCH("chocolate", D27))), "Moderadamente irritante", "No irritante")))</f>
        <v>No irritante</v>
      </c>
      <c r="CC27" s="6" t="str">
        <f t="shared" si="16"/>
        <v>Exceso relativo de Omega 6</v>
      </c>
    </row>
    <row r="28" spans="1:81" ht="15" customHeight="1" x14ac:dyDescent="0.3">
      <c r="A28" s="2">
        <f t="shared" si="17"/>
        <v>27</v>
      </c>
      <c r="B28" s="3" t="s">
        <v>80</v>
      </c>
      <c r="C28" s="3" t="s">
        <v>105</v>
      </c>
      <c r="D28" s="3" t="s">
        <v>113</v>
      </c>
      <c r="E28" s="3"/>
      <c r="F28" s="4">
        <v>1.5</v>
      </c>
      <c r="G28" s="5">
        <v>1</v>
      </c>
      <c r="H28" s="5">
        <v>275</v>
      </c>
      <c r="I28" s="5">
        <v>34.700000000000003</v>
      </c>
      <c r="J28" s="5">
        <v>0</v>
      </c>
      <c r="K28" s="5">
        <v>8.4</v>
      </c>
      <c r="L28" s="5">
        <v>48.5</v>
      </c>
      <c r="M28" s="5">
        <v>37.9</v>
      </c>
      <c r="N28" s="5">
        <v>10.6</v>
      </c>
      <c r="O28" s="5">
        <v>5.7</v>
      </c>
      <c r="P28" s="5">
        <v>4</v>
      </c>
      <c r="Q28" s="5">
        <v>4.4000000000000004</v>
      </c>
      <c r="R28" s="5">
        <v>0.7</v>
      </c>
      <c r="S28" s="5">
        <v>1.6</v>
      </c>
      <c r="T28" s="5">
        <v>1.7</v>
      </c>
      <c r="U28" s="5">
        <v>0</v>
      </c>
      <c r="V28" s="5">
        <v>2</v>
      </c>
      <c r="W28" s="5">
        <v>2</v>
      </c>
      <c r="X28" s="5">
        <v>0</v>
      </c>
      <c r="Y28" s="5">
        <v>0</v>
      </c>
      <c r="Z28" s="5">
        <v>0.61</v>
      </c>
      <c r="AA28" s="5">
        <v>0</v>
      </c>
      <c r="AB28" s="5">
        <v>0.4</v>
      </c>
      <c r="AC28" s="5">
        <v>0.24</v>
      </c>
      <c r="AD28" s="5">
        <v>3.1</v>
      </c>
      <c r="AE28" s="5">
        <v>0</v>
      </c>
      <c r="AF28" s="5">
        <v>0</v>
      </c>
      <c r="AG28" s="5">
        <v>0.03</v>
      </c>
      <c r="AH28" s="5">
        <v>0.34</v>
      </c>
      <c r="AI28" s="5">
        <v>0</v>
      </c>
      <c r="AJ28" s="5">
        <v>0</v>
      </c>
      <c r="AK28" s="5">
        <v>43</v>
      </c>
      <c r="AL28" s="5">
        <v>147</v>
      </c>
      <c r="AM28" s="5">
        <v>3.2</v>
      </c>
      <c r="AN28" s="5">
        <v>0</v>
      </c>
      <c r="AO28" s="5">
        <v>1</v>
      </c>
      <c r="AP28" s="5">
        <v>68</v>
      </c>
      <c r="AQ28" s="5">
        <v>23.4</v>
      </c>
      <c r="AR28" s="5">
        <v>165</v>
      </c>
      <c r="AS28" s="5">
        <v>0</v>
      </c>
      <c r="AT28" s="5">
        <v>0.21</v>
      </c>
      <c r="AU28" s="5">
        <v>24.6</v>
      </c>
      <c r="AV28" s="5">
        <f>IFERROR(VLOOKUP(IFERROR(VLOOKUP(D28,Mapa_Similitud!$A$2:$B$2000,2,FALSE()),D28),Hoja1!$A$2:$K$1000,2,FALSE()),IFERROR(VLOOKUP(IFERROR(VLOOKUP(D28,Mapa_Similitud!$A$2:$B$2000,2,FALSE()),D28),Omega3_Referencia!$A$2:$E$100,3,FALSE()),0))</f>
        <v>0.08</v>
      </c>
      <c r="AW28" s="3" t="str">
        <f>IFERROR(VLOOKUP(IFERROR(VLOOKUP(D28,Mapa_Similitud!$A$2:$B$2000,2,FALSE()),D28),Hoja1!$A$2:$K$1000,3,FALSE()),IFERROR(VLOOKUP(IFERROR(VLOOKUP(D28,Mapa_Similitud!$A$2:$B$2000,2,FALSE()),D28),Omega3_Referencia!$A$2:$E$100,4,FALSE()),"N/A"))</f>
        <v>ALA</v>
      </c>
      <c r="AX28" s="5">
        <f>IFERROR(VLOOKUP(IFERROR(VLOOKUP(D28,Mapa_Similitud!$A$2:$B$2000,2,FALSE()),D28),Hoja1!$A$2:$K$1000,5,FALSE()),0)</f>
        <v>0</v>
      </c>
      <c r="AY28" s="5">
        <f>IFERROR(VLOOKUP(IFERROR(VLOOKUP(D28,Mapa_Similitud!$A$2:$B$2000,2,FALSE()),D28),Hoja1!$A$2:$K$1000,7,FALSE()),0)</f>
        <v>45</v>
      </c>
      <c r="AZ28" s="5">
        <f>IFERROR(VLOOKUP(IFERROR(VLOOKUP(D28,Mapa_Similitud!$A$2:$B$2000,2,FALSE()),D28),Hoja1!$A$2:$K$1000,9,FALSE()),0)</f>
        <v>0</v>
      </c>
      <c r="BA28" s="25">
        <f t="shared" si="0"/>
        <v>3.0545454545454546E-2</v>
      </c>
      <c r="BB28" s="25">
        <f t="shared" si="1"/>
        <v>1.4545454545454545E-2</v>
      </c>
      <c r="BC28" s="25">
        <f t="shared" si="2"/>
        <v>0.15636363636363637</v>
      </c>
      <c r="BD28" s="25">
        <f t="shared" si="3"/>
        <v>1.1636363636363637E-2</v>
      </c>
      <c r="BE28" s="25">
        <f t="shared" si="4"/>
        <v>8.5090909090909092E-2</v>
      </c>
      <c r="BF28" s="25">
        <f t="shared" si="5"/>
        <v>2.4285714285714288</v>
      </c>
      <c r="BG28" s="25">
        <f t="shared" si="6"/>
        <v>0.29251700680272108</v>
      </c>
      <c r="BH28" s="25">
        <f t="shared" si="7"/>
        <v>0.15909090909090906</v>
      </c>
      <c r="BI28" s="25">
        <f t="shared" si="8"/>
        <v>0.14181818181818182</v>
      </c>
      <c r="BJ28" s="25">
        <f t="shared" si="9"/>
        <v>0.21855670103092784</v>
      </c>
      <c r="BK28" s="25">
        <f t="shared" si="10"/>
        <v>8.247422680412371E-2</v>
      </c>
      <c r="BL28" s="25">
        <f t="shared" si="11"/>
        <v>0.14400000000000002</v>
      </c>
      <c r="BM28" s="25">
        <f t="shared" si="12"/>
        <v>0.24727272727272728</v>
      </c>
      <c r="BN28" s="18" t="str">
        <f t="shared" si="18"/>
        <v>Baja fuente de proteína</v>
      </c>
      <c r="BO28" s="18" t="str">
        <f t="shared" si="19"/>
        <v>Baja fuente de fibra</v>
      </c>
      <c r="BP28" s="18" t="str">
        <f t="shared" si="20"/>
        <v>Baja fuente de calcio</v>
      </c>
      <c r="BQ28" s="18" t="str">
        <f t="shared" si="21"/>
        <v>Media fuente de hierro</v>
      </c>
      <c r="BR28" s="18" t="str">
        <f t="shared" si="22"/>
        <v>Bajo en sodio</v>
      </c>
      <c r="BS28" s="6" t="str">
        <f t="shared" si="13"/>
        <v>Altamente antiinflamatorio</v>
      </c>
      <c r="BT28" s="6" t="str">
        <f t="shared" si="14"/>
        <v>Bajo en grasas</v>
      </c>
      <c r="BU28" s="18" t="str">
        <f t="shared" si="23"/>
        <v>Equilibrio de líquidos ideal</v>
      </c>
      <c r="BV28" s="18" t="str">
        <f t="shared" si="24"/>
        <v>Media fuente de magnesio</v>
      </c>
      <c r="BW28" s="18" t="str">
        <f t="shared" si="25"/>
        <v>Sin aporte de Omega 3</v>
      </c>
      <c r="BX28" s="18" t="str">
        <f t="shared" si="26"/>
        <v>Libre de grasas trans</v>
      </c>
      <c r="BY28" s="18" t="str">
        <f t="shared" si="27"/>
        <v>Medio poder antioxidante</v>
      </c>
      <c r="BZ28" s="6" t="str">
        <f t="shared" si="15"/>
        <v>Sin probióticos</v>
      </c>
      <c r="CA28" s="18" t="str">
        <f t="shared" si="28"/>
        <v>Moderadamente inflamatorio</v>
      </c>
      <c r="CB28" s="18" t="str">
        <f>IF(ISNUMBER(SEARCH("miel", D28)), "No irritante (Uso condicionado SII)", IF(OR(J28&gt;0, ISNUMBER(SEARCH("cacao", D28)), ISNUMBER(SEARCH("chocolate puro", D28))), "Altamente irritante", IF(OR(AND(O28&gt;15, BI28&gt;1), ISNUMBER(SEARCH("chocolate", D28))), "Moderadamente irritante", "No irritante")))</f>
        <v>No irritante</v>
      </c>
      <c r="CC28" s="6" t="str">
        <f t="shared" si="16"/>
        <v>Exceso relativo de Omega 6</v>
      </c>
    </row>
    <row r="29" spans="1:81" ht="15" customHeight="1" x14ac:dyDescent="0.3">
      <c r="A29" s="2">
        <f t="shared" si="17"/>
        <v>28</v>
      </c>
      <c r="B29" s="3" t="s">
        <v>80</v>
      </c>
      <c r="C29" s="3" t="s">
        <v>105</v>
      </c>
      <c r="D29" s="3" t="s">
        <v>114</v>
      </c>
      <c r="E29" s="3"/>
      <c r="F29" s="4">
        <v>1.2</v>
      </c>
      <c r="G29" s="5">
        <v>1</v>
      </c>
      <c r="H29" s="5">
        <v>248</v>
      </c>
      <c r="I29" s="5">
        <v>41.6</v>
      </c>
      <c r="J29" s="5">
        <v>0</v>
      </c>
      <c r="K29" s="5">
        <v>6.4</v>
      </c>
      <c r="L29" s="5">
        <v>43.5</v>
      </c>
      <c r="M29" s="5">
        <v>37.799999999999997</v>
      </c>
      <c r="N29" s="5">
        <v>5.7</v>
      </c>
      <c r="O29" s="5">
        <v>0</v>
      </c>
      <c r="P29" s="5">
        <v>4</v>
      </c>
      <c r="Q29" s="5">
        <v>4.5</v>
      </c>
      <c r="R29" s="5">
        <v>0.7</v>
      </c>
      <c r="S29" s="5">
        <v>0.61</v>
      </c>
      <c r="T29" s="5">
        <v>1.6</v>
      </c>
      <c r="U29" s="5">
        <v>0</v>
      </c>
      <c r="V29" s="5">
        <v>0.83</v>
      </c>
      <c r="W29" s="5">
        <v>0</v>
      </c>
      <c r="X29" s="5">
        <v>5</v>
      </c>
      <c r="Y29" s="5">
        <v>0</v>
      </c>
      <c r="Z29" s="5">
        <v>0</v>
      </c>
      <c r="AA29" s="5">
        <v>0</v>
      </c>
      <c r="AB29" s="5">
        <v>0.41</v>
      </c>
      <c r="AC29" s="5">
        <v>0.25</v>
      </c>
      <c r="AD29" s="5">
        <v>5.6</v>
      </c>
      <c r="AE29" s="5">
        <v>0.11</v>
      </c>
      <c r="AF29" s="5">
        <v>85</v>
      </c>
      <c r="AG29" s="5">
        <v>0</v>
      </c>
      <c r="AH29" s="5">
        <v>0</v>
      </c>
      <c r="AI29" s="5">
        <v>0</v>
      </c>
      <c r="AJ29" s="5">
        <v>0.2</v>
      </c>
      <c r="AK29" s="5">
        <v>125</v>
      </c>
      <c r="AL29" s="5">
        <v>129</v>
      </c>
      <c r="AM29" s="5">
        <v>3.6</v>
      </c>
      <c r="AN29" s="5">
        <v>0</v>
      </c>
      <c r="AO29" s="5">
        <v>1</v>
      </c>
      <c r="AP29" s="5">
        <v>41</v>
      </c>
      <c r="AQ29" s="5">
        <v>473</v>
      </c>
      <c r="AR29" s="5">
        <v>141</v>
      </c>
      <c r="AS29" s="5">
        <v>0</v>
      </c>
      <c r="AT29" s="5">
        <v>0.15</v>
      </c>
      <c r="AU29" s="5">
        <v>28.8</v>
      </c>
      <c r="AV29" s="5">
        <f>IFERROR(VLOOKUP(IFERROR(VLOOKUP(D29,Mapa_Similitud!$A$2:$B$2000,2,FALSE()),D29),Hoja1!$A$2:$K$1000,2,FALSE()),IFERROR(VLOOKUP(IFERROR(VLOOKUP(D29,Mapa_Similitud!$A$2:$B$2000,2,FALSE()),D29),Omega3_Referencia!$A$2:$E$100,3,FALSE()),0))</f>
        <v>0.06</v>
      </c>
      <c r="AW29" s="3" t="str">
        <f>IFERROR(VLOOKUP(IFERROR(VLOOKUP(D29,Mapa_Similitud!$A$2:$B$2000,2,FALSE()),D29),Hoja1!$A$2:$K$1000,3,FALSE()),IFERROR(VLOOKUP(IFERROR(VLOOKUP(D29,Mapa_Similitud!$A$2:$B$2000,2,FALSE()),D29),Omega3_Referencia!$A$2:$E$100,4,FALSE()),"N/A"))</f>
        <v>ALA</v>
      </c>
      <c r="AX29" s="5">
        <f>IFERROR(VLOOKUP(IFERROR(VLOOKUP(D29,Mapa_Similitud!$A$2:$B$2000,2,FALSE()),D29),Hoja1!$A$2:$K$1000,5,FALSE()),0)</f>
        <v>0</v>
      </c>
      <c r="AY29" s="5">
        <f>IFERROR(VLOOKUP(IFERROR(VLOOKUP(D29,Mapa_Similitud!$A$2:$B$2000,2,FALSE()),D29),Hoja1!$A$2:$K$1000,7,FALSE()),0)</f>
        <v>40</v>
      </c>
      <c r="AZ29" s="5">
        <f>IFERROR(VLOOKUP(IFERROR(VLOOKUP(D29,Mapa_Similitud!$A$2:$B$2000,2,FALSE()),D29),Hoja1!$A$2:$K$1000,9,FALSE()),0)</f>
        <v>0</v>
      </c>
      <c r="BA29" s="25">
        <f t="shared" si="0"/>
        <v>2.5806451612903226E-2</v>
      </c>
      <c r="BB29" s="25">
        <f t="shared" si="1"/>
        <v>1.6129032258064516E-2</v>
      </c>
      <c r="BC29" s="25">
        <f t="shared" si="2"/>
        <v>0.50403225806451613</v>
      </c>
      <c r="BD29" s="25">
        <f t="shared" si="3"/>
        <v>1.4516129032258065E-2</v>
      </c>
      <c r="BE29" s="25">
        <f t="shared" si="4"/>
        <v>1.907258064516129</v>
      </c>
      <c r="BF29" s="25">
        <f t="shared" si="5"/>
        <v>2.285714285714286</v>
      </c>
      <c r="BG29" s="25">
        <f t="shared" si="6"/>
        <v>0.96899224806201545</v>
      </c>
      <c r="BH29" s="25">
        <f t="shared" si="7"/>
        <v>0.15555555555555556</v>
      </c>
      <c r="BI29" s="25">
        <f t="shared" si="8"/>
        <v>3.354609929078014</v>
      </c>
      <c r="BJ29" s="25">
        <f t="shared" si="9"/>
        <v>0.1310344827586207</v>
      </c>
      <c r="BK29" s="25">
        <f t="shared" si="10"/>
        <v>9.1954022988505746E-2</v>
      </c>
      <c r="BL29" s="25">
        <f t="shared" si="11"/>
        <v>0.16330645161290322</v>
      </c>
      <c r="BM29" s="25">
        <f t="shared" si="12"/>
        <v>0.16532258064516128</v>
      </c>
      <c r="BN29" s="18" t="str">
        <f t="shared" si="18"/>
        <v>Baja fuente de proteína</v>
      </c>
      <c r="BO29" s="18" t="str">
        <f t="shared" si="19"/>
        <v>Media fuente de fibra</v>
      </c>
      <c r="BP29" s="18" t="str">
        <f t="shared" si="20"/>
        <v>Baja fuente de calcio</v>
      </c>
      <c r="BQ29" s="18" t="str">
        <f t="shared" si="21"/>
        <v>Media fuente de hierro</v>
      </c>
      <c r="BR29" s="18" t="str">
        <f t="shared" si="22"/>
        <v>Alto en sodio</v>
      </c>
      <c r="BS29" s="6" t="str">
        <f t="shared" si="13"/>
        <v>Altamente antiinflamatorio</v>
      </c>
      <c r="BT29" s="6" t="str">
        <f t="shared" si="14"/>
        <v>Bajo en grasas</v>
      </c>
      <c r="BU29" s="18" t="str">
        <f t="shared" si="23"/>
        <v>Alto riesgo de retención de líquidos</v>
      </c>
      <c r="BV29" s="18" t="str">
        <f t="shared" si="24"/>
        <v>Baja fuente de magnesio</v>
      </c>
      <c r="BW29" s="18" t="str">
        <f t="shared" si="25"/>
        <v>Sin aporte de Omega 3</v>
      </c>
      <c r="BX29" s="18" t="str">
        <f t="shared" si="26"/>
        <v>Libre de grasas trans</v>
      </c>
      <c r="BY29" s="18" t="str">
        <f t="shared" si="27"/>
        <v>Medio poder antioxidante</v>
      </c>
      <c r="BZ29" s="6" t="str">
        <f t="shared" si="15"/>
        <v>Sin probióticos</v>
      </c>
      <c r="CA29" s="18" t="str">
        <f t="shared" si="28"/>
        <v>Poco inflamatorio</v>
      </c>
      <c r="CB29" s="18" t="str">
        <f>IF(ISNUMBER(SEARCH("miel", D29)), "No irritante (Uso condicionado SII)", IF(OR(J29&gt;0, ISNUMBER(SEARCH("cacao", D29)), ISNUMBER(SEARCH("chocolate puro", D29))), "Altamente irritante", IF(OR(AND(O29&gt;15, BI29&gt;1), ISNUMBER(SEARCH("chocolate", D29))), "Moderadamente irritante", "No irritante")))</f>
        <v>No irritante</v>
      </c>
      <c r="CC29" s="6" t="str">
        <f t="shared" si="16"/>
        <v>Exceso relativo de Omega 6</v>
      </c>
    </row>
    <row r="30" spans="1:81" ht="15" customHeight="1" x14ac:dyDescent="0.3">
      <c r="A30" s="2">
        <f t="shared" si="17"/>
        <v>29</v>
      </c>
      <c r="B30" s="3" t="s">
        <v>80</v>
      </c>
      <c r="C30" s="3" t="s">
        <v>105</v>
      </c>
      <c r="D30" s="3" t="s">
        <v>115</v>
      </c>
      <c r="E30" s="3"/>
      <c r="F30" s="4">
        <v>2.5</v>
      </c>
      <c r="G30" s="5">
        <v>1</v>
      </c>
      <c r="H30" s="5">
        <v>245</v>
      </c>
      <c r="I30" s="5">
        <v>39.9</v>
      </c>
      <c r="J30" s="5">
        <v>0</v>
      </c>
      <c r="K30" s="5">
        <v>8.5</v>
      </c>
      <c r="L30" s="5">
        <v>42.5</v>
      </c>
      <c r="M30" s="5">
        <v>38.700000000000003</v>
      </c>
      <c r="N30" s="5">
        <v>3.9</v>
      </c>
      <c r="O30" s="5">
        <v>0</v>
      </c>
      <c r="P30" s="5">
        <v>5.8</v>
      </c>
      <c r="Q30" s="5">
        <v>3.3</v>
      </c>
      <c r="R30" s="5">
        <v>0.63</v>
      </c>
      <c r="S30" s="5">
        <v>1.3</v>
      </c>
      <c r="T30" s="5">
        <v>0.8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0.33</v>
      </c>
      <c r="AA30" s="5">
        <v>1.2</v>
      </c>
      <c r="AB30" s="5">
        <v>0.43</v>
      </c>
      <c r="AC30" s="5">
        <v>0.34</v>
      </c>
      <c r="AD30" s="5">
        <v>3.8</v>
      </c>
      <c r="AE30" s="5">
        <v>7.4999999999999997E-2</v>
      </c>
      <c r="AF30" s="5">
        <v>59</v>
      </c>
      <c r="AG30" s="5">
        <v>0</v>
      </c>
      <c r="AH30" s="5">
        <v>0.44</v>
      </c>
      <c r="AI30" s="5">
        <v>0</v>
      </c>
      <c r="AJ30" s="5">
        <v>0.4</v>
      </c>
      <c r="AK30" s="5">
        <v>73</v>
      </c>
      <c r="AL30" s="5">
        <v>125</v>
      </c>
      <c r="AM30" s="5">
        <v>2.8</v>
      </c>
      <c r="AN30" s="5">
        <v>0</v>
      </c>
      <c r="AO30" s="5">
        <v>1.1000000000000001</v>
      </c>
      <c r="AP30" s="5">
        <v>40</v>
      </c>
      <c r="AQ30" s="5">
        <v>603</v>
      </c>
      <c r="AR30" s="5">
        <v>166</v>
      </c>
      <c r="AS30" s="5">
        <v>0.82</v>
      </c>
      <c r="AT30" s="5">
        <v>0.19</v>
      </c>
      <c r="AU30" s="5">
        <v>30.9</v>
      </c>
      <c r="AV30" s="5">
        <f>IFERROR(VLOOKUP(IFERROR(VLOOKUP(D30,Mapa_Similitud!$A$2:$B$2000,2,FALSE()),D30),Hoja1!$A$2:$K$1000,2,FALSE()),IFERROR(VLOOKUP(IFERROR(VLOOKUP(D30,Mapa_Similitud!$A$2:$B$2000,2,FALSE()),D30),Omega3_Referencia!$A$2:$E$100,3,FALSE()),0))</f>
        <v>0.05</v>
      </c>
      <c r="AW30" s="3" t="str">
        <f>IFERROR(VLOOKUP(IFERROR(VLOOKUP(D30,Mapa_Similitud!$A$2:$B$2000,2,FALSE()),D30),Hoja1!$A$2:$K$1000,3,FALSE()),IFERROR(VLOOKUP(IFERROR(VLOOKUP(D30,Mapa_Similitud!$A$2:$B$2000,2,FALSE()),D30),Omega3_Referencia!$A$2:$E$100,4,FALSE()),"N/A"))</f>
        <v>ALA</v>
      </c>
      <c r="AX30" s="5">
        <f>IFERROR(VLOOKUP(IFERROR(VLOOKUP(D30,Mapa_Similitud!$A$2:$B$2000,2,FALSE()),D30),Hoja1!$A$2:$K$1000,5,FALSE()),0)</f>
        <v>0</v>
      </c>
      <c r="AY30" s="5">
        <f>IFERROR(VLOOKUP(IFERROR(VLOOKUP(D30,Mapa_Similitud!$A$2:$B$2000,2,FALSE()),D30),Hoja1!$A$2:$K$1000,7,FALSE()),0)</f>
        <v>50</v>
      </c>
      <c r="AZ30" s="5">
        <f>IFERROR(VLOOKUP(IFERROR(VLOOKUP(D30,Mapa_Similitud!$A$2:$B$2000,2,FALSE()),D30),Hoja1!$A$2:$K$1000,9,FALSE()),0)</f>
        <v>0</v>
      </c>
      <c r="BA30" s="25">
        <f t="shared" si="0"/>
        <v>3.4693877551020408E-2</v>
      </c>
      <c r="BB30" s="25">
        <f t="shared" si="1"/>
        <v>2.3673469387755101E-2</v>
      </c>
      <c r="BC30" s="25">
        <f t="shared" si="2"/>
        <v>0.29795918367346941</v>
      </c>
      <c r="BD30" s="25">
        <f t="shared" si="3"/>
        <v>1.1428571428571429E-2</v>
      </c>
      <c r="BE30" s="25">
        <f t="shared" si="4"/>
        <v>2.4612244897959186</v>
      </c>
      <c r="BF30" s="25">
        <f t="shared" si="5"/>
        <v>1.26984126984127</v>
      </c>
      <c r="BG30" s="25">
        <f t="shared" si="6"/>
        <v>0.58399999999999996</v>
      </c>
      <c r="BH30" s="25">
        <f t="shared" si="7"/>
        <v>0.19090909090909092</v>
      </c>
      <c r="BI30" s="25">
        <f t="shared" si="8"/>
        <v>3.6325301204819276</v>
      </c>
      <c r="BJ30" s="25">
        <f t="shared" si="9"/>
        <v>9.1764705882352943E-2</v>
      </c>
      <c r="BK30" s="25">
        <f t="shared" si="10"/>
        <v>0.13647058823529412</v>
      </c>
      <c r="BL30" s="25">
        <f t="shared" si="11"/>
        <v>0.12122448979591836</v>
      </c>
      <c r="BM30" s="25">
        <f t="shared" si="12"/>
        <v>0.16326530612244897</v>
      </c>
      <c r="BN30" s="18" t="str">
        <f t="shared" si="18"/>
        <v>Baja fuente de proteína</v>
      </c>
      <c r="BO30" s="18" t="str">
        <f t="shared" si="19"/>
        <v>Media fuente de fibra</v>
      </c>
      <c r="BP30" s="18" t="str">
        <f t="shared" si="20"/>
        <v>Baja fuente de calcio</v>
      </c>
      <c r="BQ30" s="18" t="str">
        <f t="shared" si="21"/>
        <v>Media fuente de hierro</v>
      </c>
      <c r="BR30" s="18" t="str">
        <f t="shared" si="22"/>
        <v>Muy alto en sodio</v>
      </c>
      <c r="BS30" s="6" t="str">
        <f t="shared" si="13"/>
        <v>Ligeramente antiinflamatorio</v>
      </c>
      <c r="BT30" s="6" t="str">
        <f t="shared" si="14"/>
        <v>Bajo en grasas</v>
      </c>
      <c r="BU30" s="18" t="str">
        <f t="shared" si="23"/>
        <v>Alto riesgo de retención de líquidos</v>
      </c>
      <c r="BV30" s="18" t="str">
        <f t="shared" si="24"/>
        <v>Baja fuente de magnesio</v>
      </c>
      <c r="BW30" s="18" t="str">
        <f t="shared" si="25"/>
        <v>Sin aporte de Omega 3</v>
      </c>
      <c r="BX30" s="18" t="str">
        <f t="shared" si="26"/>
        <v>Libre de grasas trans</v>
      </c>
      <c r="BY30" s="18" t="str">
        <f t="shared" si="27"/>
        <v>Alto poder antioxidante</v>
      </c>
      <c r="BZ30" s="6" t="str">
        <f t="shared" si="15"/>
        <v>Sin probióticos</v>
      </c>
      <c r="CA30" s="18" t="str">
        <f t="shared" si="28"/>
        <v>Antiinflamatorio</v>
      </c>
      <c r="CB30" s="18" t="str">
        <f>IF(ISNUMBER(SEARCH("miel", D30)), "No irritante (Uso condicionado SII)", IF(OR(J30&gt;0, ISNUMBER(SEARCH("cacao", D30)), ISNUMBER(SEARCH("chocolate puro", D30))), "Altamente irritante", IF(OR(AND(O30&gt;15, BI30&gt;1), ISNUMBER(SEARCH("chocolate", D30))), "Moderadamente irritante", "No irritante")))</f>
        <v>No irritante</v>
      </c>
      <c r="CC30" s="6" t="str">
        <f t="shared" si="16"/>
        <v>Exceso relativo de Omega 6</v>
      </c>
    </row>
    <row r="31" spans="1:81" ht="15" customHeight="1" x14ac:dyDescent="0.3">
      <c r="A31" s="2">
        <f t="shared" si="17"/>
        <v>30</v>
      </c>
      <c r="B31" s="3" t="s">
        <v>80</v>
      </c>
      <c r="C31" s="3" t="s">
        <v>105</v>
      </c>
      <c r="D31" s="3" t="s">
        <v>116</v>
      </c>
      <c r="E31" s="3"/>
      <c r="F31" s="4">
        <v>2</v>
      </c>
      <c r="G31" s="5">
        <v>1</v>
      </c>
      <c r="H31" s="5">
        <v>274</v>
      </c>
      <c r="I31" s="5">
        <v>31.8</v>
      </c>
      <c r="J31" s="5">
        <v>0</v>
      </c>
      <c r="K31" s="5">
        <v>9.1</v>
      </c>
      <c r="L31" s="5">
        <v>55.7</v>
      </c>
      <c r="M31" s="5">
        <v>54.4</v>
      </c>
      <c r="N31" s="5">
        <v>1.3</v>
      </c>
      <c r="O31" s="5">
        <v>0</v>
      </c>
      <c r="P31" s="5">
        <v>2.2000000000000002</v>
      </c>
      <c r="Q31" s="5">
        <v>1.2</v>
      </c>
      <c r="R31" s="5">
        <v>0.17</v>
      </c>
      <c r="S31" s="5">
        <v>0.11</v>
      </c>
      <c r="T31" s="5">
        <v>0.54</v>
      </c>
      <c r="U31" s="5">
        <v>0</v>
      </c>
      <c r="V31" s="5">
        <v>8.3000000000000007</v>
      </c>
      <c r="W31" s="5">
        <v>0</v>
      </c>
      <c r="X31" s="5">
        <v>50</v>
      </c>
      <c r="Y31" s="5">
        <v>0</v>
      </c>
      <c r="Z31" s="5">
        <v>7.3999999999999996E-2</v>
      </c>
      <c r="AA31" s="5">
        <v>0</v>
      </c>
      <c r="AB31" s="5">
        <v>0.11</v>
      </c>
      <c r="AC31" s="5">
        <v>0.08</v>
      </c>
      <c r="AD31" s="5">
        <v>2.6</v>
      </c>
      <c r="AE31" s="5">
        <v>0.05</v>
      </c>
      <c r="AF31" s="5">
        <v>21</v>
      </c>
      <c r="AG31" s="5">
        <v>0</v>
      </c>
      <c r="AH31" s="5">
        <v>0</v>
      </c>
      <c r="AI31" s="5">
        <v>0</v>
      </c>
      <c r="AJ31" s="5">
        <v>0</v>
      </c>
      <c r="AK31" s="5">
        <v>52.7</v>
      </c>
      <c r="AL31" s="5">
        <v>153</v>
      </c>
      <c r="AM31" s="5">
        <v>1</v>
      </c>
      <c r="AN31" s="5">
        <v>10</v>
      </c>
      <c r="AO31" s="5">
        <v>1</v>
      </c>
      <c r="AP31" s="5">
        <v>18.100000000000001</v>
      </c>
      <c r="AQ31" s="5">
        <v>530</v>
      </c>
      <c r="AR31" s="5">
        <v>134</v>
      </c>
      <c r="AS31" s="5">
        <v>0</v>
      </c>
      <c r="AT31" s="5">
        <v>0</v>
      </c>
      <c r="AU31" s="5">
        <v>0</v>
      </c>
      <c r="AV31" s="5">
        <f>IFERROR(VLOOKUP(IFERROR(VLOOKUP(D31,Mapa_Similitud!$A$2:$B$2000,2,FALSE()),D31),Hoja1!$A$2:$K$1000,2,FALSE()),IFERROR(VLOOKUP(IFERROR(VLOOKUP(D31,Mapa_Similitud!$A$2:$B$2000,2,FALSE()),D31),Omega3_Referencia!$A$2:$E$100,3,FALSE()),0))</f>
        <v>0.03</v>
      </c>
      <c r="AW31" s="3" t="str">
        <f>IFERROR(VLOOKUP(IFERROR(VLOOKUP(D31,Mapa_Similitud!$A$2:$B$2000,2,FALSE()),D31),Hoja1!$A$2:$K$1000,3,FALSE()),IFERROR(VLOOKUP(IFERROR(VLOOKUP(D31,Mapa_Similitud!$A$2:$B$2000,2,FALSE()),D31),Omega3_Referencia!$A$2:$E$100,4,FALSE()),"N/A"))</f>
        <v>ALA</v>
      </c>
      <c r="AX31" s="5">
        <f>IFERROR(VLOOKUP(IFERROR(VLOOKUP(D31,Mapa_Similitud!$A$2:$B$2000,2,FALSE()),D31),Hoja1!$A$2:$K$1000,5,FALSE()),0)</f>
        <v>0</v>
      </c>
      <c r="AY31" s="5">
        <f>IFERROR(VLOOKUP(IFERROR(VLOOKUP(D31,Mapa_Similitud!$A$2:$B$2000,2,FALSE()),D31),Hoja1!$A$2:$K$1000,7,FALSE()),0)</f>
        <v>15</v>
      </c>
      <c r="AZ31" s="5">
        <f>IFERROR(VLOOKUP(IFERROR(VLOOKUP(D31,Mapa_Similitud!$A$2:$B$2000,2,FALSE()),D31),Hoja1!$A$2:$K$1000,9,FALSE()),0)</f>
        <v>0</v>
      </c>
      <c r="BA31" s="25">
        <f t="shared" si="0"/>
        <v>3.3211678832116787E-2</v>
      </c>
      <c r="BB31" s="25">
        <f t="shared" si="1"/>
        <v>8.0291970802919711E-3</v>
      </c>
      <c r="BC31" s="25">
        <f t="shared" si="2"/>
        <v>0.19233576642335767</v>
      </c>
      <c r="BD31" s="25">
        <f t="shared" si="3"/>
        <v>3.6496350364963502E-3</v>
      </c>
      <c r="BE31" s="25">
        <f t="shared" si="4"/>
        <v>1.9343065693430657</v>
      </c>
      <c r="BF31" s="25">
        <f t="shared" si="5"/>
        <v>3.1764705882352939</v>
      </c>
      <c r="BG31" s="25">
        <f t="shared" si="6"/>
        <v>0.34444444444444444</v>
      </c>
      <c r="BH31" s="25">
        <f t="shared" si="7"/>
        <v>0.14166666666666669</v>
      </c>
      <c r="BI31" s="25">
        <f t="shared" si="8"/>
        <v>3.955223880597015</v>
      </c>
      <c r="BJ31" s="25">
        <f t="shared" si="9"/>
        <v>2.333931777378815E-2</v>
      </c>
      <c r="BK31" s="25">
        <f t="shared" si="10"/>
        <v>3.949730700179533E-2</v>
      </c>
      <c r="BL31" s="25">
        <f t="shared" si="11"/>
        <v>3.9416058394160583E-2</v>
      </c>
      <c r="BM31" s="25">
        <f t="shared" si="12"/>
        <v>6.6058394160583941E-2</v>
      </c>
      <c r="BN31" s="18" t="str">
        <f t="shared" si="18"/>
        <v>Baja fuente de proteína</v>
      </c>
      <c r="BO31" s="18" t="str">
        <f t="shared" si="19"/>
        <v>Baja fuente de fibra</v>
      </c>
      <c r="BP31" s="18" t="str">
        <f t="shared" si="20"/>
        <v>Baja fuente de calcio</v>
      </c>
      <c r="BQ31" s="18" t="str">
        <f t="shared" si="21"/>
        <v>Baja fuente de hierro</v>
      </c>
      <c r="BR31" s="18" t="str">
        <f t="shared" si="22"/>
        <v>Alto en sodio</v>
      </c>
      <c r="BS31" s="6" t="str">
        <f t="shared" si="13"/>
        <v>Altamente antiinflamatorio</v>
      </c>
      <c r="BT31" s="6" t="str">
        <f t="shared" si="14"/>
        <v>Bajo en grasas</v>
      </c>
      <c r="BU31" s="18" t="str">
        <f t="shared" si="23"/>
        <v>Alto riesgo de retención de líquidos</v>
      </c>
      <c r="BV31" s="18" t="str">
        <f t="shared" si="24"/>
        <v>Baja fuente de magnesio</v>
      </c>
      <c r="BW31" s="18" t="str">
        <f t="shared" si="25"/>
        <v>Sin aporte de Omega 3</v>
      </c>
      <c r="BX31" s="18" t="str">
        <f t="shared" si="26"/>
        <v>Libre de grasas trans</v>
      </c>
      <c r="BY31" s="18" t="str">
        <f t="shared" si="27"/>
        <v>Medio poder antioxidante</v>
      </c>
      <c r="BZ31" s="6" t="str">
        <f t="shared" si="15"/>
        <v>Sin probióticos</v>
      </c>
      <c r="CA31" s="18" t="str">
        <f t="shared" si="28"/>
        <v>Poco inflamatorio</v>
      </c>
      <c r="CB31" s="18" t="str">
        <f>IF(ISNUMBER(SEARCH("miel", D31)), "No irritante (Uso condicionado SII)", IF(OR(J31&gt;0, ISNUMBER(SEARCH("cacao", D31)), ISNUMBER(SEARCH("chocolate puro", D31))), "Altamente irritante", IF(OR(AND(O31&gt;15, BI31&gt;1), ISNUMBER(SEARCH("chocolate", D31))), "Moderadamente irritante", "No irritante")))</f>
        <v>No irritante</v>
      </c>
      <c r="CC31" s="6" t="str">
        <f t="shared" si="16"/>
        <v>Exceso relativo de Omega 6</v>
      </c>
    </row>
    <row r="32" spans="1:81" ht="15" customHeight="1" x14ac:dyDescent="0.3">
      <c r="A32" s="2">
        <f t="shared" si="17"/>
        <v>31</v>
      </c>
      <c r="B32" s="3" t="s">
        <v>80</v>
      </c>
      <c r="C32" s="3" t="s">
        <v>105</v>
      </c>
      <c r="D32" s="3" t="s">
        <v>117</v>
      </c>
      <c r="E32" s="3"/>
      <c r="F32" s="4">
        <v>2.2000000000000002</v>
      </c>
      <c r="G32" s="5">
        <v>1</v>
      </c>
      <c r="H32" s="5">
        <v>243</v>
      </c>
      <c r="I32" s="5">
        <v>37.799999999999997</v>
      </c>
      <c r="J32" s="5">
        <v>0</v>
      </c>
      <c r="K32" s="5">
        <v>6.7</v>
      </c>
      <c r="L32" s="5">
        <v>49</v>
      </c>
      <c r="M32" s="5">
        <v>46</v>
      </c>
      <c r="N32" s="5">
        <v>3</v>
      </c>
      <c r="O32" s="5">
        <v>0</v>
      </c>
      <c r="P32" s="5">
        <v>5.5</v>
      </c>
      <c r="Q32" s="5">
        <v>1</v>
      </c>
      <c r="R32" s="5">
        <v>0.13</v>
      </c>
      <c r="S32" s="5">
        <v>0.1</v>
      </c>
      <c r="T32" s="5">
        <v>0.47</v>
      </c>
      <c r="U32" s="5">
        <v>30.7</v>
      </c>
      <c r="V32" s="5">
        <v>0</v>
      </c>
      <c r="W32" s="5">
        <v>0</v>
      </c>
      <c r="X32" s="5">
        <v>0</v>
      </c>
      <c r="Y32" s="5">
        <v>0</v>
      </c>
      <c r="Z32" s="5">
        <v>1.2</v>
      </c>
      <c r="AA32" s="5">
        <v>0</v>
      </c>
      <c r="AB32" s="5">
        <v>0.18</v>
      </c>
      <c r="AC32" s="5">
        <v>0.11</v>
      </c>
      <c r="AD32" s="5">
        <v>1.2</v>
      </c>
      <c r="AE32" s="5">
        <v>0.22</v>
      </c>
      <c r="AF32" s="5">
        <v>16</v>
      </c>
      <c r="AG32" s="5">
        <v>0</v>
      </c>
      <c r="AH32" s="5">
        <v>0</v>
      </c>
      <c r="AI32" s="5">
        <v>0</v>
      </c>
      <c r="AJ32" s="5">
        <v>0</v>
      </c>
      <c r="AK32" s="5">
        <v>26</v>
      </c>
      <c r="AL32" s="5">
        <v>114</v>
      </c>
      <c r="AM32" s="5">
        <v>2.4</v>
      </c>
      <c r="AN32" s="5">
        <v>9.3000000000000007</v>
      </c>
      <c r="AO32" s="5">
        <v>0.9</v>
      </c>
      <c r="AP32" s="5">
        <v>33</v>
      </c>
      <c r="AQ32" s="5">
        <v>464</v>
      </c>
      <c r="AR32" s="5">
        <v>130</v>
      </c>
      <c r="AS32" s="5">
        <v>0</v>
      </c>
      <c r="AT32" s="5">
        <v>0</v>
      </c>
      <c r="AU32" s="5">
        <v>0</v>
      </c>
      <c r="AV32" s="5">
        <f>IFERROR(VLOOKUP(IFERROR(VLOOKUP(D32,Mapa_Similitud!$A$2:$B$2000,2,FALSE()),D32),Hoja1!$A$2:$K$1000,2,FALSE()),IFERROR(VLOOKUP(IFERROR(VLOOKUP(D32,Mapa_Similitud!$A$2:$B$2000,2,FALSE()),D32),Omega3_Referencia!$A$2:$E$100,3,FALSE()),0))</f>
        <v>0.06</v>
      </c>
      <c r="AW32" s="3" t="str">
        <f>IFERROR(VLOOKUP(IFERROR(VLOOKUP(D32,Mapa_Similitud!$A$2:$B$2000,2,FALSE()),D32),Hoja1!$A$2:$K$1000,3,FALSE()),IFERROR(VLOOKUP(IFERROR(VLOOKUP(D32,Mapa_Similitud!$A$2:$B$2000,2,FALSE()),D32),Omega3_Referencia!$A$2:$E$100,4,FALSE()),"N/A"))</f>
        <v>ALA</v>
      </c>
      <c r="AX32" s="5">
        <f>IFERROR(VLOOKUP(IFERROR(VLOOKUP(D32,Mapa_Similitud!$A$2:$B$2000,2,FALSE()),D32),Hoja1!$A$2:$K$1000,5,FALSE()),0)</f>
        <v>0</v>
      </c>
      <c r="AY32" s="5">
        <f>IFERROR(VLOOKUP(IFERROR(VLOOKUP(D32,Mapa_Similitud!$A$2:$B$2000,2,FALSE()),D32),Hoja1!$A$2:$K$1000,7,FALSE()),0)</f>
        <v>60</v>
      </c>
      <c r="AZ32" s="5">
        <f>IFERROR(VLOOKUP(IFERROR(VLOOKUP(D32,Mapa_Similitud!$A$2:$B$2000,2,FALSE()),D32),Hoja1!$A$2:$K$1000,9,FALSE()),0)</f>
        <v>0</v>
      </c>
      <c r="BA32" s="25">
        <f t="shared" si="0"/>
        <v>2.757201646090535E-2</v>
      </c>
      <c r="BB32" s="25">
        <f t="shared" si="1"/>
        <v>2.2633744855967079E-2</v>
      </c>
      <c r="BC32" s="25">
        <f t="shared" si="2"/>
        <v>0.10699588477366255</v>
      </c>
      <c r="BD32" s="25">
        <f t="shared" si="3"/>
        <v>9.876543209876543E-3</v>
      </c>
      <c r="BE32" s="25">
        <f t="shared" si="4"/>
        <v>1.9094650205761317</v>
      </c>
      <c r="BF32" s="25">
        <f t="shared" si="5"/>
        <v>3.615384615384615</v>
      </c>
      <c r="BG32" s="25">
        <f t="shared" si="6"/>
        <v>0.22807017543859648</v>
      </c>
      <c r="BH32" s="25">
        <f t="shared" si="7"/>
        <v>0.13</v>
      </c>
      <c r="BI32" s="25">
        <f t="shared" si="8"/>
        <v>3.5692307692307694</v>
      </c>
      <c r="BJ32" s="25">
        <f t="shared" si="9"/>
        <v>6.1224489795918366E-2</v>
      </c>
      <c r="BK32" s="25">
        <f t="shared" si="10"/>
        <v>0.11224489795918367</v>
      </c>
      <c r="BL32" s="25">
        <f t="shared" si="11"/>
        <v>3.7037037037037035E-2</v>
      </c>
      <c r="BM32" s="25">
        <f t="shared" si="12"/>
        <v>0.13580246913580246</v>
      </c>
      <c r="BN32" s="18" t="str">
        <f t="shared" si="18"/>
        <v>Baja fuente de proteína</v>
      </c>
      <c r="BO32" s="18" t="str">
        <f t="shared" si="19"/>
        <v>Media fuente de fibra</v>
      </c>
      <c r="BP32" s="18" t="str">
        <f t="shared" si="20"/>
        <v>Baja fuente de calcio</v>
      </c>
      <c r="BQ32" s="18" t="str">
        <f t="shared" si="21"/>
        <v>Media fuente de hierro</v>
      </c>
      <c r="BR32" s="18" t="str">
        <f t="shared" si="22"/>
        <v>Alto en sodio</v>
      </c>
      <c r="BS32" s="6" t="str">
        <f t="shared" si="13"/>
        <v>Altamente antiinflamatorio</v>
      </c>
      <c r="BT32" s="6" t="str">
        <f t="shared" si="14"/>
        <v>Bajo en grasas</v>
      </c>
      <c r="BU32" s="18" t="str">
        <f t="shared" si="23"/>
        <v>Alto riesgo de retención de líquidos</v>
      </c>
      <c r="BV32" s="18" t="str">
        <f t="shared" si="24"/>
        <v>Baja fuente de magnesio</v>
      </c>
      <c r="BW32" s="18" t="str">
        <f t="shared" si="25"/>
        <v>Sin aporte de Omega 3</v>
      </c>
      <c r="BX32" s="18" t="str">
        <f t="shared" si="26"/>
        <v>Libre de grasas trans</v>
      </c>
      <c r="BY32" s="18" t="str">
        <f t="shared" si="27"/>
        <v>Alto poder antioxidante</v>
      </c>
      <c r="BZ32" s="6" t="str">
        <f t="shared" si="15"/>
        <v>Sin probióticos</v>
      </c>
      <c r="CA32" s="18" t="str">
        <f t="shared" si="28"/>
        <v>Antiinflamatorio</v>
      </c>
      <c r="CB32" s="18" t="str">
        <f>IF(ISNUMBER(SEARCH("miel", D32)), "No irritante (Uso condicionado SII)", IF(OR(J32&gt;0, ISNUMBER(SEARCH("cacao", D32)), ISNUMBER(SEARCH("chocolate puro", D32))), "Altamente irritante", IF(OR(AND(O32&gt;15, BI32&gt;1), ISNUMBER(SEARCH("chocolate", D32))), "Moderadamente irritante", "No irritante")))</f>
        <v>No irritante</v>
      </c>
      <c r="CC32" s="6" t="str">
        <f t="shared" si="16"/>
        <v>Exceso relativo de Omega 6</v>
      </c>
    </row>
    <row r="33" spans="1:81" ht="15" customHeight="1" x14ac:dyDescent="0.3">
      <c r="A33" s="2">
        <f t="shared" si="17"/>
        <v>32</v>
      </c>
      <c r="B33" s="3" t="s">
        <v>80</v>
      </c>
      <c r="C33" s="3" t="s">
        <v>105</v>
      </c>
      <c r="D33" s="3" t="s">
        <v>118</v>
      </c>
      <c r="E33" s="3"/>
      <c r="F33" s="4">
        <v>1.2</v>
      </c>
      <c r="G33" s="5">
        <v>1</v>
      </c>
      <c r="H33" s="5">
        <v>259</v>
      </c>
      <c r="I33" s="5">
        <v>36.1</v>
      </c>
      <c r="J33" s="5">
        <v>0</v>
      </c>
      <c r="K33" s="5">
        <v>10.9</v>
      </c>
      <c r="L33" s="5">
        <v>44</v>
      </c>
      <c r="M33" s="5">
        <v>39.5</v>
      </c>
      <c r="N33" s="5">
        <v>4.5</v>
      </c>
      <c r="O33" s="5">
        <v>0</v>
      </c>
      <c r="P33" s="5">
        <v>6</v>
      </c>
      <c r="Q33" s="5">
        <v>3</v>
      </c>
      <c r="R33" s="5">
        <v>0.54</v>
      </c>
      <c r="S33" s="5">
        <v>0.41</v>
      </c>
      <c r="T33" s="5">
        <v>1.2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0.18</v>
      </c>
      <c r="AA33" s="5">
        <v>3.4</v>
      </c>
      <c r="AB33" s="5">
        <v>0.34</v>
      </c>
      <c r="AC33" s="5">
        <v>0.09</v>
      </c>
      <c r="AD33" s="5">
        <v>5.5</v>
      </c>
      <c r="AE33" s="5">
        <v>0.12</v>
      </c>
      <c r="AF33" s="5">
        <v>39</v>
      </c>
      <c r="AG33" s="5">
        <v>0</v>
      </c>
      <c r="AH33" s="5">
        <v>0.65</v>
      </c>
      <c r="AI33" s="5">
        <v>3.5</v>
      </c>
      <c r="AJ33" s="5">
        <v>0</v>
      </c>
      <c r="AK33" s="5">
        <v>54</v>
      </c>
      <c r="AL33" s="5">
        <v>200</v>
      </c>
      <c r="AM33" s="5">
        <v>2.7</v>
      </c>
      <c r="AN33" s="5">
        <v>1</v>
      </c>
      <c r="AO33" s="5">
        <v>1.8</v>
      </c>
      <c r="AP33" s="5">
        <v>76</v>
      </c>
      <c r="AQ33" s="5">
        <v>361</v>
      </c>
      <c r="AR33" s="5">
        <v>230</v>
      </c>
      <c r="AS33" s="5">
        <v>1.9</v>
      </c>
      <c r="AT33" s="5">
        <v>0.25</v>
      </c>
      <c r="AU33" s="5">
        <v>35</v>
      </c>
      <c r="AV33" s="5">
        <f>IFERROR(VLOOKUP(IFERROR(VLOOKUP(D33,Mapa_Similitud!$A$2:$B$2000,2,FALSE()),D33),Hoja1!$A$2:$K$1000,2,FALSE()),IFERROR(VLOOKUP(IFERROR(VLOOKUP(D33,Mapa_Similitud!$A$2:$B$2000,2,FALSE()),D33),Omega3_Referencia!$A$2:$E$100,3,FALSE()),0))</f>
        <v>0.1</v>
      </c>
      <c r="AW33" s="3" t="str">
        <f>IFERROR(VLOOKUP(IFERROR(VLOOKUP(D33,Mapa_Similitud!$A$2:$B$2000,2,FALSE()),D33),Hoja1!$A$2:$K$1000,3,FALSE()),IFERROR(VLOOKUP(IFERROR(VLOOKUP(D33,Mapa_Similitud!$A$2:$B$2000,2,FALSE()),D33),Omega3_Referencia!$A$2:$E$100,4,FALSE()),"N/A"))</f>
        <v>ALA</v>
      </c>
      <c r="AX33" s="5">
        <f>IFERROR(VLOOKUP(IFERROR(VLOOKUP(D33,Mapa_Similitud!$A$2:$B$2000,2,FALSE()),D33),Hoja1!$A$2:$K$1000,5,FALSE()),0)</f>
        <v>0</v>
      </c>
      <c r="AY33" s="5">
        <f>IFERROR(VLOOKUP(IFERROR(VLOOKUP(D33,Mapa_Similitud!$A$2:$B$2000,2,FALSE()),D33),Hoja1!$A$2:$K$1000,7,FALSE()),0)</f>
        <v>215.7</v>
      </c>
      <c r="AZ33" s="5">
        <f>IFERROR(VLOOKUP(IFERROR(VLOOKUP(D33,Mapa_Similitud!$A$2:$B$2000,2,FALSE()),D33),Hoja1!$A$2:$K$1000,9,FALSE()),0)</f>
        <v>0</v>
      </c>
      <c r="BA33" s="25">
        <f t="shared" si="0"/>
        <v>4.2084942084942088E-2</v>
      </c>
      <c r="BB33" s="25">
        <f t="shared" si="1"/>
        <v>2.3166023166023165E-2</v>
      </c>
      <c r="BC33" s="25">
        <f t="shared" si="2"/>
        <v>0.20849420849420849</v>
      </c>
      <c r="BD33" s="25">
        <f t="shared" si="3"/>
        <v>1.0424710424710425E-2</v>
      </c>
      <c r="BE33" s="25">
        <f t="shared" si="4"/>
        <v>1.3938223938223939</v>
      </c>
      <c r="BF33" s="25">
        <f t="shared" si="5"/>
        <v>2.2222222222222219</v>
      </c>
      <c r="BG33" s="25">
        <f t="shared" si="6"/>
        <v>0.27</v>
      </c>
      <c r="BH33" s="25">
        <f t="shared" si="7"/>
        <v>0.18000000000000002</v>
      </c>
      <c r="BI33" s="25">
        <f t="shared" si="8"/>
        <v>1.5695652173913044</v>
      </c>
      <c r="BJ33" s="25">
        <f t="shared" si="9"/>
        <v>0.10227272727272728</v>
      </c>
      <c r="BK33" s="25">
        <f t="shared" si="10"/>
        <v>0.13636363636363635</v>
      </c>
      <c r="BL33" s="25">
        <f t="shared" si="11"/>
        <v>0.10424710424710425</v>
      </c>
      <c r="BM33" s="25">
        <f t="shared" si="12"/>
        <v>0.29343629343629346</v>
      </c>
      <c r="BN33" s="18" t="str">
        <f t="shared" si="18"/>
        <v>Baja fuente de proteína</v>
      </c>
      <c r="BO33" s="18" t="str">
        <f t="shared" si="19"/>
        <v>Media fuente de fibra</v>
      </c>
      <c r="BP33" s="18" t="str">
        <f t="shared" si="20"/>
        <v>Baja fuente de calcio</v>
      </c>
      <c r="BQ33" s="18" t="str">
        <f t="shared" si="21"/>
        <v>Media fuente de hierro</v>
      </c>
      <c r="BR33" s="18" t="str">
        <f t="shared" si="22"/>
        <v>Alto en sodio</v>
      </c>
      <c r="BS33" s="6" t="str">
        <f t="shared" si="13"/>
        <v>Altamente antiinflamatorio</v>
      </c>
      <c r="BT33" s="6" t="str">
        <f t="shared" si="14"/>
        <v>Bajo en grasas</v>
      </c>
      <c r="BU33" s="18" t="str">
        <f t="shared" si="23"/>
        <v>Alto riesgo de retención de líquidos</v>
      </c>
      <c r="BV33" s="18" t="str">
        <f t="shared" si="24"/>
        <v>Media fuente de magnesio</v>
      </c>
      <c r="BW33" s="18" t="str">
        <f t="shared" si="25"/>
        <v>Sin aporte de Omega 3</v>
      </c>
      <c r="BX33" s="18" t="str">
        <f t="shared" si="26"/>
        <v>Libre de grasas trans</v>
      </c>
      <c r="BY33" s="18" t="str">
        <f t="shared" si="27"/>
        <v>Alto poder antioxidante</v>
      </c>
      <c r="BZ33" s="6" t="str">
        <f t="shared" si="15"/>
        <v>Sin probióticos</v>
      </c>
      <c r="CA33" s="18" t="str">
        <f t="shared" si="28"/>
        <v>Antiinflamatorio</v>
      </c>
      <c r="CB33" s="18" t="str">
        <f>IF(ISNUMBER(SEARCH("miel", D33)), "No irritante (Uso condicionado SII)", IF(OR(J33&gt;0, ISNUMBER(SEARCH("cacao", D33)), ISNUMBER(SEARCH("chocolate puro", D33))), "Altamente irritante", IF(OR(AND(O33&gt;15, BI33&gt;1), ISNUMBER(SEARCH("chocolate", D33))), "Moderadamente irritante", "No irritante")))</f>
        <v>No irritante</v>
      </c>
      <c r="CC33" s="6" t="str">
        <f t="shared" si="16"/>
        <v>Exceso relativo de Omega 6</v>
      </c>
    </row>
    <row r="34" spans="1:81" ht="15" customHeight="1" x14ac:dyDescent="0.3">
      <c r="A34" s="2">
        <f t="shared" si="17"/>
        <v>33</v>
      </c>
      <c r="B34" s="3" t="s">
        <v>80</v>
      </c>
      <c r="C34" s="3" t="s">
        <v>105</v>
      </c>
      <c r="D34" s="3" t="s">
        <v>119</v>
      </c>
      <c r="E34" s="3"/>
      <c r="F34" s="4">
        <v>2</v>
      </c>
      <c r="G34" s="5">
        <v>1</v>
      </c>
      <c r="H34" s="5">
        <v>385</v>
      </c>
      <c r="I34" s="5">
        <v>7</v>
      </c>
      <c r="J34" s="5">
        <v>0</v>
      </c>
      <c r="K34" s="5">
        <v>13</v>
      </c>
      <c r="L34" s="5">
        <v>62</v>
      </c>
      <c r="M34" s="5">
        <v>58</v>
      </c>
      <c r="N34" s="5">
        <v>4</v>
      </c>
      <c r="O34" s="5">
        <v>0</v>
      </c>
      <c r="P34" s="5">
        <v>11</v>
      </c>
      <c r="Q34" s="5">
        <v>7</v>
      </c>
      <c r="R34" s="5">
        <v>0</v>
      </c>
      <c r="S34" s="5">
        <v>0</v>
      </c>
      <c r="T34" s="5">
        <v>0</v>
      </c>
      <c r="U34" s="5">
        <v>0</v>
      </c>
      <c r="V34" s="5">
        <v>0.33</v>
      </c>
      <c r="W34" s="5">
        <v>0</v>
      </c>
      <c r="X34" s="5">
        <v>2</v>
      </c>
      <c r="Y34" s="5">
        <v>0</v>
      </c>
      <c r="Z34" s="5">
        <v>0.2</v>
      </c>
      <c r="AA34" s="5">
        <v>3</v>
      </c>
      <c r="AB34" s="5">
        <v>0.34</v>
      </c>
      <c r="AC34" s="5">
        <v>0.1</v>
      </c>
      <c r="AD34" s="5">
        <v>7</v>
      </c>
      <c r="AE34" s="5">
        <v>0.14000000000000001</v>
      </c>
      <c r="AF34" s="5">
        <v>46</v>
      </c>
      <c r="AG34" s="5">
        <v>0</v>
      </c>
      <c r="AH34" s="5">
        <v>0.7</v>
      </c>
      <c r="AI34" s="5">
        <v>7</v>
      </c>
      <c r="AJ34" s="5">
        <v>0</v>
      </c>
      <c r="AK34" s="5">
        <v>63</v>
      </c>
      <c r="AL34" s="5">
        <v>230</v>
      </c>
      <c r="AM34" s="5">
        <v>3.2</v>
      </c>
      <c r="AN34" s="5">
        <v>0</v>
      </c>
      <c r="AO34" s="5">
        <v>2.1</v>
      </c>
      <c r="AP34" s="5">
        <v>89</v>
      </c>
      <c r="AQ34" s="5">
        <v>538</v>
      </c>
      <c r="AR34" s="5">
        <v>270</v>
      </c>
      <c r="AS34" s="5">
        <v>2.2000000000000002</v>
      </c>
      <c r="AT34" s="5">
        <v>0.3</v>
      </c>
      <c r="AU34" s="5">
        <v>41</v>
      </c>
      <c r="AV34" s="5">
        <f>IFERROR(VLOOKUP(IFERROR(VLOOKUP(D34,Mapa_Similitud!$A$2:$B$2000,2,FALSE()),D34),Hoja1!$A$2:$K$1000,2,FALSE()),IFERROR(VLOOKUP(IFERROR(VLOOKUP(D34,Mapa_Similitud!$A$2:$B$2000,2,FALSE()),D34),Omega3_Referencia!$A$2:$E$100,3,FALSE()),0))</f>
        <v>0.1</v>
      </c>
      <c r="AW34" s="3" t="str">
        <f>IFERROR(VLOOKUP(IFERROR(VLOOKUP(D34,Mapa_Similitud!$A$2:$B$2000,2,FALSE()),D34),Hoja1!$A$2:$K$1000,3,FALSE()),IFERROR(VLOOKUP(IFERROR(VLOOKUP(D34,Mapa_Similitud!$A$2:$B$2000,2,FALSE()),D34),Omega3_Referencia!$A$2:$E$100,4,FALSE()),"N/A"))</f>
        <v>ALA</v>
      </c>
      <c r="AX34" s="5">
        <f>IFERROR(VLOOKUP(IFERROR(VLOOKUP(D34,Mapa_Similitud!$A$2:$B$2000,2,FALSE()),D34),Hoja1!$A$2:$K$1000,5,FALSE()),0)</f>
        <v>0</v>
      </c>
      <c r="AY34" s="5">
        <f>IFERROR(VLOOKUP(IFERROR(VLOOKUP(D34,Mapa_Similitud!$A$2:$B$2000,2,FALSE()),D34),Hoja1!$A$2:$K$1000,7,FALSE()),0)</f>
        <v>195</v>
      </c>
      <c r="AZ34" s="5">
        <f>IFERROR(VLOOKUP(IFERROR(VLOOKUP(D34,Mapa_Similitud!$A$2:$B$2000,2,FALSE()),D34),Hoja1!$A$2:$K$1000,9,FALSE()),0)</f>
        <v>0</v>
      </c>
      <c r="BA34" s="25">
        <f t="shared" si="0"/>
        <v>3.3766233766233764E-2</v>
      </c>
      <c r="BB34" s="25">
        <f t="shared" si="1"/>
        <v>2.8571428571428571E-2</v>
      </c>
      <c r="BC34" s="25">
        <f t="shared" si="2"/>
        <v>0.16363636363636364</v>
      </c>
      <c r="BD34" s="25">
        <f t="shared" si="3"/>
        <v>8.3116883116883117E-3</v>
      </c>
      <c r="BE34" s="25">
        <f t="shared" si="4"/>
        <v>1.3974025974025974</v>
      </c>
      <c r="BF34" s="25">
        <f t="shared" si="5"/>
        <v>0</v>
      </c>
      <c r="BG34" s="25">
        <f t="shared" si="6"/>
        <v>0.27391304347826084</v>
      </c>
      <c r="BH34" s="25">
        <f t="shared" si="7"/>
        <v>0</v>
      </c>
      <c r="BI34" s="25">
        <f t="shared" si="8"/>
        <v>1.9925925925925927</v>
      </c>
      <c r="BJ34" s="25">
        <f t="shared" si="9"/>
        <v>6.4516129032258063E-2</v>
      </c>
      <c r="BK34" s="25">
        <f t="shared" si="10"/>
        <v>0.17741935483870969</v>
      </c>
      <c r="BL34" s="25">
        <f t="shared" si="11"/>
        <v>0.16363636363636364</v>
      </c>
      <c r="BM34" s="25">
        <f t="shared" si="12"/>
        <v>0.23116883116883116</v>
      </c>
      <c r="BN34" s="18" t="str">
        <f t="shared" si="18"/>
        <v>Baja fuente de proteína</v>
      </c>
      <c r="BO34" s="18" t="str">
        <f t="shared" si="19"/>
        <v>Media fuente de fibra</v>
      </c>
      <c r="BP34" s="18" t="str">
        <f t="shared" si="20"/>
        <v>Baja fuente de calcio</v>
      </c>
      <c r="BQ34" s="18" t="str">
        <f t="shared" si="21"/>
        <v>Media fuente de hierro</v>
      </c>
      <c r="BR34" s="18" t="str">
        <f t="shared" si="22"/>
        <v>Alto en sodio</v>
      </c>
      <c r="BS34" s="6" t="str">
        <f t="shared" si="13"/>
        <v>Proinflamatorio</v>
      </c>
      <c r="BT34" s="6" t="str">
        <f t="shared" si="14"/>
        <v>Bajo en grasas</v>
      </c>
      <c r="BU34" s="18" t="str">
        <f t="shared" si="23"/>
        <v>Alto riesgo de retención de líquidos</v>
      </c>
      <c r="BV34" s="18" t="str">
        <f t="shared" si="24"/>
        <v>Media fuente de magnesio</v>
      </c>
      <c r="BW34" s="18" t="str">
        <f t="shared" si="25"/>
        <v>Sin aporte de Omega 3</v>
      </c>
      <c r="BX34" s="18" t="str">
        <f t="shared" si="26"/>
        <v>Libre de grasas trans</v>
      </c>
      <c r="BY34" s="18" t="str">
        <f t="shared" si="27"/>
        <v>Alto poder antioxidante</v>
      </c>
      <c r="BZ34" s="6" t="str">
        <f t="shared" si="15"/>
        <v>Sin probióticos</v>
      </c>
      <c r="CA34" s="18" t="str">
        <f t="shared" si="28"/>
        <v>Antiinflamatorio</v>
      </c>
      <c r="CB34" s="18" t="str">
        <f>IF(ISNUMBER(SEARCH("miel", D34)), "No irritante (Uso condicionado SII)", IF(OR(J34&gt;0, ISNUMBER(SEARCH("cacao", D34)), ISNUMBER(SEARCH("chocolate puro", D34))), "Altamente irritante", IF(OR(AND(O34&gt;15, BI34&gt;1), ISNUMBER(SEARCH("chocolate", D34))), "Moderadamente irritante", "No irritante")))</f>
        <v>No irritante</v>
      </c>
      <c r="CC34" s="6" t="str">
        <f t="shared" si="16"/>
        <v>Balance de omegas favorable</v>
      </c>
    </row>
    <row r="35" spans="1:81" ht="15" customHeight="1" x14ac:dyDescent="0.3">
      <c r="A35" s="2">
        <f t="shared" si="17"/>
        <v>34</v>
      </c>
      <c r="B35" s="3" t="s">
        <v>80</v>
      </c>
      <c r="C35" s="3" t="s">
        <v>105</v>
      </c>
      <c r="D35" s="3" t="s">
        <v>120</v>
      </c>
      <c r="E35" s="3"/>
      <c r="F35" s="4">
        <v>4.5</v>
      </c>
      <c r="G35" s="5">
        <v>1</v>
      </c>
      <c r="H35" s="5">
        <v>242</v>
      </c>
      <c r="I35" s="5">
        <v>43.9</v>
      </c>
      <c r="J35" s="5">
        <v>0</v>
      </c>
      <c r="K35" s="5">
        <v>4.3</v>
      </c>
      <c r="L35" s="5">
        <v>42.3</v>
      </c>
      <c r="M35" s="5">
        <v>38.700000000000003</v>
      </c>
      <c r="N35" s="5">
        <v>3.5</v>
      </c>
      <c r="O35" s="5">
        <v>0</v>
      </c>
      <c r="P35" s="5">
        <v>4.3</v>
      </c>
      <c r="Q35" s="5">
        <v>5.2</v>
      </c>
      <c r="R35" s="5">
        <v>0.98</v>
      </c>
      <c r="S35" s="5">
        <v>2</v>
      </c>
      <c r="T35" s="5">
        <v>0.52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0.6</v>
      </c>
      <c r="AA35" s="5">
        <v>0.3</v>
      </c>
      <c r="AB35" s="5">
        <v>0.38</v>
      </c>
      <c r="AC35" s="5">
        <v>0.51</v>
      </c>
      <c r="AD35" s="5">
        <v>2.8</v>
      </c>
      <c r="AE35" s="5">
        <v>7.2999999999999995E-2</v>
      </c>
      <c r="AF35" s="5">
        <v>36</v>
      </c>
      <c r="AG35" s="5">
        <v>0</v>
      </c>
      <c r="AH35" s="5">
        <v>0</v>
      </c>
      <c r="AI35" s="5">
        <v>0</v>
      </c>
      <c r="AJ35" s="5">
        <v>0</v>
      </c>
      <c r="AK35" s="5">
        <v>138</v>
      </c>
      <c r="AL35" s="5">
        <v>51</v>
      </c>
      <c r="AM35" s="5">
        <v>2.6</v>
      </c>
      <c r="AN35" s="5">
        <v>0</v>
      </c>
      <c r="AO35" s="5">
        <v>0.48</v>
      </c>
      <c r="AP35" s="5">
        <v>12</v>
      </c>
      <c r="AQ35" s="5">
        <v>447</v>
      </c>
      <c r="AR35" s="5">
        <v>75</v>
      </c>
      <c r="AS35" s="5">
        <v>0</v>
      </c>
      <c r="AT35" s="5">
        <v>7.4999999999999997E-2</v>
      </c>
      <c r="AU35" s="5">
        <v>0.4</v>
      </c>
      <c r="AV35" s="5">
        <f>IFERROR(VLOOKUP(IFERROR(VLOOKUP(D35,Mapa_Similitud!$A$2:$B$2000,2,FALSE()),D35),Hoja1!$A$2:$K$1000,2,FALSE()),IFERROR(VLOOKUP(IFERROR(VLOOKUP(D35,Mapa_Similitud!$A$2:$B$2000,2,FALSE()),D35),Omega3_Referencia!$A$2:$E$100,3,FALSE()),0))</f>
        <v>0.02</v>
      </c>
      <c r="AW35" s="3" t="str">
        <f>IFERROR(VLOOKUP(IFERROR(VLOOKUP(D35,Mapa_Similitud!$A$2:$B$2000,2,FALSE()),D35),Hoja1!$A$2:$K$1000,3,FALSE()),IFERROR(VLOOKUP(IFERROR(VLOOKUP(D35,Mapa_Similitud!$A$2:$B$2000,2,FALSE()),D35),Omega3_Referencia!$A$2:$E$100,4,FALSE()),"N/A"))</f>
        <v>ALA</v>
      </c>
      <c r="AX35" s="5">
        <f>IFERROR(VLOOKUP(IFERROR(VLOOKUP(D35,Mapa_Similitud!$A$2:$B$2000,2,FALSE()),D35),Hoja1!$A$2:$K$1000,5,FALSE()),0)</f>
        <v>0</v>
      </c>
      <c r="AY35" s="5">
        <f>IFERROR(VLOOKUP(IFERROR(VLOOKUP(D35,Mapa_Similitud!$A$2:$B$2000,2,FALSE()),D35),Hoja1!$A$2:$K$1000,7,FALSE()),0)</f>
        <v>10</v>
      </c>
      <c r="AZ35" s="5">
        <f>IFERROR(VLOOKUP(IFERROR(VLOOKUP(D35,Mapa_Similitud!$A$2:$B$2000,2,FALSE()),D35),Hoja1!$A$2:$K$1000,9,FALSE()),0)</f>
        <v>0</v>
      </c>
      <c r="BA35" s="25">
        <f t="shared" si="0"/>
        <v>1.7768595041322312E-2</v>
      </c>
      <c r="BB35" s="25">
        <f t="shared" si="1"/>
        <v>1.7768595041322312E-2</v>
      </c>
      <c r="BC35" s="25">
        <f t="shared" si="2"/>
        <v>0.57024793388429751</v>
      </c>
      <c r="BD35" s="25">
        <f t="shared" si="3"/>
        <v>1.0743801652892562E-2</v>
      </c>
      <c r="BE35" s="25">
        <f t="shared" si="4"/>
        <v>1.8471074380165289</v>
      </c>
      <c r="BF35" s="25">
        <f t="shared" si="5"/>
        <v>0.53061224489795922</v>
      </c>
      <c r="BG35" s="25">
        <f t="shared" si="6"/>
        <v>2.7058823529411766</v>
      </c>
      <c r="BH35" s="25">
        <f t="shared" si="7"/>
        <v>0.18846153846153846</v>
      </c>
      <c r="BI35" s="25">
        <f t="shared" si="8"/>
        <v>5.96</v>
      </c>
      <c r="BJ35" s="25">
        <f t="shared" si="9"/>
        <v>8.2742316784869985E-2</v>
      </c>
      <c r="BK35" s="25">
        <f t="shared" si="10"/>
        <v>0.10165484633569741</v>
      </c>
      <c r="BL35" s="25">
        <f t="shared" si="11"/>
        <v>0.19338842975206613</v>
      </c>
      <c r="BM35" s="25">
        <f t="shared" si="12"/>
        <v>4.9586776859504134E-2</v>
      </c>
      <c r="BN35" s="18" t="str">
        <f t="shared" si="18"/>
        <v>Baja fuente de proteína</v>
      </c>
      <c r="BO35" s="18" t="str">
        <f t="shared" si="19"/>
        <v>Media fuente de fibra</v>
      </c>
      <c r="BP35" s="18" t="str">
        <f t="shared" si="20"/>
        <v>Baja fuente de calcio</v>
      </c>
      <c r="BQ35" s="18" t="str">
        <f t="shared" si="21"/>
        <v>Media fuente de hierro</v>
      </c>
      <c r="BR35" s="18" t="str">
        <f t="shared" si="22"/>
        <v>Alto en sodio</v>
      </c>
      <c r="BS35" s="6" t="str">
        <f t="shared" si="13"/>
        <v>Neutro</v>
      </c>
      <c r="BT35" s="6" t="str">
        <f t="shared" si="14"/>
        <v>Bajo en grasas</v>
      </c>
      <c r="BU35" s="18" t="str">
        <f t="shared" si="23"/>
        <v>Alto riesgo de retención de líquidos</v>
      </c>
      <c r="BV35" s="18" t="str">
        <f t="shared" si="24"/>
        <v>Baja fuente de magnesio</v>
      </c>
      <c r="BW35" s="18" t="str">
        <f t="shared" si="25"/>
        <v>Sin aporte de Omega 3</v>
      </c>
      <c r="BX35" s="18" t="str">
        <f t="shared" si="26"/>
        <v>Libre de grasas trans</v>
      </c>
      <c r="BY35" s="18" t="str">
        <f t="shared" si="27"/>
        <v>Medio poder antioxidante</v>
      </c>
      <c r="BZ35" s="6" t="str">
        <f t="shared" si="15"/>
        <v>Sin probióticos</v>
      </c>
      <c r="CA35" s="18" t="str">
        <f t="shared" si="28"/>
        <v>Poco inflamatorio</v>
      </c>
      <c r="CB35" s="18" t="str">
        <f>IF(ISNUMBER(SEARCH("miel", D35)), "No irritante (Uso condicionado SII)", IF(OR(J35&gt;0, ISNUMBER(SEARCH("cacao", D35)), ISNUMBER(SEARCH("chocolate puro", D35))), "Altamente irritante", IF(OR(AND(O35&gt;15, BI35&gt;1), ISNUMBER(SEARCH("chocolate", D35))), "Moderadamente irritante", "No irritante")))</f>
        <v>No irritante</v>
      </c>
      <c r="CC35" s="6" t="str">
        <f t="shared" si="16"/>
        <v>Exceso relativo de Omega 6</v>
      </c>
    </row>
    <row r="36" spans="1:81" ht="15" customHeight="1" x14ac:dyDescent="0.3">
      <c r="A36" s="2">
        <f t="shared" si="17"/>
        <v>35</v>
      </c>
      <c r="B36" s="3" t="s">
        <v>80</v>
      </c>
      <c r="C36" s="3" t="s">
        <v>105</v>
      </c>
      <c r="D36" s="3" t="s">
        <v>121</v>
      </c>
      <c r="E36" s="3"/>
      <c r="F36" s="4">
        <v>1.5</v>
      </c>
      <c r="G36" s="5">
        <v>1</v>
      </c>
      <c r="H36" s="5">
        <v>271</v>
      </c>
      <c r="I36" s="5">
        <v>36.200000000000003</v>
      </c>
      <c r="J36" s="5">
        <v>0</v>
      </c>
      <c r="K36" s="5">
        <v>7.5</v>
      </c>
      <c r="L36" s="5">
        <v>47.5</v>
      </c>
      <c r="M36" s="5">
        <v>45.2</v>
      </c>
      <c r="N36" s="5">
        <v>2.2999999999999998</v>
      </c>
      <c r="O36" s="5">
        <v>0</v>
      </c>
      <c r="P36" s="5">
        <v>4.0999999999999996</v>
      </c>
      <c r="Q36" s="5">
        <v>4.7</v>
      </c>
      <c r="R36" s="5">
        <v>1</v>
      </c>
      <c r="S36" s="5">
        <v>1.4</v>
      </c>
      <c r="T36" s="5">
        <v>1.3</v>
      </c>
      <c r="U36" s="5">
        <v>0</v>
      </c>
      <c r="V36" s="5">
        <v>0.01</v>
      </c>
      <c r="W36" s="5">
        <v>0.01</v>
      </c>
      <c r="X36" s="5">
        <v>0</v>
      </c>
      <c r="Y36" s="5">
        <v>0</v>
      </c>
      <c r="Z36" s="5">
        <v>0.26</v>
      </c>
      <c r="AA36" s="5">
        <v>3</v>
      </c>
      <c r="AB36" s="5">
        <v>0.32</v>
      </c>
      <c r="AC36" s="5">
        <v>0.14000000000000001</v>
      </c>
      <c r="AD36" s="5">
        <v>2.5</v>
      </c>
      <c r="AE36" s="5">
        <v>0.1</v>
      </c>
      <c r="AF36" s="5">
        <v>26</v>
      </c>
      <c r="AG36" s="5">
        <v>0.91</v>
      </c>
      <c r="AH36" s="5">
        <v>0.3</v>
      </c>
      <c r="AI36" s="5">
        <v>1</v>
      </c>
      <c r="AJ36" s="5">
        <v>0</v>
      </c>
      <c r="AK36" s="5">
        <v>211</v>
      </c>
      <c r="AL36" s="5">
        <v>150</v>
      </c>
      <c r="AM36" s="5">
        <v>2.2999999999999998</v>
      </c>
      <c r="AN36" s="5">
        <v>2.6</v>
      </c>
      <c r="AO36" s="5">
        <v>1.8</v>
      </c>
      <c r="AP36" s="5">
        <v>34</v>
      </c>
      <c r="AQ36" s="5">
        <v>400</v>
      </c>
      <c r="AR36" s="5">
        <v>110</v>
      </c>
      <c r="AS36" s="5">
        <v>0.5</v>
      </c>
      <c r="AT36" s="5">
        <v>0.13</v>
      </c>
      <c r="AU36" s="5">
        <v>28</v>
      </c>
      <c r="AV36" s="5">
        <f>IFERROR(VLOOKUP(IFERROR(VLOOKUP(D36,Mapa_Similitud!$A$2:$B$2000,2,FALSE()),D36),Hoja1!$A$2:$K$1000,2,FALSE()),IFERROR(VLOOKUP(IFERROR(VLOOKUP(D36,Mapa_Similitud!$A$2:$B$2000,2,FALSE()),D36),Omega3_Referencia!$A$2:$E$100,3,FALSE()),0))</f>
        <v>0.03</v>
      </c>
      <c r="AW36" s="3" t="str">
        <f>IFERROR(VLOOKUP(IFERROR(VLOOKUP(D36,Mapa_Similitud!$A$2:$B$2000,2,FALSE()),D36),Hoja1!$A$2:$K$1000,3,FALSE()),IFERROR(VLOOKUP(IFERROR(VLOOKUP(D36,Mapa_Similitud!$A$2:$B$2000,2,FALSE()),D36),Omega3_Referencia!$A$2:$E$100,4,FALSE()),"N/A"))</f>
        <v>ALA</v>
      </c>
      <c r="AX36" s="5">
        <f>IFERROR(VLOOKUP(IFERROR(VLOOKUP(D36,Mapa_Similitud!$A$2:$B$2000,2,FALSE()),D36),Hoja1!$A$2:$K$1000,5,FALSE()),0)</f>
        <v>0.8</v>
      </c>
      <c r="AY36" s="5">
        <f>IFERROR(VLOOKUP(IFERROR(VLOOKUP(D36,Mapa_Similitud!$A$2:$B$2000,2,FALSE()),D36),Hoja1!$A$2:$K$1000,7,FALSE()),0)</f>
        <v>15</v>
      </c>
      <c r="AZ36" s="5">
        <f>IFERROR(VLOOKUP(IFERROR(VLOOKUP(D36,Mapa_Similitud!$A$2:$B$2000,2,FALSE()),D36),Hoja1!$A$2:$K$1000,9,FALSE()),0)</f>
        <v>0</v>
      </c>
      <c r="BA36" s="25">
        <f t="shared" si="0"/>
        <v>2.7675276752767528E-2</v>
      </c>
      <c r="BB36" s="25">
        <f t="shared" si="1"/>
        <v>1.5129151291512913E-2</v>
      </c>
      <c r="BC36" s="25">
        <f t="shared" si="2"/>
        <v>0.77859778597785978</v>
      </c>
      <c r="BD36" s="25">
        <f t="shared" si="3"/>
        <v>8.487084870848708E-3</v>
      </c>
      <c r="BE36" s="25">
        <f t="shared" si="4"/>
        <v>1.4760147601476015</v>
      </c>
      <c r="BF36" s="25">
        <f t="shared" si="5"/>
        <v>1.3</v>
      </c>
      <c r="BG36" s="25">
        <f t="shared" si="6"/>
        <v>1.4066666666666667</v>
      </c>
      <c r="BH36" s="25">
        <f t="shared" si="7"/>
        <v>0.21276595744680851</v>
      </c>
      <c r="BI36" s="25">
        <f t="shared" si="8"/>
        <v>3.6363636363636362</v>
      </c>
      <c r="BJ36" s="25">
        <f t="shared" si="9"/>
        <v>4.8421052631578941E-2</v>
      </c>
      <c r="BK36" s="25">
        <f t="shared" si="10"/>
        <v>8.6315789473684207E-2</v>
      </c>
      <c r="BL36" s="25">
        <f t="shared" si="11"/>
        <v>0.15608856088560888</v>
      </c>
      <c r="BM36" s="25">
        <f t="shared" si="12"/>
        <v>0.12546125461254612</v>
      </c>
      <c r="BN36" s="18" t="str">
        <f t="shared" si="18"/>
        <v>Baja fuente de proteína</v>
      </c>
      <c r="BO36" s="18" t="str">
        <f t="shared" si="19"/>
        <v>Media fuente de fibra</v>
      </c>
      <c r="BP36" s="18" t="str">
        <f t="shared" si="20"/>
        <v>Baja fuente de calcio</v>
      </c>
      <c r="BQ36" s="18" t="str">
        <f t="shared" si="21"/>
        <v>Media fuente de hierro</v>
      </c>
      <c r="BR36" s="18" t="str">
        <f t="shared" si="22"/>
        <v>Alto en sodio</v>
      </c>
      <c r="BS36" s="6" t="str">
        <f t="shared" si="13"/>
        <v>Ligeramente antiinflamatorio</v>
      </c>
      <c r="BT36" s="6" t="str">
        <f t="shared" si="14"/>
        <v>Bajo en grasas</v>
      </c>
      <c r="BU36" s="18" t="str">
        <f t="shared" si="23"/>
        <v>Alto riesgo de retención de líquidos</v>
      </c>
      <c r="BV36" s="18" t="str">
        <f t="shared" si="24"/>
        <v>Baja fuente de magnesio</v>
      </c>
      <c r="BW36" s="18" t="str">
        <f t="shared" si="25"/>
        <v>Sin aporte de Omega 3</v>
      </c>
      <c r="BX36" s="18" t="str">
        <f t="shared" si="26"/>
        <v>Alerta: Alto en grasas trans</v>
      </c>
      <c r="BY36" s="18" t="str">
        <f t="shared" si="27"/>
        <v>Medio poder antioxidante</v>
      </c>
      <c r="BZ36" s="6" t="str">
        <f t="shared" si="15"/>
        <v>Sin probióticos</v>
      </c>
      <c r="CA36" s="18" t="str">
        <f t="shared" si="28"/>
        <v>Altamente inflamatorio</v>
      </c>
      <c r="CB36" s="18" t="str">
        <f>IF(ISNUMBER(SEARCH("miel", D36)), "No irritante (Uso condicionado SII)", IF(OR(J36&gt;0, ISNUMBER(SEARCH("cacao", D36)), ISNUMBER(SEARCH("chocolate puro", D36))), "Altamente irritante", IF(OR(AND(O36&gt;15, BI36&gt;1), ISNUMBER(SEARCH("chocolate", D36))), "Moderadamente irritante", "No irritante")))</f>
        <v>No irritante</v>
      </c>
      <c r="CC36" s="6" t="str">
        <f t="shared" si="16"/>
        <v>Exceso relativo de Omega 6</v>
      </c>
    </row>
    <row r="37" spans="1:81" ht="15" customHeight="1" x14ac:dyDescent="0.3">
      <c r="A37" s="2">
        <f t="shared" si="17"/>
        <v>36</v>
      </c>
      <c r="B37" s="3" t="s">
        <v>80</v>
      </c>
      <c r="C37" s="3" t="s">
        <v>105</v>
      </c>
      <c r="D37" s="3" t="s">
        <v>122</v>
      </c>
      <c r="E37" s="3"/>
      <c r="F37" s="4">
        <v>3.5</v>
      </c>
      <c r="G37" s="5">
        <v>1</v>
      </c>
      <c r="H37" s="5">
        <v>524</v>
      </c>
      <c r="I37" s="5">
        <v>5.2</v>
      </c>
      <c r="J37" s="5">
        <v>0</v>
      </c>
      <c r="K37" s="5">
        <v>10.199999999999999</v>
      </c>
      <c r="L37" s="5">
        <v>46.9</v>
      </c>
      <c r="M37" s="5">
        <v>46.3</v>
      </c>
      <c r="N37" s="5">
        <v>0.6</v>
      </c>
      <c r="O37" s="5">
        <v>0</v>
      </c>
      <c r="P37" s="5">
        <v>6.2</v>
      </c>
      <c r="Q37" s="5">
        <v>31.5</v>
      </c>
      <c r="R37" s="5">
        <v>4.4000000000000004</v>
      </c>
      <c r="S37" s="5">
        <v>21</v>
      </c>
      <c r="T37" s="5">
        <v>6.1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700</v>
      </c>
      <c r="AR37" s="5">
        <v>0</v>
      </c>
      <c r="AS37" s="5">
        <v>0</v>
      </c>
      <c r="AT37" s="5">
        <v>0</v>
      </c>
      <c r="AU37" s="5">
        <v>0</v>
      </c>
      <c r="AV37" s="5">
        <f>IFERROR(VLOOKUP(IFERROR(VLOOKUP(D37,Mapa_Similitud!$A$2:$B$2000,2,FALSE()),D37),Hoja1!$A$2:$K$1000,2,FALSE()),IFERROR(VLOOKUP(IFERROR(VLOOKUP(D37,Mapa_Similitud!$A$2:$B$2000,2,FALSE()),D37),Omega3_Referencia!$A$2:$E$100,3,FALSE()),0))</f>
        <v>0.5</v>
      </c>
      <c r="AW37" s="3" t="str">
        <f>IFERROR(VLOOKUP(IFERROR(VLOOKUP(D37,Mapa_Similitud!$A$2:$B$2000,2,FALSE()),D37),Hoja1!$A$2:$K$1000,3,FALSE()),IFERROR(VLOOKUP(IFERROR(VLOOKUP(D37,Mapa_Similitud!$A$2:$B$2000,2,FALSE()),D37),Omega3_Referencia!$A$2:$E$100,4,FALSE()),"N/A"))</f>
        <v>ALA</v>
      </c>
      <c r="AX37" s="5">
        <f>IFERROR(VLOOKUP(IFERROR(VLOOKUP(D37,Mapa_Similitud!$A$2:$B$2000,2,FALSE()),D37),Hoja1!$A$2:$K$1000,5,FALSE()),0)</f>
        <v>0</v>
      </c>
      <c r="AY37" s="5">
        <f>IFERROR(VLOOKUP(IFERROR(VLOOKUP(D37,Mapa_Similitud!$A$2:$B$2000,2,FALSE()),D37),Hoja1!$A$2:$K$1000,7,FALSE()),0)</f>
        <v>20</v>
      </c>
      <c r="AZ37" s="5">
        <f>IFERROR(VLOOKUP(IFERROR(VLOOKUP(D37,Mapa_Similitud!$A$2:$B$2000,2,FALSE()),D37),Hoja1!$A$2:$K$1000,9,FALSE()),0)</f>
        <v>0</v>
      </c>
      <c r="BA37" s="25">
        <f t="shared" si="0"/>
        <v>1.9465648854961829E-2</v>
      </c>
      <c r="BB37" s="25">
        <f t="shared" si="1"/>
        <v>1.183206106870229E-2</v>
      </c>
      <c r="BC37" s="25">
        <f t="shared" si="2"/>
        <v>0</v>
      </c>
      <c r="BD37" s="25">
        <f t="shared" si="3"/>
        <v>0</v>
      </c>
      <c r="BE37" s="25">
        <f t="shared" si="4"/>
        <v>1.3358778625954197</v>
      </c>
      <c r="BF37" s="25">
        <f t="shared" si="5"/>
        <v>1.3863636363636362</v>
      </c>
      <c r="BG37" s="25">
        <f t="shared" si="6"/>
        <v>0</v>
      </c>
      <c r="BH37" s="25">
        <f t="shared" si="7"/>
        <v>0.13968253968253969</v>
      </c>
      <c r="BI37" s="25">
        <f t="shared" si="8"/>
        <v>0</v>
      </c>
      <c r="BJ37" s="25">
        <f t="shared" si="9"/>
        <v>1.279317697228145E-2</v>
      </c>
      <c r="BK37" s="25">
        <f t="shared" si="10"/>
        <v>0.13219616204690832</v>
      </c>
      <c r="BL37" s="25">
        <f t="shared" si="11"/>
        <v>0.54103053435114501</v>
      </c>
      <c r="BM37" s="25">
        <f t="shared" si="12"/>
        <v>0</v>
      </c>
      <c r="BN37" s="18" t="str">
        <f t="shared" si="18"/>
        <v>Baja fuente de proteína</v>
      </c>
      <c r="BO37" s="18" t="str">
        <f t="shared" si="19"/>
        <v>Baja fuente de fibra</v>
      </c>
      <c r="BP37" s="18" t="str">
        <f t="shared" si="20"/>
        <v>Baja fuente de calcio</v>
      </c>
      <c r="BQ37" s="18" t="str">
        <f t="shared" si="21"/>
        <v>Baja fuente de hierro</v>
      </c>
      <c r="BR37" s="18" t="str">
        <f t="shared" si="22"/>
        <v>Alto en sodio</v>
      </c>
      <c r="BS37" s="6" t="str">
        <f t="shared" si="13"/>
        <v>Ligeramente antiinflamatorio</v>
      </c>
      <c r="BT37" s="6" t="str">
        <f t="shared" si="14"/>
        <v>Muy alto en grasas</v>
      </c>
      <c r="BU37" s="18" t="str">
        <f t="shared" si="23"/>
        <v>Equilibrio de líquidos ideal</v>
      </c>
      <c r="BV37" s="18" t="str">
        <f t="shared" si="24"/>
        <v>Baja fuente de magnesio</v>
      </c>
      <c r="BW37" s="18" t="str">
        <f t="shared" si="25"/>
        <v>Alta fuente de Omega 3</v>
      </c>
      <c r="BX37" s="18" t="str">
        <f t="shared" si="26"/>
        <v>Libre de grasas trans</v>
      </c>
      <c r="BY37" s="18" t="str">
        <f t="shared" si="27"/>
        <v>Medio poder antioxidante</v>
      </c>
      <c r="BZ37" s="6" t="str">
        <f t="shared" si="15"/>
        <v>Sin probióticos</v>
      </c>
      <c r="CA37" s="18" t="str">
        <f t="shared" si="28"/>
        <v>Antiinflamatorio</v>
      </c>
      <c r="CB37" s="18" t="str">
        <f>IF(ISNUMBER(SEARCH("miel", D37)), "No irritante (Uso condicionado SII)", IF(OR(J37&gt;0, ISNUMBER(SEARCH("cacao", D37)), ISNUMBER(SEARCH("chocolate puro", D37))), "Altamente irritante", IF(OR(AND(O37&gt;15, BI37&gt;1), ISNUMBER(SEARCH("chocolate", D37))), "Moderadamente irritante", "No irritante")))</f>
        <v>No irritante</v>
      </c>
      <c r="CC37" s="6" t="str">
        <f t="shared" si="16"/>
        <v>Exceso relativo de Omega 6</v>
      </c>
    </row>
    <row r="38" spans="1:81" ht="15" customHeight="1" x14ac:dyDescent="0.3">
      <c r="A38" s="2">
        <f t="shared" si="17"/>
        <v>37</v>
      </c>
      <c r="B38" s="3" t="s">
        <v>80</v>
      </c>
      <c r="C38" s="3" t="s">
        <v>105</v>
      </c>
      <c r="D38" s="3" t="s">
        <v>123</v>
      </c>
      <c r="E38" s="3"/>
      <c r="F38" s="4">
        <v>2</v>
      </c>
      <c r="G38" s="5">
        <v>1</v>
      </c>
      <c r="H38" s="5">
        <v>305</v>
      </c>
      <c r="I38" s="5">
        <v>27.7</v>
      </c>
      <c r="J38" s="5">
        <v>0</v>
      </c>
      <c r="K38" s="5">
        <v>8</v>
      </c>
      <c r="L38" s="5">
        <v>56.6</v>
      </c>
      <c r="M38" s="5">
        <v>49.9</v>
      </c>
      <c r="N38" s="5">
        <v>2.1</v>
      </c>
      <c r="O38" s="5">
        <v>0</v>
      </c>
      <c r="P38" s="5">
        <v>3.2</v>
      </c>
      <c r="Q38" s="5">
        <v>4.5</v>
      </c>
      <c r="R38" s="5">
        <v>0.75</v>
      </c>
      <c r="S38" s="5">
        <v>3.2</v>
      </c>
      <c r="T38" s="5">
        <v>0.47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0.23</v>
      </c>
      <c r="AC38" s="5">
        <v>0.1</v>
      </c>
      <c r="AD38" s="5">
        <v>3.4</v>
      </c>
      <c r="AE38" s="5">
        <v>0.06</v>
      </c>
      <c r="AF38" s="5">
        <v>48</v>
      </c>
      <c r="AG38" s="5">
        <v>0</v>
      </c>
      <c r="AH38" s="5">
        <v>0</v>
      </c>
      <c r="AI38" s="5">
        <v>0</v>
      </c>
      <c r="AJ38" s="5">
        <v>0</v>
      </c>
      <c r="AK38" s="5">
        <v>130</v>
      </c>
      <c r="AL38" s="5">
        <v>78.2</v>
      </c>
      <c r="AM38" s="5">
        <v>2.2999999999999998</v>
      </c>
      <c r="AN38" s="5">
        <v>19</v>
      </c>
      <c r="AO38" s="5">
        <v>0.7</v>
      </c>
      <c r="AP38" s="5">
        <v>31</v>
      </c>
      <c r="AQ38" s="5">
        <v>550</v>
      </c>
      <c r="AR38" s="5">
        <v>110</v>
      </c>
      <c r="AS38" s="5">
        <v>0</v>
      </c>
      <c r="AT38" s="5">
        <v>0</v>
      </c>
      <c r="AU38" s="5">
        <v>28</v>
      </c>
      <c r="AV38" s="5">
        <f>IFERROR(VLOOKUP(IFERROR(VLOOKUP(D38,Mapa_Similitud!$A$2:$B$2000,2,FALSE()),D38),Hoja1!$A$2:$K$1000,2,FALSE()),IFERROR(VLOOKUP(IFERROR(VLOOKUP(D38,Mapa_Similitud!$A$2:$B$2000,2,FALSE()),D38),Omega3_Referencia!$A$2:$E$100,3,FALSE()),0))</f>
        <v>0.06</v>
      </c>
      <c r="AW38" s="3" t="str">
        <f>IFERROR(VLOOKUP(IFERROR(VLOOKUP(D38,Mapa_Similitud!$A$2:$B$2000,2,FALSE()),D38),Hoja1!$A$2:$K$1000,3,FALSE()),IFERROR(VLOOKUP(IFERROR(VLOOKUP(D38,Mapa_Similitud!$A$2:$B$2000,2,FALSE()),D38),Omega3_Referencia!$A$2:$E$100,4,FALSE()),"N/A"))</f>
        <v>ALA</v>
      </c>
      <c r="AX38" s="5">
        <f>IFERROR(VLOOKUP(IFERROR(VLOOKUP(D38,Mapa_Similitud!$A$2:$B$2000,2,FALSE()),D38),Hoja1!$A$2:$K$1000,5,FALSE()),0)</f>
        <v>0</v>
      </c>
      <c r="AY38" s="5">
        <f>IFERROR(VLOOKUP(IFERROR(VLOOKUP(D38,Mapa_Similitud!$A$2:$B$2000,2,FALSE()),D38),Hoja1!$A$2:$K$1000,7,FALSE()),0)</f>
        <v>35</v>
      </c>
      <c r="AZ38" s="5">
        <f>IFERROR(VLOOKUP(IFERROR(VLOOKUP(D38,Mapa_Similitud!$A$2:$B$2000,2,FALSE()),D38),Hoja1!$A$2:$K$1000,9,FALSE()),0)</f>
        <v>0</v>
      </c>
      <c r="BA38" s="25">
        <f t="shared" si="0"/>
        <v>2.6229508196721311E-2</v>
      </c>
      <c r="BB38" s="25">
        <f t="shared" si="1"/>
        <v>1.0491803278688525E-2</v>
      </c>
      <c r="BC38" s="25">
        <f t="shared" si="2"/>
        <v>0.42622950819672129</v>
      </c>
      <c r="BD38" s="25">
        <f t="shared" si="3"/>
        <v>7.5409836065573766E-3</v>
      </c>
      <c r="BE38" s="25">
        <f t="shared" si="4"/>
        <v>1.8032786885245902</v>
      </c>
      <c r="BF38" s="25">
        <f t="shared" si="5"/>
        <v>0.62666666666666659</v>
      </c>
      <c r="BG38" s="25">
        <f t="shared" si="6"/>
        <v>1.6624040920716112</v>
      </c>
      <c r="BH38" s="25">
        <f t="shared" si="7"/>
        <v>0.16666666666666666</v>
      </c>
      <c r="BI38" s="25">
        <f t="shared" si="8"/>
        <v>5</v>
      </c>
      <c r="BJ38" s="25">
        <f t="shared" si="9"/>
        <v>3.7102473498233215E-2</v>
      </c>
      <c r="BK38" s="25">
        <f t="shared" si="10"/>
        <v>5.6537102473498232E-2</v>
      </c>
      <c r="BL38" s="25">
        <f t="shared" si="11"/>
        <v>0.13278688524590163</v>
      </c>
      <c r="BM38" s="25">
        <f t="shared" si="12"/>
        <v>0.10163934426229508</v>
      </c>
      <c r="BN38" s="18" t="str">
        <f t="shared" si="18"/>
        <v>Baja fuente de proteína</v>
      </c>
      <c r="BO38" s="18" t="str">
        <f t="shared" si="19"/>
        <v>Baja fuente de fibra</v>
      </c>
      <c r="BP38" s="18" t="str">
        <f t="shared" si="20"/>
        <v>Baja fuente de calcio</v>
      </c>
      <c r="BQ38" s="18" t="str">
        <f t="shared" si="21"/>
        <v>Baja fuente de hierro</v>
      </c>
      <c r="BR38" s="18" t="str">
        <f t="shared" si="22"/>
        <v>Alto en sodio</v>
      </c>
      <c r="BS38" s="6" t="str">
        <f t="shared" si="13"/>
        <v>Neutro</v>
      </c>
      <c r="BT38" s="6" t="str">
        <f t="shared" si="14"/>
        <v>Bajo en grasas</v>
      </c>
      <c r="BU38" s="18" t="str">
        <f t="shared" si="23"/>
        <v>Alto riesgo de retención de líquidos</v>
      </c>
      <c r="BV38" s="18" t="str">
        <f t="shared" si="24"/>
        <v>Baja fuente de magnesio</v>
      </c>
      <c r="BW38" s="18" t="str">
        <f t="shared" si="25"/>
        <v>Sin aporte de Omega 3</v>
      </c>
      <c r="BX38" s="18" t="str">
        <f t="shared" si="26"/>
        <v>Libre de grasas trans</v>
      </c>
      <c r="BY38" s="18" t="str">
        <f t="shared" si="27"/>
        <v>Medio poder antioxidante</v>
      </c>
      <c r="BZ38" s="6" t="str">
        <f t="shared" si="15"/>
        <v>Sin probióticos</v>
      </c>
      <c r="CA38" s="18" t="str">
        <f t="shared" si="28"/>
        <v>Poco inflamatorio</v>
      </c>
      <c r="CB38" s="18" t="str">
        <f>IF(ISNUMBER(SEARCH("miel", D38)), "No irritante (Uso condicionado SII)", IF(OR(J38&gt;0, ISNUMBER(SEARCH("cacao", D38)), ISNUMBER(SEARCH("chocolate puro", D38))), "Altamente irritante", IF(OR(AND(O38&gt;15, BI38&gt;1), ISNUMBER(SEARCH("chocolate", D38))), "Moderadamente irritante", "No irritante")))</f>
        <v>No irritante</v>
      </c>
      <c r="CC38" s="6" t="str">
        <f t="shared" si="16"/>
        <v>Exceso relativo de Omega 6</v>
      </c>
    </row>
    <row r="39" spans="1:81" ht="15" customHeight="1" x14ac:dyDescent="0.3">
      <c r="A39" s="2">
        <f t="shared" si="17"/>
        <v>38</v>
      </c>
      <c r="B39" s="3" t="s">
        <v>80</v>
      </c>
      <c r="C39" s="3" t="s">
        <v>105</v>
      </c>
      <c r="D39" s="3" t="s">
        <v>124</v>
      </c>
      <c r="E39" s="3"/>
      <c r="F39" s="4">
        <v>3</v>
      </c>
      <c r="G39" s="5">
        <v>1</v>
      </c>
      <c r="H39" s="5">
        <v>371</v>
      </c>
      <c r="I39" s="5">
        <v>7.9</v>
      </c>
      <c r="J39" s="5">
        <v>0</v>
      </c>
      <c r="K39" s="5">
        <v>11</v>
      </c>
      <c r="L39" s="5">
        <v>75.599999999999994</v>
      </c>
      <c r="M39" s="5">
        <v>71.599999999999994</v>
      </c>
      <c r="N39" s="5">
        <v>4</v>
      </c>
      <c r="O39" s="5">
        <v>0</v>
      </c>
      <c r="P39" s="5">
        <v>3.5</v>
      </c>
      <c r="Q39" s="5">
        <v>2</v>
      </c>
      <c r="R39" s="5">
        <v>0.4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448</v>
      </c>
      <c r="AR39" s="5">
        <v>0</v>
      </c>
      <c r="AS39" s="5">
        <v>0</v>
      </c>
      <c r="AT39" s="5">
        <v>0</v>
      </c>
      <c r="AU39" s="5">
        <v>0</v>
      </c>
      <c r="AV39" s="5">
        <f>IFERROR(VLOOKUP(IFERROR(VLOOKUP(D39,Mapa_Similitud!$A$2:$B$2000,2,FALSE()),D39),Hoja1!$A$2:$K$1000,2,FALSE()),IFERROR(VLOOKUP(IFERROR(VLOOKUP(D39,Mapa_Similitud!$A$2:$B$2000,2,FALSE()),D39),Omega3_Referencia!$A$2:$E$100,3,FALSE()),0))</f>
        <v>0.03</v>
      </c>
      <c r="AW39" s="3" t="str">
        <f>IFERROR(VLOOKUP(IFERROR(VLOOKUP(D39,Mapa_Similitud!$A$2:$B$2000,2,FALSE()),D39),Hoja1!$A$2:$K$1000,3,FALSE()),IFERROR(VLOOKUP(IFERROR(VLOOKUP(D39,Mapa_Similitud!$A$2:$B$2000,2,FALSE()),D39),Omega3_Referencia!$A$2:$E$100,4,FALSE()),"N/A"))</f>
        <v>ALA</v>
      </c>
      <c r="AX39" s="5">
        <f>IFERROR(VLOOKUP(IFERROR(VLOOKUP(D39,Mapa_Similitud!$A$2:$B$2000,2,FALSE()),D39),Hoja1!$A$2:$K$1000,5,FALSE()),0)</f>
        <v>0.2</v>
      </c>
      <c r="AY39" s="5">
        <f>IFERROR(VLOOKUP(IFERROR(VLOOKUP(D39,Mapa_Similitud!$A$2:$B$2000,2,FALSE()),D39),Hoja1!$A$2:$K$1000,7,FALSE()),0)</f>
        <v>15</v>
      </c>
      <c r="AZ39" s="5">
        <f>IFERROR(VLOOKUP(IFERROR(VLOOKUP(D39,Mapa_Similitud!$A$2:$B$2000,2,FALSE()),D39),Hoja1!$A$2:$K$1000,9,FALSE()),0)</f>
        <v>0</v>
      </c>
      <c r="BA39" s="25">
        <f t="shared" si="0"/>
        <v>2.9649595687331536E-2</v>
      </c>
      <c r="BB39" s="25">
        <f t="shared" si="1"/>
        <v>9.433962264150943E-3</v>
      </c>
      <c r="BC39" s="25">
        <f t="shared" si="2"/>
        <v>0</v>
      </c>
      <c r="BD39" s="25">
        <f t="shared" si="3"/>
        <v>0</v>
      </c>
      <c r="BE39" s="25">
        <f t="shared" si="4"/>
        <v>1.2075471698113207</v>
      </c>
      <c r="BF39" s="25">
        <f t="shared" si="5"/>
        <v>0</v>
      </c>
      <c r="BG39" s="25">
        <f t="shared" si="6"/>
        <v>0</v>
      </c>
      <c r="BH39" s="25">
        <f t="shared" si="7"/>
        <v>0.2</v>
      </c>
      <c r="BI39" s="25">
        <f t="shared" si="8"/>
        <v>0</v>
      </c>
      <c r="BJ39" s="25">
        <f t="shared" si="9"/>
        <v>5.2910052910052914E-2</v>
      </c>
      <c r="BK39" s="25">
        <f t="shared" si="10"/>
        <v>4.6296296296296301E-2</v>
      </c>
      <c r="BL39" s="25">
        <f t="shared" si="11"/>
        <v>4.8517520215633422E-2</v>
      </c>
      <c r="BM39" s="25">
        <f t="shared" si="12"/>
        <v>0</v>
      </c>
      <c r="BN39" s="18" t="str">
        <f t="shared" si="18"/>
        <v>Baja fuente de proteína</v>
      </c>
      <c r="BO39" s="18" t="str">
        <f t="shared" si="19"/>
        <v>Baja fuente de fibra</v>
      </c>
      <c r="BP39" s="18" t="str">
        <f t="shared" si="20"/>
        <v>Baja fuente de calcio</v>
      </c>
      <c r="BQ39" s="18" t="str">
        <f t="shared" si="21"/>
        <v>Baja fuente de hierro</v>
      </c>
      <c r="BR39" s="18" t="str">
        <f t="shared" si="22"/>
        <v>Alto en sodio</v>
      </c>
      <c r="BS39" s="6" t="str">
        <f t="shared" si="13"/>
        <v>Proinflamatorio</v>
      </c>
      <c r="BT39" s="6" t="str">
        <f t="shared" si="14"/>
        <v>Bajo en grasas</v>
      </c>
      <c r="BU39" s="18" t="str">
        <f t="shared" si="23"/>
        <v>Equilibrio de líquidos ideal</v>
      </c>
      <c r="BV39" s="18" t="str">
        <f t="shared" si="24"/>
        <v>Baja fuente de magnesio</v>
      </c>
      <c r="BW39" s="18" t="str">
        <f t="shared" si="25"/>
        <v>Sin aporte de Omega 3</v>
      </c>
      <c r="BX39" s="18" t="str">
        <f t="shared" si="26"/>
        <v>Contiene grasas trans</v>
      </c>
      <c r="BY39" s="18" t="str">
        <f t="shared" si="27"/>
        <v>Medio poder antioxidante</v>
      </c>
      <c r="BZ39" s="6" t="str">
        <f t="shared" si="15"/>
        <v>Sin probióticos</v>
      </c>
      <c r="CA39" s="18" t="str">
        <f t="shared" si="28"/>
        <v>Moderadamente inflamatorio</v>
      </c>
      <c r="CB39" s="18" t="str">
        <f>IF(ISNUMBER(SEARCH("miel", D39)), "No irritante (Uso condicionado SII)", IF(OR(J39&gt;0, ISNUMBER(SEARCH("cacao", D39)), ISNUMBER(SEARCH("chocolate puro", D39))), "Altamente irritante", IF(OR(AND(O39&gt;15, BI39&gt;1), ISNUMBER(SEARCH("chocolate", D39))), "Moderadamente irritante", "No irritante")))</f>
        <v>No irritante</v>
      </c>
      <c r="CC39" s="6" t="str">
        <f t="shared" si="16"/>
        <v>Balance de omegas favorable</v>
      </c>
    </row>
    <row r="40" spans="1:81" ht="15" customHeight="1" x14ac:dyDescent="0.3">
      <c r="A40" s="2">
        <f t="shared" si="17"/>
        <v>39</v>
      </c>
      <c r="B40" s="3" t="s">
        <v>80</v>
      </c>
      <c r="C40" s="3" t="s">
        <v>125</v>
      </c>
      <c r="D40" s="3" t="s">
        <v>126</v>
      </c>
      <c r="E40" s="3"/>
      <c r="F40" s="4">
        <v>2.8</v>
      </c>
      <c r="G40" s="5">
        <v>1</v>
      </c>
      <c r="H40" s="5">
        <v>377</v>
      </c>
      <c r="I40" s="5">
        <v>4.2</v>
      </c>
      <c r="J40" s="5">
        <v>0</v>
      </c>
      <c r="K40" s="5">
        <v>12.8</v>
      </c>
      <c r="L40" s="5">
        <v>77.400000000000006</v>
      </c>
      <c r="M40" s="5">
        <v>77.400000000000006</v>
      </c>
      <c r="N40" s="5">
        <v>0</v>
      </c>
      <c r="O40" s="5">
        <v>0</v>
      </c>
      <c r="P40" s="5">
        <v>5</v>
      </c>
      <c r="Q40" s="5">
        <v>0.64</v>
      </c>
      <c r="R40" s="5">
        <v>0.12</v>
      </c>
      <c r="S40" s="5">
        <v>8.8999999999999996E-2</v>
      </c>
      <c r="T40" s="5">
        <v>0.25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0.16</v>
      </c>
      <c r="AC40" s="5">
        <v>7.8E-2</v>
      </c>
      <c r="AD40" s="5">
        <v>3.5</v>
      </c>
      <c r="AE40" s="5">
        <v>0.11</v>
      </c>
      <c r="AF40" s="5">
        <v>20</v>
      </c>
      <c r="AG40" s="5">
        <v>0</v>
      </c>
      <c r="AH40" s="5">
        <v>0</v>
      </c>
      <c r="AI40" s="5">
        <v>0</v>
      </c>
      <c r="AJ40" s="5">
        <v>0</v>
      </c>
      <c r="AK40" s="5">
        <v>24</v>
      </c>
      <c r="AL40" s="5">
        <v>170</v>
      </c>
      <c r="AM40" s="5">
        <v>1.1000000000000001</v>
      </c>
      <c r="AN40" s="5">
        <v>0</v>
      </c>
      <c r="AO40" s="5">
        <v>0.83</v>
      </c>
      <c r="AP40" s="5">
        <v>44</v>
      </c>
      <c r="AQ40" s="5">
        <v>10</v>
      </c>
      <c r="AR40" s="5">
        <v>166</v>
      </c>
      <c r="AS40" s="5">
        <v>0</v>
      </c>
      <c r="AT40" s="5">
        <v>0</v>
      </c>
      <c r="AU40" s="5">
        <v>0</v>
      </c>
      <c r="AV40" s="5">
        <f>IFERROR(VLOOKUP(IFERROR(VLOOKUP(D40,Mapa_Similitud!$A$2:$B$2000,2,FALSE()),D40),Hoja1!$A$2:$K$1000,2,FALSE()),IFERROR(VLOOKUP(IFERROR(VLOOKUP(D40,Mapa_Similitud!$A$2:$B$2000,2,FALSE()),D40),Omega3_Referencia!$A$2:$E$100,3,FALSE()),0))</f>
        <v>0.02</v>
      </c>
      <c r="AW40" s="3" t="str">
        <f>IFERROR(VLOOKUP(IFERROR(VLOOKUP(D40,Mapa_Similitud!$A$2:$B$2000,2,FALSE()),D40),Hoja1!$A$2:$K$1000,3,FALSE()),IFERROR(VLOOKUP(IFERROR(VLOOKUP(D40,Mapa_Similitud!$A$2:$B$2000,2,FALSE()),D40),Omega3_Referencia!$A$2:$E$100,4,FALSE()),"N/A"))</f>
        <v>ALA</v>
      </c>
      <c r="AX40" s="5">
        <f>IFERROR(VLOOKUP(IFERROR(VLOOKUP(D40,Mapa_Similitud!$A$2:$B$2000,2,FALSE()),D40),Hoja1!$A$2:$K$1000,5,FALSE()),0)</f>
        <v>0</v>
      </c>
      <c r="AY40" s="5">
        <f>IFERROR(VLOOKUP(IFERROR(VLOOKUP(D40,Mapa_Similitud!$A$2:$B$2000,2,FALSE()),D40),Hoja1!$A$2:$K$1000,7,FALSE()),0)</f>
        <v>10</v>
      </c>
      <c r="AZ40" s="5">
        <f>IFERROR(VLOOKUP(IFERROR(VLOOKUP(D40,Mapa_Similitud!$A$2:$B$2000,2,FALSE()),D40),Hoja1!$A$2:$K$1000,9,FALSE()),0)</f>
        <v>0</v>
      </c>
      <c r="BA40" s="25">
        <f t="shared" si="0"/>
        <v>3.3952254641909818E-2</v>
      </c>
      <c r="BB40" s="25">
        <f t="shared" si="1"/>
        <v>1.3262599469496022E-2</v>
      </c>
      <c r="BC40" s="25">
        <f t="shared" si="2"/>
        <v>6.3660477453580902E-2</v>
      </c>
      <c r="BD40" s="25">
        <f t="shared" si="3"/>
        <v>2.917771883289125E-3</v>
      </c>
      <c r="BE40" s="25">
        <f t="shared" si="4"/>
        <v>2.6525198938992044E-2</v>
      </c>
      <c r="BF40" s="25">
        <f t="shared" si="5"/>
        <v>2.0833333333333335</v>
      </c>
      <c r="BG40" s="25">
        <f t="shared" si="6"/>
        <v>0.14117647058823529</v>
      </c>
      <c r="BH40" s="25">
        <f t="shared" si="7"/>
        <v>0.1875</v>
      </c>
      <c r="BI40" s="25">
        <f t="shared" si="8"/>
        <v>6.0240963855421686E-2</v>
      </c>
      <c r="BJ40" s="25">
        <f t="shared" si="9"/>
        <v>0</v>
      </c>
      <c r="BK40" s="25">
        <f t="shared" si="10"/>
        <v>6.4599483204134361E-2</v>
      </c>
      <c r="BL40" s="25">
        <f t="shared" si="11"/>
        <v>1.5278514588859416E-2</v>
      </c>
      <c r="BM40" s="25">
        <f t="shared" si="12"/>
        <v>0.11671087533156499</v>
      </c>
      <c r="BN40" s="18" t="str">
        <f t="shared" si="18"/>
        <v>Baja fuente de proteína</v>
      </c>
      <c r="BO40" s="18" t="str">
        <f t="shared" si="19"/>
        <v>Baja fuente de fibra</v>
      </c>
      <c r="BP40" s="18" t="str">
        <f t="shared" si="20"/>
        <v>Baja fuente de calcio</v>
      </c>
      <c r="BQ40" s="18" t="str">
        <f t="shared" si="21"/>
        <v>Baja fuente de hierro</v>
      </c>
      <c r="BR40" s="18" t="str">
        <f t="shared" si="22"/>
        <v>Bajo en sodio</v>
      </c>
      <c r="BS40" s="6" t="str">
        <f t="shared" si="13"/>
        <v>Altamente antiinflamatorio</v>
      </c>
      <c r="BT40" s="6" t="str">
        <f t="shared" si="14"/>
        <v>Bajo en grasas</v>
      </c>
      <c r="BU40" s="18" t="str">
        <f t="shared" si="23"/>
        <v>Equilibrio de líquidos ideal</v>
      </c>
      <c r="BV40" s="18" t="str">
        <f t="shared" si="24"/>
        <v>Baja fuente de magnesio</v>
      </c>
      <c r="BW40" s="18" t="str">
        <f t="shared" si="25"/>
        <v>Sin aporte de Omega 3</v>
      </c>
      <c r="BX40" s="18" t="str">
        <f t="shared" si="26"/>
        <v>Libre de grasas trans</v>
      </c>
      <c r="BY40" s="18" t="str">
        <f t="shared" si="27"/>
        <v>Medio poder antioxidante</v>
      </c>
      <c r="BZ40" s="6" t="str">
        <f t="shared" si="15"/>
        <v>Sin probióticos</v>
      </c>
      <c r="CA40" s="18" t="str">
        <f t="shared" si="28"/>
        <v>Poco inflamatorio</v>
      </c>
      <c r="CB40" s="18" t="str">
        <f>IF(ISNUMBER(SEARCH("miel", D40)), "No irritante (Uso condicionado SII)", IF(OR(J40&gt;0, ISNUMBER(SEARCH("cacao", D40)), ISNUMBER(SEARCH("chocolate puro", D40))), "Altamente irritante", IF(OR(AND(O40&gt;15, BI40&gt;1), ISNUMBER(SEARCH("chocolate", D40))), "Moderadamente irritante", "No irritante")))</f>
        <v>No irritante</v>
      </c>
      <c r="CC40" s="6" t="str">
        <f t="shared" si="16"/>
        <v>Exceso relativo de Omega 6</v>
      </c>
    </row>
    <row r="41" spans="1:81" ht="15" customHeight="1" x14ac:dyDescent="0.3">
      <c r="A41" s="2">
        <f t="shared" si="17"/>
        <v>40</v>
      </c>
      <c r="B41" s="3" t="s">
        <v>80</v>
      </c>
      <c r="C41" s="3" t="s">
        <v>125</v>
      </c>
      <c r="D41" s="3" t="s">
        <v>127</v>
      </c>
      <c r="E41" s="3"/>
      <c r="F41" s="4">
        <v>0.9</v>
      </c>
      <c r="G41" s="5">
        <v>1</v>
      </c>
      <c r="H41" s="5">
        <v>359</v>
      </c>
      <c r="I41" s="5">
        <v>9.6999999999999993</v>
      </c>
      <c r="J41" s="5">
        <v>0</v>
      </c>
      <c r="K41" s="5">
        <v>12.8</v>
      </c>
      <c r="L41" s="5">
        <v>70.900000000000006</v>
      </c>
      <c r="M41" s="5">
        <v>68.3</v>
      </c>
      <c r="N41" s="5">
        <v>2.6</v>
      </c>
      <c r="O41" s="5">
        <v>0</v>
      </c>
      <c r="P41" s="5">
        <v>5</v>
      </c>
      <c r="Q41" s="5">
        <v>1.6</v>
      </c>
      <c r="R41" s="5">
        <v>0.23</v>
      </c>
      <c r="S41" s="5">
        <v>0.19</v>
      </c>
      <c r="T41" s="5">
        <v>0.65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0.13</v>
      </c>
      <c r="AA41" s="5">
        <v>0.5</v>
      </c>
      <c r="AB41" s="5">
        <v>0.09</v>
      </c>
      <c r="AC41" s="5">
        <v>0.06</v>
      </c>
      <c r="AD41" s="5">
        <v>4.4000000000000004</v>
      </c>
      <c r="AE41" s="5">
        <v>0.11</v>
      </c>
      <c r="AF41" s="5">
        <v>18</v>
      </c>
      <c r="AG41" s="5">
        <v>0</v>
      </c>
      <c r="AH41" s="5">
        <v>0.43</v>
      </c>
      <c r="AI41" s="5">
        <v>0</v>
      </c>
      <c r="AJ41" s="5">
        <v>0</v>
      </c>
      <c r="AK41" s="5">
        <v>24</v>
      </c>
      <c r="AL41" s="5">
        <v>150</v>
      </c>
      <c r="AM41" s="5">
        <v>1.8</v>
      </c>
      <c r="AN41" s="5">
        <v>10</v>
      </c>
      <c r="AO41" s="5">
        <v>1.2</v>
      </c>
      <c r="AP41" s="5">
        <v>48</v>
      </c>
      <c r="AQ41" s="5">
        <v>7</v>
      </c>
      <c r="AR41" s="5">
        <v>236</v>
      </c>
      <c r="AS41" s="5">
        <v>0.69</v>
      </c>
      <c r="AT41" s="5">
        <v>0.25</v>
      </c>
      <c r="AU41" s="5">
        <v>62.2</v>
      </c>
      <c r="AV41" s="5">
        <f>IFERROR(VLOOKUP(IFERROR(VLOOKUP(D41,Mapa_Similitud!$A$2:$B$2000,2,FALSE()),D41),Hoja1!$A$2:$K$1000,2,FALSE()),IFERROR(VLOOKUP(IFERROR(VLOOKUP(D41,Mapa_Similitud!$A$2:$B$2000,2,FALSE()),D41),Omega3_Referencia!$A$2:$E$100,3,FALSE()),0))</f>
        <v>0.02</v>
      </c>
      <c r="AW41" s="3" t="str">
        <f>IFERROR(VLOOKUP(IFERROR(VLOOKUP(D41,Mapa_Similitud!$A$2:$B$2000,2,FALSE()),D41),Hoja1!$A$2:$K$1000,3,FALSE()),IFERROR(VLOOKUP(IFERROR(VLOOKUP(D41,Mapa_Similitud!$A$2:$B$2000,2,FALSE()),D41),Omega3_Referencia!$A$2:$E$100,4,FALSE()),"N/A"))</f>
        <v>ALA</v>
      </c>
      <c r="AX41" s="5">
        <f>IFERROR(VLOOKUP(IFERROR(VLOOKUP(D41,Mapa_Similitud!$A$2:$B$2000,2,FALSE()),D41),Hoja1!$A$2:$K$1000,5,FALSE()),0)</f>
        <v>0</v>
      </c>
      <c r="AY41" s="5">
        <f>IFERROR(VLOOKUP(IFERROR(VLOOKUP(D41,Mapa_Similitud!$A$2:$B$2000,2,FALSE()),D41),Hoja1!$A$2:$K$1000,7,FALSE()),0)</f>
        <v>12</v>
      </c>
      <c r="AZ41" s="5">
        <f>IFERROR(VLOOKUP(IFERROR(VLOOKUP(D41,Mapa_Similitud!$A$2:$B$2000,2,FALSE()),D41),Hoja1!$A$2:$K$1000,9,FALSE()),0)</f>
        <v>0</v>
      </c>
      <c r="BA41" s="25">
        <f t="shared" si="0"/>
        <v>3.5654596100278553E-2</v>
      </c>
      <c r="BB41" s="25">
        <f t="shared" si="1"/>
        <v>1.3927576601671309E-2</v>
      </c>
      <c r="BC41" s="25">
        <f t="shared" si="2"/>
        <v>6.6852367688022288E-2</v>
      </c>
      <c r="BD41" s="25">
        <f t="shared" si="3"/>
        <v>5.0139275766016714E-3</v>
      </c>
      <c r="BE41" s="25">
        <f t="shared" si="4"/>
        <v>1.9498607242339833E-2</v>
      </c>
      <c r="BF41" s="25">
        <f t="shared" si="5"/>
        <v>2.8260869565217392</v>
      </c>
      <c r="BG41" s="25">
        <f t="shared" si="6"/>
        <v>0.16</v>
      </c>
      <c r="BH41" s="25">
        <f t="shared" si="7"/>
        <v>0.14374999999999999</v>
      </c>
      <c r="BI41" s="25">
        <f t="shared" si="8"/>
        <v>2.9661016949152543E-2</v>
      </c>
      <c r="BJ41" s="25">
        <f t="shared" si="9"/>
        <v>3.6671368124118475E-2</v>
      </c>
      <c r="BK41" s="25">
        <f t="shared" si="10"/>
        <v>7.0521861777150904E-2</v>
      </c>
      <c r="BL41" s="25">
        <f t="shared" si="11"/>
        <v>4.0111420612813371E-2</v>
      </c>
      <c r="BM41" s="25">
        <f t="shared" si="12"/>
        <v>0.13370473537604458</v>
      </c>
      <c r="BN41" s="18" t="str">
        <f t="shared" si="18"/>
        <v>Baja fuente de proteína</v>
      </c>
      <c r="BO41" s="18" t="str">
        <f t="shared" si="19"/>
        <v>Baja fuente de fibra</v>
      </c>
      <c r="BP41" s="18" t="str">
        <f t="shared" si="20"/>
        <v>Baja fuente de calcio</v>
      </c>
      <c r="BQ41" s="18" t="str">
        <f t="shared" si="21"/>
        <v>Baja fuente de hierro</v>
      </c>
      <c r="BR41" s="18" t="str">
        <f t="shared" si="22"/>
        <v>Bajo en sodio</v>
      </c>
      <c r="BS41" s="6" t="str">
        <f t="shared" si="13"/>
        <v>Altamente antiinflamatorio</v>
      </c>
      <c r="BT41" s="6" t="str">
        <f t="shared" si="14"/>
        <v>Bajo en grasas</v>
      </c>
      <c r="BU41" s="18" t="str">
        <f t="shared" si="23"/>
        <v>Equilibrio de líquidos ideal</v>
      </c>
      <c r="BV41" s="18" t="str">
        <f t="shared" si="24"/>
        <v>Baja fuente de magnesio</v>
      </c>
      <c r="BW41" s="18" t="str">
        <f t="shared" si="25"/>
        <v>Sin aporte de Omega 3</v>
      </c>
      <c r="BX41" s="18" t="str">
        <f t="shared" si="26"/>
        <v>Libre de grasas trans</v>
      </c>
      <c r="BY41" s="18" t="str">
        <f t="shared" si="27"/>
        <v>Medio poder antioxidante</v>
      </c>
      <c r="BZ41" s="6" t="str">
        <f t="shared" si="15"/>
        <v>Sin probióticos</v>
      </c>
      <c r="CA41" s="18" t="str">
        <f t="shared" si="28"/>
        <v>Poco inflamatorio</v>
      </c>
      <c r="CB41" s="18" t="str">
        <f>IF(ISNUMBER(SEARCH("miel", D41)), "No irritante (Uso condicionado SII)", IF(OR(J41&gt;0, ISNUMBER(SEARCH("cacao", D41)), ISNUMBER(SEARCH("chocolate puro", D41))), "Altamente irritante", IF(OR(AND(O41&gt;15, BI41&gt;1), ISNUMBER(SEARCH("chocolate", D41))), "Moderadamente irritante", "No irritante")))</f>
        <v>No irritante</v>
      </c>
      <c r="CC41" s="6" t="str">
        <f t="shared" si="16"/>
        <v>Exceso relativo de Omega 6</v>
      </c>
    </row>
    <row r="42" spans="1:81" ht="15" customHeight="1" x14ac:dyDescent="0.3">
      <c r="A42" s="2">
        <f t="shared" si="17"/>
        <v>41</v>
      </c>
      <c r="B42" s="3" t="s">
        <v>80</v>
      </c>
      <c r="C42" s="3" t="s">
        <v>125</v>
      </c>
      <c r="D42" s="3" t="s">
        <v>128</v>
      </c>
      <c r="E42" s="3"/>
      <c r="F42" s="4">
        <v>1.5</v>
      </c>
      <c r="G42" s="5">
        <v>1</v>
      </c>
      <c r="H42" s="5">
        <v>374</v>
      </c>
      <c r="I42" s="5">
        <v>9.3000000000000007</v>
      </c>
      <c r="J42" s="5">
        <v>0</v>
      </c>
      <c r="K42" s="5">
        <v>12.4</v>
      </c>
      <c r="L42" s="5">
        <v>69.900000000000006</v>
      </c>
      <c r="M42" s="5">
        <v>64.5</v>
      </c>
      <c r="N42" s="5">
        <v>1.9</v>
      </c>
      <c r="O42" s="5">
        <v>0</v>
      </c>
      <c r="P42" s="5">
        <v>3.4</v>
      </c>
      <c r="Q42" s="5">
        <v>4.2</v>
      </c>
      <c r="R42" s="5">
        <v>0.9</v>
      </c>
      <c r="S42" s="5">
        <v>1.5</v>
      </c>
      <c r="T42" s="5">
        <v>0.4</v>
      </c>
      <c r="U42" s="5">
        <v>30</v>
      </c>
      <c r="V42" s="5">
        <v>63</v>
      </c>
      <c r="W42" s="5">
        <v>63</v>
      </c>
      <c r="X42" s="5">
        <v>0</v>
      </c>
      <c r="Y42" s="5">
        <v>0.13</v>
      </c>
      <c r="Z42" s="5">
        <v>0.21</v>
      </c>
      <c r="AA42" s="5">
        <v>0.5</v>
      </c>
      <c r="AB42" s="5">
        <v>0.17</v>
      </c>
      <c r="AC42" s="5">
        <v>7.2999999999999995E-2</v>
      </c>
      <c r="AD42" s="5">
        <v>3.4</v>
      </c>
      <c r="AE42" s="5">
        <v>0.06</v>
      </c>
      <c r="AF42" s="5">
        <v>22</v>
      </c>
      <c r="AG42" s="5">
        <v>0.2</v>
      </c>
      <c r="AH42" s="5">
        <v>0.3</v>
      </c>
      <c r="AI42" s="5">
        <v>1</v>
      </c>
      <c r="AJ42" s="5">
        <v>0</v>
      </c>
      <c r="AK42" s="5">
        <v>23</v>
      </c>
      <c r="AL42" s="5">
        <v>153</v>
      </c>
      <c r="AM42" s="5">
        <v>3</v>
      </c>
      <c r="AN42" s="5">
        <v>0</v>
      </c>
      <c r="AO42" s="5">
        <v>1.3</v>
      </c>
      <c r="AP42" s="5">
        <v>42</v>
      </c>
      <c r="AQ42" s="5">
        <v>17</v>
      </c>
      <c r="AR42" s="5">
        <v>219</v>
      </c>
      <c r="AS42" s="5">
        <v>0.64</v>
      </c>
      <c r="AT42" s="5">
        <v>0.2</v>
      </c>
      <c r="AU42" s="5">
        <v>20</v>
      </c>
      <c r="AV42" s="5">
        <f>IFERROR(VLOOKUP(IFERROR(VLOOKUP(D42,Mapa_Similitud!$A$2:$B$2000,2,FALSE()),D42),Hoja1!$A$2:$K$1000,2,FALSE()),IFERROR(VLOOKUP(IFERROR(VLOOKUP(D42,Mapa_Similitud!$A$2:$B$2000,2,FALSE()),D42),Omega3_Referencia!$A$2:$E$100,3,FALSE()),0))</f>
        <v>0.05</v>
      </c>
      <c r="AW42" s="3" t="str">
        <f>IFERROR(VLOOKUP(IFERROR(VLOOKUP(D42,Mapa_Similitud!$A$2:$B$2000,2,FALSE()),D42),Hoja1!$A$2:$K$1000,3,FALSE()),IFERROR(VLOOKUP(IFERROR(VLOOKUP(D42,Mapa_Similitud!$A$2:$B$2000,2,FALSE()),D42),Omega3_Referencia!$A$2:$E$100,4,FALSE()),"N/A"))</f>
        <v>ALA/DHA</v>
      </c>
      <c r="AX42" s="5">
        <f>IFERROR(VLOOKUP(IFERROR(VLOOKUP(D42,Mapa_Similitud!$A$2:$B$2000,2,FALSE()),D42),Hoja1!$A$2:$K$1000,5,FALSE()),0)</f>
        <v>0</v>
      </c>
      <c r="AY42" s="5">
        <f>IFERROR(VLOOKUP(IFERROR(VLOOKUP(D42,Mapa_Similitud!$A$2:$B$2000,2,FALSE()),D42),Hoja1!$A$2:$K$1000,7,FALSE()),0)</f>
        <v>15</v>
      </c>
      <c r="AZ42" s="5">
        <f>IFERROR(VLOOKUP(IFERROR(VLOOKUP(D42,Mapa_Similitud!$A$2:$B$2000,2,FALSE()),D42),Hoja1!$A$2:$K$1000,9,FALSE()),0)</f>
        <v>0</v>
      </c>
      <c r="BA42" s="25">
        <f t="shared" si="0"/>
        <v>3.3155080213903745E-2</v>
      </c>
      <c r="BB42" s="25">
        <f t="shared" si="1"/>
        <v>9.0909090909090905E-3</v>
      </c>
      <c r="BC42" s="25">
        <f t="shared" si="2"/>
        <v>6.1497326203208559E-2</v>
      </c>
      <c r="BD42" s="25">
        <f t="shared" si="3"/>
        <v>8.0213903743315516E-3</v>
      </c>
      <c r="BE42" s="25">
        <f t="shared" si="4"/>
        <v>4.5454545454545456E-2</v>
      </c>
      <c r="BF42" s="25">
        <f t="shared" si="5"/>
        <v>0.44444444444444448</v>
      </c>
      <c r="BG42" s="25">
        <f t="shared" si="6"/>
        <v>0.15032679738562091</v>
      </c>
      <c r="BH42" s="25">
        <f t="shared" si="7"/>
        <v>0.21428571428571427</v>
      </c>
      <c r="BI42" s="25">
        <f t="shared" si="8"/>
        <v>7.7625570776255703E-2</v>
      </c>
      <c r="BJ42" s="25">
        <f t="shared" si="9"/>
        <v>2.7181688125894131E-2</v>
      </c>
      <c r="BK42" s="25">
        <f t="shared" si="10"/>
        <v>4.8640915593705286E-2</v>
      </c>
      <c r="BL42" s="25">
        <f t="shared" si="11"/>
        <v>0.10106951871657756</v>
      </c>
      <c r="BM42" s="25">
        <f t="shared" si="12"/>
        <v>0.11229946524064172</v>
      </c>
      <c r="BN42" s="18" t="str">
        <f t="shared" si="18"/>
        <v>Baja fuente de proteína</v>
      </c>
      <c r="BO42" s="18" t="str">
        <f t="shared" si="19"/>
        <v>Baja fuente de fibra</v>
      </c>
      <c r="BP42" s="18" t="str">
        <f t="shared" si="20"/>
        <v>Baja fuente de calcio</v>
      </c>
      <c r="BQ42" s="18" t="str">
        <f t="shared" si="21"/>
        <v>Media fuente de hierro</v>
      </c>
      <c r="BR42" s="18" t="str">
        <f t="shared" si="22"/>
        <v>Bajo en sodio</v>
      </c>
      <c r="BS42" s="6" t="str">
        <f t="shared" si="13"/>
        <v>Proinflamatorio</v>
      </c>
      <c r="BT42" s="6" t="str">
        <f t="shared" si="14"/>
        <v>Bajo en grasas</v>
      </c>
      <c r="BU42" s="18" t="str">
        <f t="shared" si="23"/>
        <v>Equilibrio de líquidos ideal</v>
      </c>
      <c r="BV42" s="18" t="str">
        <f t="shared" si="24"/>
        <v>Baja fuente de magnesio</v>
      </c>
      <c r="BW42" s="18" t="str">
        <f t="shared" si="25"/>
        <v>Sin aporte de Omega 3</v>
      </c>
      <c r="BX42" s="18" t="str">
        <f t="shared" si="26"/>
        <v>Libre de grasas trans</v>
      </c>
      <c r="BY42" s="18" t="str">
        <f t="shared" si="27"/>
        <v>Medio poder antioxidante</v>
      </c>
      <c r="BZ42" s="6" t="str">
        <f t="shared" si="15"/>
        <v>Sin probióticos</v>
      </c>
      <c r="CA42" s="18" t="str">
        <f t="shared" si="28"/>
        <v>Poco inflamatorio</v>
      </c>
      <c r="CB42" s="18" t="str">
        <f>IF(ISNUMBER(SEARCH("miel", D42)), "No irritante (Uso condicionado SII)", IF(OR(J42&gt;0, ISNUMBER(SEARCH("cacao", D42)), ISNUMBER(SEARCH("chocolate puro", D42))), "Altamente irritante", IF(OR(AND(O42&gt;15, BI42&gt;1), ISNUMBER(SEARCH("chocolate", D42))), "Moderadamente irritante", "No irritante")))</f>
        <v>No irritante</v>
      </c>
      <c r="CC42" s="6" t="str">
        <f t="shared" si="16"/>
        <v>Exceso relativo de Omega 6</v>
      </c>
    </row>
    <row r="43" spans="1:81" ht="15" customHeight="1" x14ac:dyDescent="0.3">
      <c r="A43" s="2">
        <f t="shared" si="17"/>
        <v>42</v>
      </c>
      <c r="B43" s="3" t="s">
        <v>80</v>
      </c>
      <c r="C43" s="3" t="s">
        <v>125</v>
      </c>
      <c r="D43" s="3" t="s">
        <v>129</v>
      </c>
      <c r="E43" s="3"/>
      <c r="F43" s="4">
        <v>1.4</v>
      </c>
      <c r="G43" s="5">
        <v>1</v>
      </c>
      <c r="H43" s="5">
        <v>352</v>
      </c>
      <c r="I43" s="5">
        <v>10.1</v>
      </c>
      <c r="J43" s="5">
        <v>0</v>
      </c>
      <c r="K43" s="5">
        <v>13.1</v>
      </c>
      <c r="L43" s="5">
        <v>70.599999999999994</v>
      </c>
      <c r="M43" s="5">
        <v>68.400000000000006</v>
      </c>
      <c r="N43" s="5">
        <v>3.8</v>
      </c>
      <c r="O43" s="5">
        <v>0</v>
      </c>
      <c r="P43" s="5">
        <v>4.3</v>
      </c>
      <c r="Q43" s="5">
        <v>1</v>
      </c>
      <c r="R43" s="5">
        <v>0.15</v>
      </c>
      <c r="S43" s="5">
        <v>0.12</v>
      </c>
      <c r="T43" s="5">
        <v>0.43</v>
      </c>
      <c r="U43" s="5">
        <v>0</v>
      </c>
      <c r="V43" s="5">
        <v>8</v>
      </c>
      <c r="W43" s="5">
        <v>0</v>
      </c>
      <c r="X43" s="5">
        <v>48</v>
      </c>
      <c r="Y43" s="5">
        <v>0</v>
      </c>
      <c r="Z43" s="5">
        <v>0.1</v>
      </c>
      <c r="AA43" s="5">
        <v>0.5</v>
      </c>
      <c r="AB43" s="5">
        <v>1</v>
      </c>
      <c r="AC43" s="5">
        <v>0.53</v>
      </c>
      <c r="AD43" s="5">
        <v>10.1</v>
      </c>
      <c r="AE43" s="5">
        <v>0.13</v>
      </c>
      <c r="AF43" s="5">
        <v>17</v>
      </c>
      <c r="AG43" s="5">
        <v>0</v>
      </c>
      <c r="AH43" s="5">
        <v>0.75</v>
      </c>
      <c r="AI43" s="5">
        <v>0</v>
      </c>
      <c r="AJ43" s="5">
        <v>0</v>
      </c>
      <c r="AK43" s="5">
        <v>34</v>
      </c>
      <c r="AL43" s="5">
        <v>116</v>
      </c>
      <c r="AM43" s="5">
        <v>4.3</v>
      </c>
      <c r="AN43" s="5">
        <v>10</v>
      </c>
      <c r="AO43" s="5">
        <v>0.76</v>
      </c>
      <c r="AP43" s="5">
        <v>46</v>
      </c>
      <c r="AQ43" s="5">
        <v>43</v>
      </c>
      <c r="AR43" s="5">
        <v>285</v>
      </c>
      <c r="AS43" s="5">
        <v>3.8</v>
      </c>
      <c r="AT43" s="5">
        <v>0.2</v>
      </c>
      <c r="AU43" s="5">
        <v>62.2</v>
      </c>
      <c r="AV43" s="5">
        <f>IFERROR(VLOOKUP(IFERROR(VLOOKUP(D43,Mapa_Similitud!$A$2:$B$2000,2,FALSE()),D43),Hoja1!$A$2:$K$1000,2,FALSE()),IFERROR(VLOOKUP(IFERROR(VLOOKUP(D43,Mapa_Similitud!$A$2:$B$2000,2,FALSE()),D43),Omega3_Referencia!$A$2:$E$100,3,FALSE()),0))</f>
        <v>0.03</v>
      </c>
      <c r="AW43" s="3" t="str">
        <f>IFERROR(VLOOKUP(IFERROR(VLOOKUP(D43,Mapa_Similitud!$A$2:$B$2000,2,FALSE()),D43),Hoja1!$A$2:$K$1000,3,FALSE()),IFERROR(VLOOKUP(IFERROR(VLOOKUP(D43,Mapa_Similitud!$A$2:$B$2000,2,FALSE()),D43),Omega3_Referencia!$A$2:$E$100,4,FALSE()),"N/A"))</f>
        <v>ALA</v>
      </c>
      <c r="AX43" s="5">
        <f>IFERROR(VLOOKUP(IFERROR(VLOOKUP(D43,Mapa_Similitud!$A$2:$B$2000,2,FALSE()),D43),Hoja1!$A$2:$K$1000,5,FALSE()),0)</f>
        <v>0</v>
      </c>
      <c r="AY43" s="5">
        <f>IFERROR(VLOOKUP(IFERROR(VLOOKUP(D43,Mapa_Similitud!$A$2:$B$2000,2,FALSE()),D43),Hoja1!$A$2:$K$1000,7,FALSE()),0)</f>
        <v>25</v>
      </c>
      <c r="AZ43" s="5">
        <f>IFERROR(VLOOKUP(IFERROR(VLOOKUP(D43,Mapa_Similitud!$A$2:$B$2000,2,FALSE()),D43),Hoja1!$A$2:$K$1000,9,FALSE()),0)</f>
        <v>0</v>
      </c>
      <c r="BA43" s="25">
        <f t="shared" si="0"/>
        <v>3.7215909090909091E-2</v>
      </c>
      <c r="BB43" s="25">
        <f t="shared" si="1"/>
        <v>1.221590909090909E-2</v>
      </c>
      <c r="BC43" s="25">
        <f t="shared" si="2"/>
        <v>9.6590909090909088E-2</v>
      </c>
      <c r="BD43" s="25">
        <f t="shared" si="3"/>
        <v>1.221590909090909E-2</v>
      </c>
      <c r="BE43" s="25">
        <f t="shared" si="4"/>
        <v>0.12215909090909091</v>
      </c>
      <c r="BF43" s="25">
        <f t="shared" si="5"/>
        <v>2.8666666666666667</v>
      </c>
      <c r="BG43" s="25">
        <f t="shared" si="6"/>
        <v>0.29310344827586204</v>
      </c>
      <c r="BH43" s="25">
        <f t="shared" si="7"/>
        <v>0.15</v>
      </c>
      <c r="BI43" s="25">
        <f t="shared" si="8"/>
        <v>0.15087719298245614</v>
      </c>
      <c r="BJ43" s="25">
        <f t="shared" si="9"/>
        <v>5.3824362606232294E-2</v>
      </c>
      <c r="BK43" s="25">
        <f t="shared" si="10"/>
        <v>6.0906515580736544E-2</v>
      </c>
      <c r="BL43" s="25">
        <f t="shared" si="11"/>
        <v>2.556818181818182E-2</v>
      </c>
      <c r="BM43" s="25">
        <f t="shared" si="12"/>
        <v>0.13068181818181818</v>
      </c>
      <c r="BN43" s="18" t="str">
        <f t="shared" si="18"/>
        <v>Baja fuente de proteína</v>
      </c>
      <c r="BO43" s="18" t="str">
        <f t="shared" si="19"/>
        <v>Baja fuente de fibra</v>
      </c>
      <c r="BP43" s="18" t="str">
        <f t="shared" si="20"/>
        <v>Baja fuente de calcio</v>
      </c>
      <c r="BQ43" s="18" t="str">
        <f t="shared" si="21"/>
        <v>Media fuente de hierro</v>
      </c>
      <c r="BR43" s="18" t="str">
        <f t="shared" si="22"/>
        <v>Bajo en sodio</v>
      </c>
      <c r="BS43" s="6" t="str">
        <f t="shared" si="13"/>
        <v>Altamente antiinflamatorio</v>
      </c>
      <c r="BT43" s="6" t="str">
        <f t="shared" si="14"/>
        <v>Bajo en grasas</v>
      </c>
      <c r="BU43" s="18" t="str">
        <f t="shared" si="23"/>
        <v>Equilibrio de líquidos ideal</v>
      </c>
      <c r="BV43" s="18" t="str">
        <f t="shared" si="24"/>
        <v>Baja fuente de magnesio</v>
      </c>
      <c r="BW43" s="18" t="str">
        <f t="shared" si="25"/>
        <v>Sin aporte de Omega 3</v>
      </c>
      <c r="BX43" s="18" t="str">
        <f t="shared" si="26"/>
        <v>Libre de grasas trans</v>
      </c>
      <c r="BY43" s="18" t="str">
        <f t="shared" si="27"/>
        <v>Medio poder antioxidante</v>
      </c>
      <c r="BZ43" s="6" t="str">
        <f t="shared" si="15"/>
        <v>Sin probióticos</v>
      </c>
      <c r="CA43" s="18" t="str">
        <f t="shared" si="28"/>
        <v>Poco inflamatorio</v>
      </c>
      <c r="CB43" s="18" t="str">
        <f>IF(ISNUMBER(SEARCH("miel", D43)), "No irritante (Uso condicionado SII)", IF(OR(J43&gt;0, ISNUMBER(SEARCH("cacao", D43)), ISNUMBER(SEARCH("chocolate puro", D43))), "Altamente irritante", IF(OR(AND(O43&gt;15, BI43&gt;1), ISNUMBER(SEARCH("chocolate", D43))), "Moderadamente irritante", "No irritante")))</f>
        <v>No irritante</v>
      </c>
      <c r="CC43" s="6" t="str">
        <f t="shared" si="16"/>
        <v>Exceso relativo de Omega 6</v>
      </c>
    </row>
    <row r="44" spans="1:81" ht="15" customHeight="1" x14ac:dyDescent="0.3">
      <c r="A44" s="2">
        <f t="shared" si="17"/>
        <v>43</v>
      </c>
      <c r="B44" s="3" t="s">
        <v>80</v>
      </c>
      <c r="C44" s="3" t="s">
        <v>125</v>
      </c>
      <c r="D44" s="3" t="s">
        <v>130</v>
      </c>
      <c r="E44" s="3"/>
      <c r="F44" s="4">
        <v>3</v>
      </c>
      <c r="G44" s="5">
        <v>1</v>
      </c>
      <c r="H44" s="5">
        <v>130</v>
      </c>
      <c r="I44" s="5">
        <v>68.599999999999994</v>
      </c>
      <c r="J44" s="5">
        <v>0</v>
      </c>
      <c r="K44" s="5">
        <v>5.2</v>
      </c>
      <c r="L44" s="5">
        <v>24.9</v>
      </c>
      <c r="M44" s="5">
        <v>24.9</v>
      </c>
      <c r="N44" s="5">
        <v>0</v>
      </c>
      <c r="O44" s="5">
        <v>0</v>
      </c>
      <c r="P44" s="5">
        <v>0</v>
      </c>
      <c r="Q44" s="5">
        <v>1.1000000000000001</v>
      </c>
      <c r="R44" s="5">
        <v>0.15</v>
      </c>
      <c r="S44" s="5">
        <v>0.12</v>
      </c>
      <c r="T44" s="5">
        <v>0.43</v>
      </c>
      <c r="U44" s="5">
        <v>33</v>
      </c>
      <c r="V44" s="5">
        <v>6</v>
      </c>
      <c r="W44" s="5">
        <v>6</v>
      </c>
      <c r="X44" s="5">
        <v>0</v>
      </c>
      <c r="Y44" s="5">
        <v>0</v>
      </c>
      <c r="Z44" s="5">
        <v>0</v>
      </c>
      <c r="AA44" s="5">
        <v>0</v>
      </c>
      <c r="AB44" s="5">
        <v>0.21</v>
      </c>
      <c r="AC44" s="5">
        <v>0.15</v>
      </c>
      <c r="AD44" s="5">
        <v>0.99</v>
      </c>
      <c r="AE44" s="5">
        <v>3.4000000000000002E-2</v>
      </c>
      <c r="AF44" s="5">
        <v>64</v>
      </c>
      <c r="AG44" s="5">
        <v>0</v>
      </c>
      <c r="AH44" s="5">
        <v>0.19</v>
      </c>
      <c r="AI44" s="5">
        <v>0</v>
      </c>
      <c r="AJ44" s="5">
        <v>0</v>
      </c>
      <c r="AK44" s="5">
        <v>6</v>
      </c>
      <c r="AL44" s="5">
        <v>63</v>
      </c>
      <c r="AM44" s="5">
        <v>1.1000000000000001</v>
      </c>
      <c r="AN44" s="5">
        <v>0</v>
      </c>
      <c r="AO44" s="5">
        <v>0.56000000000000005</v>
      </c>
      <c r="AP44" s="5">
        <v>18</v>
      </c>
      <c r="AQ44" s="5">
        <v>6</v>
      </c>
      <c r="AR44" s="5">
        <v>24</v>
      </c>
      <c r="AS44" s="5">
        <v>0</v>
      </c>
      <c r="AT44" s="5">
        <v>9.2999999999999999E-2</v>
      </c>
      <c r="AU44" s="5">
        <v>0</v>
      </c>
      <c r="AV44" s="5">
        <f>IFERROR(VLOOKUP(IFERROR(VLOOKUP(D44,Mapa_Similitud!$A$2:$B$2000,2,FALSE()),D44),Hoja1!$A$2:$K$1000,2,FALSE()),IFERROR(VLOOKUP(IFERROR(VLOOKUP(D44,Mapa_Similitud!$A$2:$B$2000,2,FALSE()),D44),Omega3_Referencia!$A$2:$E$100,3,FALSE()),0))</f>
        <v>0.02</v>
      </c>
      <c r="AW44" s="3" t="str">
        <f>IFERROR(VLOOKUP(IFERROR(VLOOKUP(D44,Mapa_Similitud!$A$2:$B$2000,2,FALSE()),D44),Hoja1!$A$2:$K$1000,3,FALSE()),IFERROR(VLOOKUP(IFERROR(VLOOKUP(D44,Mapa_Similitud!$A$2:$B$2000,2,FALSE()),D44),Omega3_Referencia!$A$2:$E$100,4,FALSE()),"N/A"))</f>
        <v>ALA</v>
      </c>
      <c r="AX44" s="5">
        <f>IFERROR(VLOOKUP(IFERROR(VLOOKUP(D44,Mapa_Similitud!$A$2:$B$2000,2,FALSE()),D44),Hoja1!$A$2:$K$1000,5,FALSE()),0)</f>
        <v>0</v>
      </c>
      <c r="AY44" s="5">
        <f>IFERROR(VLOOKUP(IFERROR(VLOOKUP(D44,Mapa_Similitud!$A$2:$B$2000,2,FALSE()),D44),Hoja1!$A$2:$K$1000,7,FALSE()),0)</f>
        <v>10</v>
      </c>
      <c r="AZ44" s="5">
        <f>IFERROR(VLOOKUP(IFERROR(VLOOKUP(D44,Mapa_Similitud!$A$2:$B$2000,2,FALSE()),D44),Hoja1!$A$2:$K$1000,9,FALSE()),0)</f>
        <v>0</v>
      </c>
      <c r="BA44" s="25">
        <f t="shared" si="0"/>
        <v>0.04</v>
      </c>
      <c r="BB44" s="25">
        <f t="shared" si="1"/>
        <v>0</v>
      </c>
      <c r="BC44" s="25">
        <f t="shared" si="2"/>
        <v>4.6153846153846156E-2</v>
      </c>
      <c r="BD44" s="25">
        <f t="shared" si="3"/>
        <v>8.461538461538463E-3</v>
      </c>
      <c r="BE44" s="25">
        <f t="shared" si="4"/>
        <v>4.6153846153846156E-2</v>
      </c>
      <c r="BF44" s="25">
        <f t="shared" si="5"/>
        <v>2.8666666666666667</v>
      </c>
      <c r="BG44" s="25">
        <f t="shared" si="6"/>
        <v>9.5238095238095233E-2</v>
      </c>
      <c r="BH44" s="25">
        <f t="shared" si="7"/>
        <v>0.13636363636363635</v>
      </c>
      <c r="BI44" s="25">
        <f t="shared" si="8"/>
        <v>0.25</v>
      </c>
      <c r="BJ44" s="25">
        <f t="shared" si="9"/>
        <v>0</v>
      </c>
      <c r="BK44" s="25">
        <f t="shared" si="10"/>
        <v>0</v>
      </c>
      <c r="BL44" s="25">
        <f t="shared" si="11"/>
        <v>7.6153846153846155E-2</v>
      </c>
      <c r="BM44" s="25">
        <f t="shared" si="12"/>
        <v>0.13846153846153847</v>
      </c>
      <c r="BN44" s="18" t="str">
        <f t="shared" si="18"/>
        <v>Baja fuente de proteína</v>
      </c>
      <c r="BO44" s="18" t="str">
        <f t="shared" si="19"/>
        <v>Baja fuente de fibra</v>
      </c>
      <c r="BP44" s="18" t="str">
        <f t="shared" si="20"/>
        <v>Baja fuente de calcio</v>
      </c>
      <c r="BQ44" s="18" t="str">
        <f t="shared" si="21"/>
        <v>Media fuente de hierro</v>
      </c>
      <c r="BR44" s="18" t="str">
        <f t="shared" si="22"/>
        <v>Bajo en sodio</v>
      </c>
      <c r="BS44" s="6" t="str">
        <f t="shared" si="13"/>
        <v>Altamente antiinflamatorio</v>
      </c>
      <c r="BT44" s="6" t="str">
        <f t="shared" si="14"/>
        <v>Bajo en grasas</v>
      </c>
      <c r="BU44" s="18" t="str">
        <f t="shared" si="23"/>
        <v>Equilibrio de líquidos ideal</v>
      </c>
      <c r="BV44" s="18" t="str">
        <f t="shared" si="24"/>
        <v>Baja fuente de magnesio</v>
      </c>
      <c r="BW44" s="18" t="str">
        <f t="shared" si="25"/>
        <v>Sin aporte de Omega 3</v>
      </c>
      <c r="BX44" s="18" t="str">
        <f t="shared" si="26"/>
        <v>Libre de grasas trans</v>
      </c>
      <c r="BY44" s="18" t="str">
        <f t="shared" si="27"/>
        <v>Medio poder antioxidante</v>
      </c>
      <c r="BZ44" s="6" t="str">
        <f t="shared" si="15"/>
        <v>Sin probióticos</v>
      </c>
      <c r="CA44" s="18" t="str">
        <f t="shared" si="28"/>
        <v>Poco inflamatorio</v>
      </c>
      <c r="CB44" s="18" t="str">
        <f>IF(ISNUMBER(SEARCH("miel", D44)), "No irritante (Uso condicionado SII)", IF(OR(J44&gt;0, ISNUMBER(SEARCH("cacao", D44)), ISNUMBER(SEARCH("chocolate puro", D44))), "Altamente irritante", IF(OR(AND(O44&gt;15, BI44&gt;1), ISNUMBER(SEARCH("chocolate", D44))), "Moderadamente irritante", "No irritante")))</f>
        <v>No irritante</v>
      </c>
      <c r="CC44" s="6" t="str">
        <f t="shared" si="16"/>
        <v>Exceso relativo de Omega 6</v>
      </c>
    </row>
    <row r="45" spans="1:81" ht="15" customHeight="1" x14ac:dyDescent="0.3">
      <c r="A45" s="2">
        <f t="shared" si="17"/>
        <v>44</v>
      </c>
      <c r="B45" s="3" t="s">
        <v>80</v>
      </c>
      <c r="C45" s="3" t="s">
        <v>125</v>
      </c>
      <c r="D45" s="3" t="s">
        <v>131</v>
      </c>
      <c r="E45" s="3"/>
      <c r="F45" s="4">
        <v>1.5</v>
      </c>
      <c r="G45" s="5">
        <v>1</v>
      </c>
      <c r="H45" s="5">
        <v>352</v>
      </c>
      <c r="I45" s="5">
        <v>10.7</v>
      </c>
      <c r="J45" s="5">
        <v>0</v>
      </c>
      <c r="K45" s="5">
        <v>13.1</v>
      </c>
      <c r="L45" s="5">
        <v>63.7</v>
      </c>
      <c r="M45" s="5">
        <v>61.4</v>
      </c>
      <c r="N45" s="5">
        <v>2.2999999999999998</v>
      </c>
      <c r="O45" s="5">
        <v>0</v>
      </c>
      <c r="P45" s="5">
        <v>9.3000000000000007</v>
      </c>
      <c r="Q45" s="5">
        <v>2.9</v>
      </c>
      <c r="R45" s="5">
        <v>0.41</v>
      </c>
      <c r="S45" s="5">
        <v>0.3</v>
      </c>
      <c r="T45" s="5">
        <v>1.3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0.25</v>
      </c>
      <c r="AA45" s="5">
        <v>0</v>
      </c>
      <c r="AB45" s="5">
        <v>0.67</v>
      </c>
      <c r="AC45" s="5">
        <v>0.11</v>
      </c>
      <c r="AD45" s="5">
        <v>2.2999999999999998</v>
      </c>
      <c r="AE45" s="5">
        <v>4.2999999999999997E-2</v>
      </c>
      <c r="AF45" s="5">
        <v>0</v>
      </c>
      <c r="AG45" s="5">
        <v>53</v>
      </c>
      <c r="AH45" s="5">
        <v>0</v>
      </c>
      <c r="AI45" s="5">
        <v>0</v>
      </c>
      <c r="AJ45" s="5">
        <v>0</v>
      </c>
      <c r="AK45" s="5">
        <v>34</v>
      </c>
      <c r="AL45" s="5">
        <v>370</v>
      </c>
      <c r="AM45" s="5">
        <v>4</v>
      </c>
      <c r="AN45" s="5">
        <v>1.9</v>
      </c>
      <c r="AO45" s="5">
        <v>0.8</v>
      </c>
      <c r="AP45" s="5">
        <v>91</v>
      </c>
      <c r="AQ45" s="5">
        <v>5</v>
      </c>
      <c r="AR45" s="5">
        <v>490</v>
      </c>
      <c r="AS45" s="5">
        <v>0</v>
      </c>
      <c r="AT45" s="5">
        <v>0</v>
      </c>
      <c r="AU45" s="5">
        <v>1.9</v>
      </c>
      <c r="AV45" s="5">
        <f>IFERROR(VLOOKUP(IFERROR(VLOOKUP(D45,Mapa_Similitud!$A$2:$B$2000,2,FALSE()),D45),Hoja1!$A$2:$K$1000,2,FALSE()),IFERROR(VLOOKUP(IFERROR(VLOOKUP(D45,Mapa_Similitud!$A$2:$B$2000,2,FALSE()),D45),Omega3_Referencia!$A$2:$E$100,3,FALSE()),0))</f>
        <v>0.08</v>
      </c>
      <c r="AW45" s="3" t="str">
        <f>IFERROR(VLOOKUP(IFERROR(VLOOKUP(D45,Mapa_Similitud!$A$2:$B$2000,2,FALSE()),D45),Hoja1!$A$2:$K$1000,3,FALSE()),IFERROR(VLOOKUP(IFERROR(VLOOKUP(D45,Mapa_Similitud!$A$2:$B$2000,2,FALSE()),D45),Omega3_Referencia!$A$2:$E$100,4,FALSE()),"N/A"))</f>
        <v>ALA</v>
      </c>
      <c r="AX45" s="5">
        <f>IFERROR(VLOOKUP(IFERROR(VLOOKUP(D45,Mapa_Similitud!$A$2:$B$2000,2,FALSE()),D45),Hoja1!$A$2:$K$1000,5,FALSE()),0)</f>
        <v>0</v>
      </c>
      <c r="AY45" s="5">
        <f>IFERROR(VLOOKUP(IFERROR(VLOOKUP(D45,Mapa_Similitud!$A$2:$B$2000,2,FALSE()),D45),Hoja1!$A$2:$K$1000,7,FALSE()),0)</f>
        <v>85</v>
      </c>
      <c r="AZ45" s="5">
        <f>IFERROR(VLOOKUP(IFERROR(VLOOKUP(D45,Mapa_Similitud!$A$2:$B$2000,2,FALSE()),D45),Hoja1!$A$2:$K$1000,9,FALSE()),0)</f>
        <v>0</v>
      </c>
      <c r="BA45" s="25">
        <f t="shared" si="0"/>
        <v>3.7215909090909091E-2</v>
      </c>
      <c r="BB45" s="25">
        <f t="shared" si="1"/>
        <v>2.6420454545454549E-2</v>
      </c>
      <c r="BC45" s="25">
        <f t="shared" si="2"/>
        <v>9.6590909090909088E-2</v>
      </c>
      <c r="BD45" s="25">
        <f t="shared" si="3"/>
        <v>1.1363636363636364E-2</v>
      </c>
      <c r="BE45" s="25">
        <f t="shared" si="4"/>
        <v>1.4204545454545454E-2</v>
      </c>
      <c r="BF45" s="25">
        <f t="shared" si="5"/>
        <v>3.1707317073170733</v>
      </c>
      <c r="BG45" s="25">
        <f t="shared" si="6"/>
        <v>9.1891891891891897E-2</v>
      </c>
      <c r="BH45" s="25">
        <f t="shared" si="7"/>
        <v>0.14137931034482759</v>
      </c>
      <c r="BI45" s="25">
        <f t="shared" si="8"/>
        <v>1.020408163265306E-2</v>
      </c>
      <c r="BJ45" s="25">
        <f t="shared" si="9"/>
        <v>3.6106750392464672E-2</v>
      </c>
      <c r="BK45" s="25">
        <f t="shared" si="10"/>
        <v>0.14599686028257458</v>
      </c>
      <c r="BL45" s="25">
        <f t="shared" si="11"/>
        <v>7.4147727272727268E-2</v>
      </c>
      <c r="BM45" s="25">
        <f t="shared" si="12"/>
        <v>0.25852272727272729</v>
      </c>
      <c r="BN45" s="18" t="str">
        <f t="shared" si="18"/>
        <v>Baja fuente de proteína</v>
      </c>
      <c r="BO45" s="18" t="str">
        <f t="shared" si="19"/>
        <v>Media fuente de fibra</v>
      </c>
      <c r="BP45" s="18" t="str">
        <f t="shared" si="20"/>
        <v>Baja fuente de calcio</v>
      </c>
      <c r="BQ45" s="18" t="str">
        <f t="shared" si="21"/>
        <v>Media fuente de hierro</v>
      </c>
      <c r="BR45" s="18" t="str">
        <f t="shared" si="22"/>
        <v>Bajo en sodio</v>
      </c>
      <c r="BS45" s="6" t="str">
        <f t="shared" si="13"/>
        <v>Altamente antiinflamatorio</v>
      </c>
      <c r="BT45" s="6" t="str">
        <f t="shared" si="14"/>
        <v>Bajo en grasas</v>
      </c>
      <c r="BU45" s="18" t="str">
        <f t="shared" si="23"/>
        <v>Equilibrio de líquidos ideal</v>
      </c>
      <c r="BV45" s="18" t="str">
        <f t="shared" si="24"/>
        <v>Media fuente de magnesio</v>
      </c>
      <c r="BW45" s="18" t="str">
        <f t="shared" si="25"/>
        <v>Sin aporte de Omega 3</v>
      </c>
      <c r="BX45" s="18" t="str">
        <f t="shared" si="26"/>
        <v>Libre de grasas trans</v>
      </c>
      <c r="BY45" s="18" t="str">
        <f t="shared" si="27"/>
        <v>Alto poder antioxidante</v>
      </c>
      <c r="BZ45" s="6" t="str">
        <f t="shared" si="15"/>
        <v>Sin probióticos</v>
      </c>
      <c r="CA45" s="18" t="str">
        <f t="shared" si="28"/>
        <v>Antiinflamatorio</v>
      </c>
      <c r="CB45" s="18" t="str">
        <f>IF(ISNUMBER(SEARCH("miel", D45)), "No irritante (Uso condicionado SII)", IF(OR(J45&gt;0, ISNUMBER(SEARCH("cacao", D45)), ISNUMBER(SEARCH("chocolate puro", D45))), "Altamente irritante", IF(OR(AND(O45&gt;15, BI45&gt;1), ISNUMBER(SEARCH("chocolate", D45))), "Moderadamente irritante", "No irritante")))</f>
        <v>No irritante</v>
      </c>
      <c r="CC45" s="6" t="str">
        <f t="shared" si="16"/>
        <v>Exceso relativo de Omega 6</v>
      </c>
    </row>
    <row r="46" spans="1:81" ht="15" customHeight="1" x14ac:dyDescent="0.3">
      <c r="A46" s="2">
        <f t="shared" si="17"/>
        <v>45</v>
      </c>
      <c r="B46" s="3" t="s">
        <v>80</v>
      </c>
      <c r="C46" s="3" t="s">
        <v>125</v>
      </c>
      <c r="D46" s="3" t="s">
        <v>132</v>
      </c>
      <c r="E46" s="3"/>
      <c r="F46" s="4">
        <v>4.5</v>
      </c>
      <c r="G46" s="5">
        <v>1</v>
      </c>
      <c r="H46" s="5">
        <v>104</v>
      </c>
      <c r="I46" s="5">
        <v>77.400000000000006</v>
      </c>
      <c r="J46" s="5">
        <v>0</v>
      </c>
      <c r="K46" s="5">
        <v>4.7</v>
      </c>
      <c r="L46" s="5">
        <v>12.7</v>
      </c>
      <c r="M46" s="5">
        <v>12.7</v>
      </c>
      <c r="N46" s="5">
        <v>0</v>
      </c>
      <c r="O46" s="5">
        <v>0</v>
      </c>
      <c r="P46" s="5">
        <v>1.8</v>
      </c>
      <c r="Q46" s="5">
        <v>3.4</v>
      </c>
      <c r="R46" s="5">
        <v>1.3</v>
      </c>
      <c r="S46" s="5">
        <v>1.6</v>
      </c>
      <c r="T46" s="5">
        <v>0.3</v>
      </c>
      <c r="U46" s="5">
        <v>23</v>
      </c>
      <c r="V46" s="5">
        <v>0</v>
      </c>
      <c r="W46" s="5">
        <v>0</v>
      </c>
      <c r="X46" s="5">
        <v>0</v>
      </c>
      <c r="Y46" s="5">
        <v>0.1</v>
      </c>
      <c r="Z46" s="5">
        <v>0.3</v>
      </c>
      <c r="AA46" s="5">
        <v>0.5</v>
      </c>
      <c r="AB46" s="5">
        <v>0.12</v>
      </c>
      <c r="AC46" s="5">
        <v>0.06</v>
      </c>
      <c r="AD46" s="5">
        <v>1.6</v>
      </c>
      <c r="AE46" s="5">
        <v>0.2</v>
      </c>
      <c r="AF46" s="5">
        <v>10</v>
      </c>
      <c r="AG46" s="5">
        <v>0</v>
      </c>
      <c r="AH46" s="5">
        <v>0.3</v>
      </c>
      <c r="AI46" s="5">
        <v>0</v>
      </c>
      <c r="AJ46" s="5">
        <v>2</v>
      </c>
      <c r="AK46" s="5">
        <v>20</v>
      </c>
      <c r="AL46" s="5">
        <v>70</v>
      </c>
      <c r="AM46" s="5">
        <v>1.3</v>
      </c>
      <c r="AN46" s="5">
        <v>10</v>
      </c>
      <c r="AO46" s="5">
        <v>0.5</v>
      </c>
      <c r="AP46" s="5">
        <v>18</v>
      </c>
      <c r="AQ46" s="5">
        <v>444</v>
      </c>
      <c r="AR46" s="5">
        <v>163</v>
      </c>
      <c r="AS46" s="5">
        <v>0.64</v>
      </c>
      <c r="AT46" s="5">
        <v>0.2</v>
      </c>
      <c r="AU46" s="5">
        <v>20</v>
      </c>
      <c r="AV46" s="5">
        <f>IFERROR(VLOOKUP(IFERROR(VLOOKUP(D46,Mapa_Similitud!$A$2:$B$2000,2,FALSE()),D46),Hoja1!$A$2:$K$1000,2,FALSE()),IFERROR(VLOOKUP(IFERROR(VLOOKUP(D46,Mapa_Similitud!$A$2:$B$2000,2,FALSE()),D46),Omega3_Referencia!$A$2:$E$100,3,FALSE()),0))</f>
        <v>0.04</v>
      </c>
      <c r="AW46" s="3" t="str">
        <f>IFERROR(VLOOKUP(IFERROR(VLOOKUP(D46,Mapa_Similitud!$A$2:$B$2000,2,FALSE()),D46),Hoja1!$A$2:$K$1000,3,FALSE()),IFERROR(VLOOKUP(IFERROR(VLOOKUP(D46,Mapa_Similitud!$A$2:$B$2000,2,FALSE()),D46),Omega3_Referencia!$A$2:$E$100,4,FALSE()),"N/A"))</f>
        <v>ALA</v>
      </c>
      <c r="AX46" s="5">
        <f>IFERROR(VLOOKUP(IFERROR(VLOOKUP(D46,Mapa_Similitud!$A$2:$B$2000,2,FALSE()),D46),Hoja1!$A$2:$K$1000,5,FALSE()),0)</f>
        <v>0.1</v>
      </c>
      <c r="AY46" s="5">
        <f>IFERROR(VLOOKUP(IFERROR(VLOOKUP(D46,Mapa_Similitud!$A$2:$B$2000,2,FALSE()),D46),Hoja1!$A$2:$K$1000,7,FALSE()),0)</f>
        <v>15</v>
      </c>
      <c r="AZ46" s="5">
        <f>IFERROR(VLOOKUP(IFERROR(VLOOKUP(D46,Mapa_Similitud!$A$2:$B$2000,2,FALSE()),D46),Hoja1!$A$2:$K$1000,9,FALSE()),0)</f>
        <v>0</v>
      </c>
      <c r="BA46" s="25">
        <f t="shared" si="0"/>
        <v>4.5192307692307691E-2</v>
      </c>
      <c r="BB46" s="25">
        <f t="shared" si="1"/>
        <v>1.7307692307692309E-2</v>
      </c>
      <c r="BC46" s="25">
        <f t="shared" si="2"/>
        <v>0.19230769230769232</v>
      </c>
      <c r="BD46" s="25">
        <f t="shared" si="3"/>
        <v>1.2500000000000001E-2</v>
      </c>
      <c r="BE46" s="25">
        <f t="shared" si="4"/>
        <v>4.2692307692307692</v>
      </c>
      <c r="BF46" s="25">
        <f t="shared" si="5"/>
        <v>0.23076923076923075</v>
      </c>
      <c r="BG46" s="25">
        <f t="shared" si="6"/>
        <v>0.2857142857142857</v>
      </c>
      <c r="BH46" s="25">
        <f t="shared" si="7"/>
        <v>0.38235294117647062</v>
      </c>
      <c r="BI46" s="25">
        <f t="shared" si="8"/>
        <v>2.723926380368098</v>
      </c>
      <c r="BJ46" s="25">
        <f t="shared" si="9"/>
        <v>0</v>
      </c>
      <c r="BK46" s="25">
        <f t="shared" si="10"/>
        <v>0.14173228346456693</v>
      </c>
      <c r="BL46" s="25">
        <f t="shared" si="11"/>
        <v>0.29423076923076918</v>
      </c>
      <c r="BM46" s="25">
        <f t="shared" si="12"/>
        <v>0.17307692307692307</v>
      </c>
      <c r="BN46" s="18" t="str">
        <f t="shared" si="18"/>
        <v>Baja fuente de proteína</v>
      </c>
      <c r="BO46" s="18" t="str">
        <f t="shared" si="19"/>
        <v>Media fuente de fibra</v>
      </c>
      <c r="BP46" s="18" t="str">
        <f t="shared" si="20"/>
        <v>Baja fuente de calcio</v>
      </c>
      <c r="BQ46" s="18" t="str">
        <f t="shared" si="21"/>
        <v>Media fuente de hierro</v>
      </c>
      <c r="BR46" s="18" t="str">
        <f t="shared" si="22"/>
        <v>Muy alto en sodio</v>
      </c>
      <c r="BS46" s="6" t="str">
        <f t="shared" si="13"/>
        <v>Proinflamatorio</v>
      </c>
      <c r="BT46" s="6" t="str">
        <f t="shared" si="14"/>
        <v>Moderado en grasas</v>
      </c>
      <c r="BU46" s="18" t="str">
        <f t="shared" si="23"/>
        <v>Alto riesgo de retención de líquidos</v>
      </c>
      <c r="BV46" s="18" t="str">
        <f t="shared" si="24"/>
        <v>Baja fuente de magnesio</v>
      </c>
      <c r="BW46" s="18" t="str">
        <f t="shared" si="25"/>
        <v>Sin aporte de Omega 3</v>
      </c>
      <c r="BX46" s="18" t="str">
        <f t="shared" si="26"/>
        <v>Contiene grasas trans</v>
      </c>
      <c r="BY46" s="18" t="str">
        <f t="shared" si="27"/>
        <v>Medio poder antioxidante</v>
      </c>
      <c r="BZ46" s="6" t="str">
        <f t="shared" si="15"/>
        <v>Sin probióticos</v>
      </c>
      <c r="CA46" s="18" t="str">
        <f t="shared" si="28"/>
        <v>Moderadamente inflamatorio</v>
      </c>
      <c r="CB46" s="18" t="str">
        <f>IF(ISNUMBER(SEARCH("miel", D46)), "No irritante (Uso condicionado SII)", IF(OR(J46&gt;0, ISNUMBER(SEARCH("cacao", D46)), ISNUMBER(SEARCH("chocolate puro", D46))), "Altamente irritante", IF(OR(AND(O46&gt;15, BI46&gt;1), ISNUMBER(SEARCH("chocolate", D46))), "Moderadamente irritante", "No irritante")))</f>
        <v>No irritante</v>
      </c>
      <c r="CC46" s="6" t="str">
        <f t="shared" si="16"/>
        <v>Exceso relativo de Omega 6</v>
      </c>
    </row>
    <row r="47" spans="1:81" ht="15" customHeight="1" x14ac:dyDescent="0.3">
      <c r="A47" s="2">
        <f t="shared" si="17"/>
        <v>46</v>
      </c>
      <c r="B47" s="3" t="s">
        <v>80</v>
      </c>
      <c r="C47" s="3" t="s">
        <v>125</v>
      </c>
      <c r="D47" s="3" t="s">
        <v>133</v>
      </c>
      <c r="E47" s="3"/>
      <c r="F47" s="4">
        <v>4.5</v>
      </c>
      <c r="G47" s="5">
        <v>1</v>
      </c>
      <c r="H47" s="5">
        <v>151</v>
      </c>
      <c r="I47" s="5">
        <v>68.2</v>
      </c>
      <c r="J47" s="5">
        <v>0</v>
      </c>
      <c r="K47" s="5">
        <v>9.5</v>
      </c>
      <c r="L47" s="5">
        <v>16.3</v>
      </c>
      <c r="M47" s="5">
        <v>15.3</v>
      </c>
      <c r="N47" s="5">
        <v>1</v>
      </c>
      <c r="O47" s="5">
        <v>0</v>
      </c>
      <c r="P47" s="5">
        <v>0.9</v>
      </c>
      <c r="Q47" s="5">
        <v>5.0999999999999996</v>
      </c>
      <c r="R47" s="5">
        <v>2</v>
      </c>
      <c r="S47" s="5">
        <v>2.2999999999999998</v>
      </c>
      <c r="T47" s="5">
        <v>0.5</v>
      </c>
      <c r="U47" s="5">
        <v>26</v>
      </c>
      <c r="V47" s="5">
        <v>38</v>
      </c>
      <c r="W47" s="5">
        <v>38</v>
      </c>
      <c r="X47" s="5">
        <v>0</v>
      </c>
      <c r="Y47" s="5">
        <v>0.1</v>
      </c>
      <c r="Z47" s="5">
        <v>0.3</v>
      </c>
      <c r="AA47" s="5">
        <v>0.5</v>
      </c>
      <c r="AB47" s="5">
        <v>0.12</v>
      </c>
      <c r="AC47" s="5">
        <v>0.06</v>
      </c>
      <c r="AD47" s="5">
        <v>1.6</v>
      </c>
      <c r="AE47" s="5">
        <v>0.2</v>
      </c>
      <c r="AF47" s="5">
        <v>10</v>
      </c>
      <c r="AG47" s="5">
        <v>0</v>
      </c>
      <c r="AH47" s="5">
        <v>0.3</v>
      </c>
      <c r="AI47" s="5">
        <v>0</v>
      </c>
      <c r="AJ47" s="5">
        <v>2</v>
      </c>
      <c r="AK47" s="5">
        <v>20</v>
      </c>
      <c r="AL47" s="5">
        <v>86</v>
      </c>
      <c r="AM47" s="5">
        <v>1.1000000000000001</v>
      </c>
      <c r="AN47" s="5">
        <v>10</v>
      </c>
      <c r="AO47" s="5">
        <v>0.5</v>
      </c>
      <c r="AP47" s="5">
        <v>18</v>
      </c>
      <c r="AQ47" s="5">
        <v>435</v>
      </c>
      <c r="AR47" s="5">
        <v>163</v>
      </c>
      <c r="AS47" s="5">
        <v>0.64</v>
      </c>
      <c r="AT47" s="5">
        <v>0.2</v>
      </c>
      <c r="AU47" s="5">
        <v>20</v>
      </c>
      <c r="AV47" s="5">
        <f>IFERROR(VLOOKUP(IFERROR(VLOOKUP(D47,Mapa_Similitud!$A$2:$B$2000,2,FALSE()),D47),Hoja1!$A$2:$K$1000,2,FALSE()),IFERROR(VLOOKUP(IFERROR(VLOOKUP(D47,Mapa_Similitud!$A$2:$B$2000,2,FALSE()),D47),Omega3_Referencia!$A$2:$E$100,3,FALSE()),0))</f>
        <v>0.03</v>
      </c>
      <c r="AW47" s="3" t="str">
        <f>IFERROR(VLOOKUP(IFERROR(VLOOKUP(D47,Mapa_Similitud!$A$2:$B$2000,2,FALSE()),D47),Hoja1!$A$2:$K$1000,3,FALSE()),IFERROR(VLOOKUP(IFERROR(VLOOKUP(D47,Mapa_Similitud!$A$2:$B$2000,2,FALSE()),D47),Omega3_Referencia!$A$2:$E$100,4,FALSE()),"N/A"))</f>
        <v>ALA</v>
      </c>
      <c r="AX47" s="5">
        <f>IFERROR(VLOOKUP(IFERROR(VLOOKUP(D47,Mapa_Similitud!$A$2:$B$2000,2,FALSE()),D47),Hoja1!$A$2:$K$1000,5,FALSE()),0)</f>
        <v>0.1</v>
      </c>
      <c r="AY47" s="5">
        <f>IFERROR(VLOOKUP(IFERROR(VLOOKUP(D47,Mapa_Similitud!$A$2:$B$2000,2,FALSE()),D47),Hoja1!$A$2:$K$1000,7,FALSE()),0)</f>
        <v>12</v>
      </c>
      <c r="AZ47" s="5">
        <f>IFERROR(VLOOKUP(IFERROR(VLOOKUP(D47,Mapa_Similitud!$A$2:$B$2000,2,FALSE()),D47),Hoja1!$A$2:$K$1000,9,FALSE()),0)</f>
        <v>0</v>
      </c>
      <c r="BA47" s="25">
        <f t="shared" si="0"/>
        <v>6.2913907284768214E-2</v>
      </c>
      <c r="BB47" s="25">
        <f t="shared" si="1"/>
        <v>5.9602649006622521E-3</v>
      </c>
      <c r="BC47" s="25">
        <f t="shared" si="2"/>
        <v>0.13245033112582782</v>
      </c>
      <c r="BD47" s="25">
        <f t="shared" si="3"/>
        <v>7.2847682119205302E-3</v>
      </c>
      <c r="BE47" s="25">
        <f t="shared" si="4"/>
        <v>2.8807947019867548</v>
      </c>
      <c r="BF47" s="25">
        <f t="shared" si="5"/>
        <v>0.25</v>
      </c>
      <c r="BG47" s="25">
        <f t="shared" si="6"/>
        <v>0.23255813953488372</v>
      </c>
      <c r="BH47" s="25">
        <f t="shared" si="7"/>
        <v>0.39215686274509809</v>
      </c>
      <c r="BI47" s="25">
        <f t="shared" si="8"/>
        <v>2.6687116564417179</v>
      </c>
      <c r="BJ47" s="25">
        <f t="shared" si="9"/>
        <v>6.1349693251533742E-2</v>
      </c>
      <c r="BK47" s="25">
        <f t="shared" si="10"/>
        <v>5.5214723926380369E-2</v>
      </c>
      <c r="BL47" s="25">
        <f t="shared" si="11"/>
        <v>0.30397350993377481</v>
      </c>
      <c r="BM47" s="25">
        <f t="shared" si="12"/>
        <v>0.11920529801324503</v>
      </c>
      <c r="BN47" s="18" t="str">
        <f t="shared" si="18"/>
        <v>Baja fuente de proteína</v>
      </c>
      <c r="BO47" s="18" t="str">
        <f t="shared" si="19"/>
        <v>Baja fuente de fibra</v>
      </c>
      <c r="BP47" s="18" t="str">
        <f t="shared" si="20"/>
        <v>Baja fuente de calcio</v>
      </c>
      <c r="BQ47" s="18" t="str">
        <f t="shared" si="21"/>
        <v>Baja fuente de hierro</v>
      </c>
      <c r="BR47" s="18" t="str">
        <f t="shared" si="22"/>
        <v>Muy alto en sodio</v>
      </c>
      <c r="BS47" s="6" t="str">
        <f t="shared" si="13"/>
        <v>Proinflamatorio</v>
      </c>
      <c r="BT47" s="6" t="str">
        <f t="shared" si="14"/>
        <v>Alto en grasas</v>
      </c>
      <c r="BU47" s="18" t="str">
        <f t="shared" si="23"/>
        <v>Alto riesgo de retención de líquidos</v>
      </c>
      <c r="BV47" s="18" t="str">
        <f t="shared" si="24"/>
        <v>Baja fuente de magnesio</v>
      </c>
      <c r="BW47" s="18" t="str">
        <f t="shared" si="25"/>
        <v>Sin aporte de Omega 3</v>
      </c>
      <c r="BX47" s="18" t="str">
        <f t="shared" si="26"/>
        <v>Contiene grasas trans</v>
      </c>
      <c r="BY47" s="18" t="str">
        <f t="shared" si="27"/>
        <v>Medio poder antioxidante</v>
      </c>
      <c r="BZ47" s="6" t="str">
        <f t="shared" si="15"/>
        <v>Sin probióticos</v>
      </c>
      <c r="CA47" s="18" t="str">
        <f t="shared" si="28"/>
        <v>Moderadamente inflamatorio</v>
      </c>
      <c r="CB47" s="18" t="str">
        <f>IF(ISNUMBER(SEARCH("miel", D47)), "No irritante (Uso condicionado SII)", IF(OR(J47&gt;0, ISNUMBER(SEARCH("cacao", D47)), ISNUMBER(SEARCH("chocolate puro", D47))), "Altamente irritante", IF(OR(AND(O47&gt;15, BI47&gt;1), ISNUMBER(SEARCH("chocolate", D47))), "Moderadamente irritante", "No irritante")))</f>
        <v>No irritante</v>
      </c>
      <c r="CC47" s="6" t="str">
        <f t="shared" si="16"/>
        <v>Exceso relativo de Omega 6</v>
      </c>
    </row>
    <row r="48" spans="1:81" ht="15" customHeight="1" x14ac:dyDescent="0.3">
      <c r="A48" s="2">
        <f t="shared" si="17"/>
        <v>47</v>
      </c>
      <c r="B48" s="3" t="s">
        <v>134</v>
      </c>
      <c r="C48" s="3" t="s">
        <v>135</v>
      </c>
      <c r="D48" s="3" t="s">
        <v>136</v>
      </c>
      <c r="E48" s="3"/>
      <c r="F48" s="4">
        <v>2.5</v>
      </c>
      <c r="G48" s="5">
        <v>1</v>
      </c>
      <c r="H48" s="5">
        <v>82.4</v>
      </c>
      <c r="I48" s="5">
        <v>85.9</v>
      </c>
      <c r="J48" s="5">
        <v>0</v>
      </c>
      <c r="K48" s="5">
        <v>5</v>
      </c>
      <c r="L48" s="5">
        <v>3.9</v>
      </c>
      <c r="M48" s="5">
        <v>0</v>
      </c>
      <c r="N48" s="5">
        <v>3.9</v>
      </c>
      <c r="O48" s="5">
        <v>3.9</v>
      </c>
      <c r="P48" s="5">
        <v>0</v>
      </c>
      <c r="Q48" s="5">
        <v>5.2</v>
      </c>
      <c r="R48" s="5">
        <v>0.6</v>
      </c>
      <c r="S48" s="5">
        <v>1</v>
      </c>
      <c r="T48" s="5">
        <v>2.6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0.74</v>
      </c>
      <c r="AA48" s="5">
        <v>0</v>
      </c>
      <c r="AB48" s="5">
        <v>7.0000000000000007E-2</v>
      </c>
      <c r="AC48" s="5">
        <v>0.03</v>
      </c>
      <c r="AD48" s="5">
        <v>0.1</v>
      </c>
      <c r="AE48" s="5">
        <v>7.0000000000000007E-2</v>
      </c>
      <c r="AF48" s="5">
        <v>19</v>
      </c>
      <c r="AG48" s="5">
        <v>0</v>
      </c>
      <c r="AH48" s="5">
        <v>0.08</v>
      </c>
      <c r="AI48" s="5">
        <v>0</v>
      </c>
      <c r="AJ48" s="5">
        <v>0.47</v>
      </c>
      <c r="AK48" s="5">
        <v>100</v>
      </c>
      <c r="AL48" s="5">
        <v>47</v>
      </c>
      <c r="AM48" s="5">
        <v>0.4</v>
      </c>
      <c r="AN48" s="5">
        <v>0</v>
      </c>
      <c r="AO48" s="5">
        <v>0.2</v>
      </c>
      <c r="AP48" s="5">
        <v>15</v>
      </c>
      <c r="AQ48" s="5">
        <v>32</v>
      </c>
      <c r="AR48" s="5">
        <v>120</v>
      </c>
      <c r="AS48" s="5">
        <v>0.2</v>
      </c>
      <c r="AT48" s="5">
        <v>0.1</v>
      </c>
      <c r="AU48" s="5">
        <v>1.3</v>
      </c>
      <c r="AV48" s="5">
        <f>IFERROR(VLOOKUP(IFERROR(VLOOKUP(D48,Mapa_Similitud!$A$2:$B$2000,2,FALSE()),D48),Hoja1!$A$2:$K$1000,2,FALSE()),IFERROR(VLOOKUP(IFERROR(VLOOKUP(D48,Mapa_Similitud!$A$2:$B$2000,2,FALSE()),D48),Omega3_Referencia!$A$2:$E$100,3,FALSE()),0))</f>
        <v>0.2</v>
      </c>
      <c r="AW48" s="3" t="str">
        <f>IFERROR(VLOOKUP(IFERROR(VLOOKUP(D48,Mapa_Similitud!$A$2:$B$2000,2,FALSE()),D48),Hoja1!$A$2:$K$1000,3,FALSE()),IFERROR(VLOOKUP(IFERROR(VLOOKUP(D48,Mapa_Similitud!$A$2:$B$2000,2,FALSE()),D48),Omega3_Referencia!$A$2:$E$100,4,FALSE()),"N/A"))</f>
        <v>ALA</v>
      </c>
      <c r="AX48" s="5">
        <f>IFERROR(VLOOKUP(IFERROR(VLOOKUP(D48,Mapa_Similitud!$A$2:$B$2000,2,FALSE()),D48),Hoja1!$A$2:$K$1000,5,FALSE()),0)</f>
        <v>0</v>
      </c>
      <c r="AY48" s="5">
        <f>IFERROR(VLOOKUP(IFERROR(VLOOKUP(D48,Mapa_Similitud!$A$2:$B$2000,2,FALSE()),D48),Hoja1!$A$2:$K$1000,7,FALSE()),0)</f>
        <v>60</v>
      </c>
      <c r="AZ48" s="5">
        <f>IFERROR(VLOOKUP(IFERROR(VLOOKUP(D48,Mapa_Similitud!$A$2:$B$2000,2,FALSE()),D48),Hoja1!$A$2:$K$1000,9,FALSE()),0)</f>
        <v>2</v>
      </c>
      <c r="BA48" s="25">
        <f t="shared" si="0"/>
        <v>6.0679611650485431E-2</v>
      </c>
      <c r="BB48" s="25">
        <f t="shared" si="1"/>
        <v>0</v>
      </c>
      <c r="BC48" s="25">
        <f t="shared" si="2"/>
        <v>1.2135922330097086</v>
      </c>
      <c r="BD48" s="25">
        <f t="shared" si="3"/>
        <v>4.8543689320388345E-3</v>
      </c>
      <c r="BE48" s="25">
        <f t="shared" si="4"/>
        <v>0.38834951456310679</v>
      </c>
      <c r="BF48" s="25">
        <f t="shared" si="5"/>
        <v>4.3333333333333339</v>
      </c>
      <c r="BG48" s="25">
        <f t="shared" si="6"/>
        <v>2.1276595744680851</v>
      </c>
      <c r="BH48" s="25">
        <f t="shared" si="7"/>
        <v>0.11538461538461538</v>
      </c>
      <c r="BI48" s="25">
        <f t="shared" si="8"/>
        <v>0.26666666666666666</v>
      </c>
      <c r="BJ48" s="25">
        <f t="shared" si="9"/>
        <v>1</v>
      </c>
      <c r="BK48" s="25">
        <f t="shared" si="10"/>
        <v>0</v>
      </c>
      <c r="BL48" s="25">
        <f t="shared" si="11"/>
        <v>0.56796116504854366</v>
      </c>
      <c r="BM48" s="25">
        <f t="shared" si="12"/>
        <v>0.18203883495145629</v>
      </c>
      <c r="BN48" s="18" t="str">
        <f t="shared" si="18"/>
        <v>Baja fuente de proteína</v>
      </c>
      <c r="BO48" s="18" t="str">
        <f t="shared" si="19"/>
        <v>Baja fuente de fibra</v>
      </c>
      <c r="BP48" s="18" t="str">
        <f t="shared" si="20"/>
        <v>Media fuente de calcio</v>
      </c>
      <c r="BQ48" s="18" t="str">
        <f t="shared" si="21"/>
        <v>Baja fuente de hierro</v>
      </c>
      <c r="BR48" s="18" t="str">
        <f t="shared" si="22"/>
        <v>Bajo en sodio</v>
      </c>
      <c r="BS48" s="6" t="str">
        <f t="shared" si="13"/>
        <v>Altamente antiinflamatorio</v>
      </c>
      <c r="BT48" s="6" t="str">
        <f t="shared" si="14"/>
        <v>Muy alto en grasas</v>
      </c>
      <c r="BU48" s="18" t="str">
        <f t="shared" si="23"/>
        <v>Equilibrio de líquidos ideal</v>
      </c>
      <c r="BV48" s="18" t="str">
        <f t="shared" si="24"/>
        <v>Baja fuente de magnesio</v>
      </c>
      <c r="BW48" s="18" t="str">
        <f t="shared" si="25"/>
        <v>Ligera fuente de Omega 3</v>
      </c>
      <c r="BX48" s="18" t="str">
        <f t="shared" si="26"/>
        <v>Libre de grasas trans</v>
      </c>
      <c r="BY48" s="18" t="str">
        <f t="shared" si="27"/>
        <v>Alto poder antioxidante</v>
      </c>
      <c r="BZ48" s="6" t="str">
        <f t="shared" si="15"/>
        <v>Probiótico activo</v>
      </c>
      <c r="CA48" s="18" t="str">
        <f t="shared" si="28"/>
        <v>Antiinflamatorio</v>
      </c>
      <c r="CB48" s="18" t="str">
        <f>IF(ISNUMBER(SEARCH("miel", D48)), "No irritante (Uso condicionado SII)", IF(OR(J48&gt;0, ISNUMBER(SEARCH("cacao", D48)), ISNUMBER(SEARCH("chocolate puro", D48))), "Altamente irritante", IF(OR(AND(O48&gt;15, BI48&gt;1), ISNUMBER(SEARCH("chocolate", D48))), "Moderadamente irritante", "No irritante")))</f>
        <v>No irritante</v>
      </c>
      <c r="CC48" s="6" t="str">
        <f t="shared" si="16"/>
        <v>Exceso relativo de Omega 6</v>
      </c>
    </row>
    <row r="49" spans="1:81" ht="15" customHeight="1" x14ac:dyDescent="0.3">
      <c r="A49" s="2">
        <f t="shared" si="17"/>
        <v>48</v>
      </c>
      <c r="B49" s="3" t="s">
        <v>134</v>
      </c>
      <c r="C49" s="3" t="s">
        <v>135</v>
      </c>
      <c r="D49" s="3" t="s">
        <v>137</v>
      </c>
      <c r="E49" s="3"/>
      <c r="F49" s="4">
        <v>1.5</v>
      </c>
      <c r="G49" s="5">
        <v>1</v>
      </c>
      <c r="H49" s="5">
        <v>54.8</v>
      </c>
      <c r="I49" s="5">
        <v>87.9</v>
      </c>
      <c r="J49" s="5">
        <v>0</v>
      </c>
      <c r="K49" s="5">
        <v>3.2</v>
      </c>
      <c r="L49" s="5">
        <v>5.8</v>
      </c>
      <c r="M49" s="5">
        <v>0</v>
      </c>
      <c r="N49" s="5">
        <v>5.8</v>
      </c>
      <c r="O49" s="5">
        <v>5.8</v>
      </c>
      <c r="P49" s="5">
        <v>1.3</v>
      </c>
      <c r="Q49" s="5">
        <v>1.8</v>
      </c>
      <c r="R49" s="5">
        <v>0.21</v>
      </c>
      <c r="S49" s="5">
        <v>0.31</v>
      </c>
      <c r="T49" s="5">
        <v>0.8</v>
      </c>
      <c r="U49" s="5">
        <v>0</v>
      </c>
      <c r="V49" s="5">
        <v>2</v>
      </c>
      <c r="W49" s="5">
        <v>0</v>
      </c>
      <c r="X49" s="5">
        <v>12</v>
      </c>
      <c r="Y49" s="5">
        <v>0</v>
      </c>
      <c r="Z49" s="5">
        <v>0.74</v>
      </c>
      <c r="AA49" s="5">
        <v>0</v>
      </c>
      <c r="AB49" s="5">
        <v>0.12</v>
      </c>
      <c r="AC49" s="5">
        <v>0.42</v>
      </c>
      <c r="AD49" s="5">
        <v>0.88</v>
      </c>
      <c r="AE49" s="5">
        <v>6.2E-2</v>
      </c>
      <c r="AF49" s="5">
        <v>1</v>
      </c>
      <c r="AG49" s="5">
        <v>0</v>
      </c>
      <c r="AH49" s="5">
        <v>0.08</v>
      </c>
      <c r="AI49" s="5">
        <v>0</v>
      </c>
      <c r="AJ49" s="5">
        <v>0</v>
      </c>
      <c r="AK49" s="5">
        <v>3</v>
      </c>
      <c r="AL49" s="5">
        <v>47</v>
      </c>
      <c r="AM49" s="5">
        <v>0.8</v>
      </c>
      <c r="AN49" s="5">
        <v>0</v>
      </c>
      <c r="AO49" s="5">
        <v>0.39</v>
      </c>
      <c r="AP49" s="5">
        <v>28</v>
      </c>
      <c r="AQ49" s="5">
        <v>3</v>
      </c>
      <c r="AR49" s="5">
        <v>191</v>
      </c>
      <c r="AS49" s="5">
        <v>0.2</v>
      </c>
      <c r="AT49" s="5">
        <v>0.1</v>
      </c>
      <c r="AU49" s="5">
        <v>1.3</v>
      </c>
      <c r="AV49" s="5">
        <f>IFERROR(VLOOKUP(IFERROR(VLOOKUP(D49,Mapa_Similitud!$A$2:$B$2000,2,FALSE()),D49),Hoja1!$A$2:$K$1000,2,FALSE()),IFERROR(VLOOKUP(IFERROR(VLOOKUP(D49,Mapa_Similitud!$A$2:$B$2000,2,FALSE()),D49),Omega3_Referencia!$A$2:$E$100,3,FALSE()),0))</f>
        <v>0.31</v>
      </c>
      <c r="AW49" s="3" t="str">
        <f>IFERROR(VLOOKUP(IFERROR(VLOOKUP(D49,Mapa_Similitud!$A$2:$B$2000,2,FALSE()),D49),Hoja1!$A$2:$K$1000,3,FALSE()),IFERROR(VLOOKUP(IFERROR(VLOOKUP(D49,Mapa_Similitud!$A$2:$B$2000,2,FALSE()),D49),Omega3_Referencia!$A$2:$E$100,4,FALSE()),"N/A"))</f>
        <v>ALA</v>
      </c>
      <c r="AX49" s="5">
        <f>IFERROR(VLOOKUP(IFERROR(VLOOKUP(D49,Mapa_Similitud!$A$2:$B$2000,2,FALSE()),D49),Hoja1!$A$2:$K$1000,5,FALSE()),0)</f>
        <v>0</v>
      </c>
      <c r="AY49" s="5">
        <f>IFERROR(VLOOKUP(IFERROR(VLOOKUP(D49,Mapa_Similitud!$A$2:$B$2000,2,FALSE()),D49),Hoja1!$A$2:$K$1000,7,FALSE()),0)</f>
        <v>40</v>
      </c>
      <c r="AZ49" s="5">
        <f>IFERROR(VLOOKUP(IFERROR(VLOOKUP(D49,Mapa_Similitud!$A$2:$B$2000,2,FALSE()),D49),Hoja1!$A$2:$K$1000,9,FALSE()),0)</f>
        <v>0</v>
      </c>
      <c r="BA49" s="25">
        <f t="shared" si="0"/>
        <v>5.8394160583941611E-2</v>
      </c>
      <c r="BB49" s="25">
        <f t="shared" si="1"/>
        <v>2.372262773722628E-2</v>
      </c>
      <c r="BC49" s="25">
        <f t="shared" si="2"/>
        <v>5.4744525547445258E-2</v>
      </c>
      <c r="BD49" s="25">
        <f t="shared" si="3"/>
        <v>1.4598540145985403E-2</v>
      </c>
      <c r="BE49" s="25">
        <f t="shared" si="4"/>
        <v>5.4744525547445258E-2</v>
      </c>
      <c r="BF49" s="25">
        <f t="shared" si="5"/>
        <v>3.8095238095238098</v>
      </c>
      <c r="BG49" s="25">
        <f t="shared" si="6"/>
        <v>6.3829787234042548E-2</v>
      </c>
      <c r="BH49" s="25">
        <f t="shared" si="7"/>
        <v>0.11666666666666665</v>
      </c>
      <c r="BI49" s="25">
        <f t="shared" si="8"/>
        <v>1.5706806282722512E-2</v>
      </c>
      <c r="BJ49" s="25">
        <f t="shared" si="9"/>
        <v>1</v>
      </c>
      <c r="BK49" s="25">
        <f t="shared" si="10"/>
        <v>0.22413793103448276</v>
      </c>
      <c r="BL49" s="25">
        <f t="shared" si="11"/>
        <v>0.29562043795620441</v>
      </c>
      <c r="BM49" s="25">
        <f t="shared" si="12"/>
        <v>0.51094890510948909</v>
      </c>
      <c r="BN49" s="18" t="str">
        <f t="shared" si="18"/>
        <v>Baja fuente de proteína</v>
      </c>
      <c r="BO49" s="18" t="str">
        <f t="shared" si="19"/>
        <v>Media fuente de fibra</v>
      </c>
      <c r="BP49" s="18" t="str">
        <f t="shared" si="20"/>
        <v>Baja fuente de calcio</v>
      </c>
      <c r="BQ49" s="18" t="str">
        <f t="shared" si="21"/>
        <v>Media fuente de hierro</v>
      </c>
      <c r="BR49" s="18" t="str">
        <f t="shared" si="22"/>
        <v>Bajo en sodio</v>
      </c>
      <c r="BS49" s="6" t="str">
        <f t="shared" si="13"/>
        <v>Altamente antiinflamatorio</v>
      </c>
      <c r="BT49" s="6" t="str">
        <f t="shared" si="14"/>
        <v>Moderado en grasas</v>
      </c>
      <c r="BU49" s="18" t="str">
        <f t="shared" si="23"/>
        <v>Equilibrio de líquidos ideal</v>
      </c>
      <c r="BV49" s="18" t="str">
        <f t="shared" si="24"/>
        <v>Alta fuente de magnesio</v>
      </c>
      <c r="BW49" s="18" t="str">
        <f t="shared" si="25"/>
        <v>Ligera fuente de Omega 3</v>
      </c>
      <c r="BX49" s="18" t="str">
        <f t="shared" si="26"/>
        <v>Libre de grasas trans</v>
      </c>
      <c r="BY49" s="18" t="str">
        <f t="shared" si="27"/>
        <v>Medio poder antioxidante</v>
      </c>
      <c r="BZ49" s="6" t="str">
        <f t="shared" si="15"/>
        <v>Sin probióticos</v>
      </c>
      <c r="CA49" s="18" t="str">
        <f t="shared" si="28"/>
        <v>Moderadamente inflamatorio</v>
      </c>
      <c r="CB49" s="18" t="str">
        <f>IF(ISNUMBER(SEARCH("miel", D49)), "No irritante (Uso condicionado SII)", IF(OR(J49&gt;0, ISNUMBER(SEARCH("cacao", D49)), ISNUMBER(SEARCH("chocolate puro", D49))), "Altamente irritante", IF(OR(AND(O49&gt;15, BI49&gt;1), ISNUMBER(SEARCH("chocolate", D49))), "Moderadamente irritante", "No irritante")))</f>
        <v>No irritante</v>
      </c>
      <c r="CC49" s="6" t="str">
        <f t="shared" si="16"/>
        <v>Balance de omegas favorable</v>
      </c>
    </row>
    <row r="50" spans="1:81" ht="15" customHeight="1" x14ac:dyDescent="0.3">
      <c r="A50" s="2">
        <f t="shared" si="17"/>
        <v>49</v>
      </c>
      <c r="B50" s="3" t="s">
        <v>134</v>
      </c>
      <c r="C50" s="3" t="s">
        <v>135</v>
      </c>
      <c r="D50" s="3" t="s">
        <v>138</v>
      </c>
      <c r="E50" s="3"/>
      <c r="F50" s="4">
        <v>1.5</v>
      </c>
      <c r="G50" s="5">
        <v>1</v>
      </c>
      <c r="H50" s="5">
        <v>54.6</v>
      </c>
      <c r="I50" s="5">
        <v>86.4</v>
      </c>
      <c r="J50" s="5">
        <v>0</v>
      </c>
      <c r="K50" s="5">
        <v>5.5</v>
      </c>
      <c r="L50" s="5">
        <v>4.7</v>
      </c>
      <c r="M50" s="5">
        <v>2.2999999999999998</v>
      </c>
      <c r="N50" s="5">
        <v>2.2999999999999998</v>
      </c>
      <c r="O50" s="5">
        <v>0</v>
      </c>
      <c r="P50" s="5">
        <v>2.4</v>
      </c>
      <c r="Q50" s="5">
        <v>1</v>
      </c>
      <c r="R50" s="5">
        <v>0.14000000000000001</v>
      </c>
      <c r="S50" s="5">
        <v>0.23</v>
      </c>
      <c r="T50" s="5">
        <v>0.57999999999999996</v>
      </c>
      <c r="U50" s="5">
        <v>0</v>
      </c>
      <c r="V50" s="5">
        <v>4.2</v>
      </c>
      <c r="W50" s="5">
        <v>0</v>
      </c>
      <c r="X50" s="5">
        <v>25</v>
      </c>
      <c r="Y50" s="5">
        <v>0</v>
      </c>
      <c r="Z50" s="5">
        <v>0.1</v>
      </c>
      <c r="AA50" s="5">
        <v>0</v>
      </c>
      <c r="AB50" s="5">
        <v>0.15</v>
      </c>
      <c r="AC50" s="5">
        <v>0.16</v>
      </c>
      <c r="AD50" s="5">
        <v>1.4</v>
      </c>
      <c r="AE50" s="5">
        <v>0.16</v>
      </c>
      <c r="AF50" s="5">
        <v>160</v>
      </c>
      <c r="AG50" s="5">
        <v>0</v>
      </c>
      <c r="AH50" s="5">
        <v>1.4</v>
      </c>
      <c r="AI50" s="5">
        <v>0</v>
      </c>
      <c r="AJ50" s="5">
        <v>1</v>
      </c>
      <c r="AK50" s="5">
        <v>32</v>
      </c>
      <c r="AL50" s="5">
        <v>75</v>
      </c>
      <c r="AM50" s="5">
        <v>0.89</v>
      </c>
      <c r="AN50" s="5">
        <v>1</v>
      </c>
      <c r="AO50" s="5">
        <v>0.96</v>
      </c>
      <c r="AP50" s="5">
        <v>19</v>
      </c>
      <c r="AQ50" s="5">
        <v>30</v>
      </c>
      <c r="AR50" s="5">
        <v>235</v>
      </c>
      <c r="AS50" s="5">
        <v>0.17</v>
      </c>
      <c r="AT50" s="5">
        <v>0.23</v>
      </c>
      <c r="AU50" s="5">
        <v>0.6</v>
      </c>
      <c r="AV50" s="5">
        <f>IFERROR(VLOOKUP(IFERROR(VLOOKUP(D50,Mapa_Similitud!$A$2:$B$2000,2,FALSE()),D50),Hoja1!$A$2:$K$1000,2,FALSE()),IFERROR(VLOOKUP(IFERROR(VLOOKUP(D50,Mapa_Similitud!$A$2:$B$2000,2,FALSE()),D50),Omega3_Referencia!$A$2:$E$100,3,FALSE()),0))</f>
        <v>0.04</v>
      </c>
      <c r="AW50" s="3" t="str">
        <f>IFERROR(VLOOKUP(IFERROR(VLOOKUP(D50,Mapa_Similitud!$A$2:$B$2000,2,FALSE()),D50),Hoja1!$A$2:$K$1000,3,FALSE()),IFERROR(VLOOKUP(IFERROR(VLOOKUP(D50,Mapa_Similitud!$A$2:$B$2000,2,FALSE()),D50),Omega3_Referencia!$A$2:$E$100,4,FALSE()),"N/A"))</f>
        <v>ALA</v>
      </c>
      <c r="AX50" s="5">
        <f>IFERROR(VLOOKUP(IFERROR(VLOOKUP(D50,Mapa_Similitud!$A$2:$B$2000,2,FALSE()),D50),Hoja1!$A$2:$K$1000,5,FALSE()),0)</f>
        <v>0</v>
      </c>
      <c r="AY50" s="5">
        <f>IFERROR(VLOOKUP(IFERROR(VLOOKUP(D50,Mapa_Similitud!$A$2:$B$2000,2,FALSE()),D50),Hoja1!$A$2:$K$1000,7,FALSE()),0)</f>
        <v>30</v>
      </c>
      <c r="AZ50" s="5">
        <f>IFERROR(VLOOKUP(IFERROR(VLOOKUP(D50,Mapa_Similitud!$A$2:$B$2000,2,FALSE()),D50),Hoja1!$A$2:$K$1000,9,FALSE()),0)</f>
        <v>0</v>
      </c>
      <c r="BA50" s="25">
        <f t="shared" si="0"/>
        <v>0.10073260073260074</v>
      </c>
      <c r="BB50" s="25">
        <f t="shared" si="1"/>
        <v>4.3956043956043953E-2</v>
      </c>
      <c r="BC50" s="25">
        <f t="shared" si="2"/>
        <v>0.58608058608058611</v>
      </c>
      <c r="BD50" s="25">
        <f t="shared" si="3"/>
        <v>1.6300366300366301E-2</v>
      </c>
      <c r="BE50" s="25">
        <f t="shared" si="4"/>
        <v>0.54945054945054939</v>
      </c>
      <c r="BF50" s="25">
        <f t="shared" si="5"/>
        <v>4.1428571428571423</v>
      </c>
      <c r="BG50" s="25">
        <f t="shared" si="6"/>
        <v>0.42666666666666669</v>
      </c>
      <c r="BH50" s="25">
        <f t="shared" si="7"/>
        <v>0.14000000000000001</v>
      </c>
      <c r="BI50" s="25">
        <f t="shared" si="8"/>
        <v>0.1276595744680851</v>
      </c>
      <c r="BJ50" s="25">
        <f t="shared" si="9"/>
        <v>0.4893617021276595</v>
      </c>
      <c r="BK50" s="25">
        <f t="shared" si="10"/>
        <v>0.51063829787234039</v>
      </c>
      <c r="BL50" s="25">
        <f t="shared" si="11"/>
        <v>0.16483516483516483</v>
      </c>
      <c r="BM50" s="25">
        <f t="shared" si="12"/>
        <v>0.34798534798534797</v>
      </c>
      <c r="BN50" s="18" t="str">
        <f t="shared" si="18"/>
        <v>Media fuente de proteína</v>
      </c>
      <c r="BO50" s="18" t="str">
        <f t="shared" si="19"/>
        <v>Alta fuente de fibra</v>
      </c>
      <c r="BP50" s="18" t="str">
        <f t="shared" si="20"/>
        <v>Baja fuente de calcio</v>
      </c>
      <c r="BQ50" s="18" t="str">
        <f t="shared" si="21"/>
        <v>Alta fuente de hierro</v>
      </c>
      <c r="BR50" s="18" t="str">
        <f t="shared" si="22"/>
        <v>Moderado en sodio</v>
      </c>
      <c r="BS50" s="6" t="str">
        <f t="shared" si="13"/>
        <v>Altamente antiinflamatorio</v>
      </c>
      <c r="BT50" s="6" t="str">
        <f t="shared" si="14"/>
        <v>Bajo en grasas</v>
      </c>
      <c r="BU50" s="18" t="str">
        <f t="shared" si="23"/>
        <v>Equilibrio de líquidos ideal</v>
      </c>
      <c r="BV50" s="18" t="str">
        <f t="shared" si="24"/>
        <v>Media fuente de magnesio</v>
      </c>
      <c r="BW50" s="18" t="str">
        <f t="shared" si="25"/>
        <v>Sin aporte de Omega 3</v>
      </c>
      <c r="BX50" s="18" t="str">
        <f t="shared" si="26"/>
        <v>Libre de grasas trans</v>
      </c>
      <c r="BY50" s="18" t="str">
        <f t="shared" si="27"/>
        <v>Medio poder antioxidante</v>
      </c>
      <c r="BZ50" s="6" t="str">
        <f t="shared" si="15"/>
        <v>Sin probióticos</v>
      </c>
      <c r="CA50" s="18" t="str">
        <f t="shared" si="28"/>
        <v>Poco inflamatorio</v>
      </c>
      <c r="CB50" s="18" t="str">
        <f>IF(ISNUMBER(SEARCH("miel", D50)), "No irritante (Uso condicionado SII)", IF(OR(J50&gt;0, ISNUMBER(SEARCH("cacao", D50)), ISNUMBER(SEARCH("chocolate puro", D50))), "Altamente irritante", IF(OR(AND(O50&gt;15, BI50&gt;1), ISNUMBER(SEARCH("chocolate", D50))), "Moderadamente irritante", "No irritante")))</f>
        <v>No irritante</v>
      </c>
      <c r="CC50" s="6" t="str">
        <f t="shared" si="16"/>
        <v>Exceso relativo de Omega 6</v>
      </c>
    </row>
    <row r="51" spans="1:81" ht="15" customHeight="1" x14ac:dyDescent="0.3">
      <c r="A51" s="2">
        <f t="shared" si="17"/>
        <v>50</v>
      </c>
      <c r="B51" s="3" t="s">
        <v>134</v>
      </c>
      <c r="C51" s="3" t="s">
        <v>135</v>
      </c>
      <c r="D51" s="3" t="s">
        <v>139</v>
      </c>
      <c r="E51" s="3"/>
      <c r="F51" s="4">
        <v>3</v>
      </c>
      <c r="G51" s="5">
        <v>1</v>
      </c>
      <c r="H51" s="5">
        <v>340</v>
      </c>
      <c r="I51" s="5">
        <v>13.1</v>
      </c>
      <c r="J51" s="5">
        <v>0</v>
      </c>
      <c r="K51" s="5">
        <v>0.09</v>
      </c>
      <c r="L51" s="5">
        <v>83.2</v>
      </c>
      <c r="M51" s="5">
        <v>77</v>
      </c>
      <c r="N51" s="5">
        <v>2</v>
      </c>
      <c r="O51" s="5">
        <v>0</v>
      </c>
      <c r="P51" s="5">
        <v>3.3</v>
      </c>
      <c r="Q51" s="5">
        <v>7.0000000000000007E-2</v>
      </c>
      <c r="R51" s="5">
        <v>0</v>
      </c>
      <c r="S51" s="5">
        <v>1.6E-2</v>
      </c>
      <c r="T51" s="5">
        <v>4.1000000000000002E-2</v>
      </c>
      <c r="U51" s="5">
        <v>0</v>
      </c>
      <c r="V51" s="5">
        <v>8.3000000000000007</v>
      </c>
      <c r="W51" s="5">
        <v>0</v>
      </c>
      <c r="X51" s="5">
        <v>50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7</v>
      </c>
      <c r="AG51" s="5">
        <v>0</v>
      </c>
      <c r="AH51" s="5">
        <v>0</v>
      </c>
      <c r="AI51" s="5">
        <v>0</v>
      </c>
      <c r="AJ51" s="5">
        <v>0</v>
      </c>
      <c r="AK51" s="5">
        <v>25.2</v>
      </c>
      <c r="AL51" s="5">
        <v>40</v>
      </c>
      <c r="AM51" s="5">
        <v>1</v>
      </c>
      <c r="AN51" s="5">
        <v>10</v>
      </c>
      <c r="AO51" s="5">
        <v>1</v>
      </c>
      <c r="AP51" s="5">
        <v>9.6</v>
      </c>
      <c r="AQ51" s="5">
        <v>10.3</v>
      </c>
      <c r="AR51" s="5">
        <v>13.2</v>
      </c>
      <c r="AS51" s="5">
        <v>0</v>
      </c>
      <c r="AT51" s="5">
        <v>0</v>
      </c>
      <c r="AU51" s="5">
        <v>5</v>
      </c>
      <c r="AV51" s="5">
        <f>IFERROR(VLOOKUP(IFERROR(VLOOKUP(D51,Mapa_Similitud!$A$2:$B$2000,2,FALSE()),D51),Hoja1!$A$2:$K$1000,2,FALSE()),IFERROR(VLOOKUP(IFERROR(VLOOKUP(D51,Mapa_Similitud!$A$2:$B$2000,2,FALSE()),D51),Omega3_Referencia!$A$2:$E$100,3,FALSE()),0))</f>
        <v>0.01</v>
      </c>
      <c r="AW51" s="3" t="str">
        <f>IFERROR(VLOOKUP(IFERROR(VLOOKUP(D51,Mapa_Similitud!$A$2:$B$2000,2,FALSE()),D51),Hoja1!$A$2:$K$1000,3,FALSE()),IFERROR(VLOOKUP(IFERROR(VLOOKUP(D51,Mapa_Similitud!$A$2:$B$2000,2,FALSE()),D51),Omega3_Referencia!$A$2:$E$100,4,FALSE()),"N/A"))</f>
        <v>ALA</v>
      </c>
      <c r="AX51" s="5">
        <f>IFERROR(VLOOKUP(IFERROR(VLOOKUP(D51,Mapa_Similitud!$A$2:$B$2000,2,FALSE()),D51),Hoja1!$A$2:$K$1000,5,FALSE()),0)</f>
        <v>0</v>
      </c>
      <c r="AY51" s="5">
        <f>IFERROR(VLOOKUP(IFERROR(VLOOKUP(D51,Mapa_Similitud!$A$2:$B$2000,2,FALSE()),D51),Hoja1!$A$2:$K$1000,7,FALSE()),0)</f>
        <v>15</v>
      </c>
      <c r="AZ51" s="5">
        <f>IFERROR(VLOOKUP(IFERROR(VLOOKUP(D51,Mapa_Similitud!$A$2:$B$2000,2,FALSE()),D51),Hoja1!$A$2:$K$1000,9,FALSE()),0)</f>
        <v>0</v>
      </c>
      <c r="BA51" s="25">
        <f t="shared" si="0"/>
        <v>2.6470588235294115E-4</v>
      </c>
      <c r="BB51" s="25">
        <f t="shared" si="1"/>
        <v>9.7058823529411753E-3</v>
      </c>
      <c r="BC51" s="25">
        <f t="shared" si="2"/>
        <v>7.4117647058823524E-2</v>
      </c>
      <c r="BD51" s="25">
        <f t="shared" si="3"/>
        <v>2.9411764705882353E-3</v>
      </c>
      <c r="BE51" s="25">
        <f t="shared" si="4"/>
        <v>3.0294117647058826E-2</v>
      </c>
      <c r="BF51" s="25">
        <f t="shared" si="5"/>
        <v>0</v>
      </c>
      <c r="BG51" s="25">
        <f t="shared" si="6"/>
        <v>0.63</v>
      </c>
      <c r="BH51" s="25">
        <f t="shared" si="7"/>
        <v>0</v>
      </c>
      <c r="BI51" s="25">
        <f t="shared" si="8"/>
        <v>0.78030303030303039</v>
      </c>
      <c r="BJ51" s="25">
        <f t="shared" si="9"/>
        <v>2.4038461538461536E-2</v>
      </c>
      <c r="BK51" s="25">
        <f t="shared" si="10"/>
        <v>3.9663461538461536E-2</v>
      </c>
      <c r="BL51" s="25">
        <f t="shared" si="11"/>
        <v>1.8529411764705887E-3</v>
      </c>
      <c r="BM51" s="25">
        <f t="shared" si="12"/>
        <v>2.8235294117647056E-2</v>
      </c>
      <c r="BN51" s="18" t="str">
        <f t="shared" si="18"/>
        <v>Baja fuente de proteína</v>
      </c>
      <c r="BO51" s="18" t="str">
        <f t="shared" si="19"/>
        <v>Baja fuente de fibra</v>
      </c>
      <c r="BP51" s="18" t="str">
        <f t="shared" si="20"/>
        <v>Baja fuente de calcio</v>
      </c>
      <c r="BQ51" s="18" t="str">
        <f t="shared" si="21"/>
        <v>Baja fuente de hierro</v>
      </c>
      <c r="BR51" s="18" t="str">
        <f t="shared" si="22"/>
        <v>Bajo en sodio</v>
      </c>
      <c r="BS51" s="6" t="str">
        <f t="shared" si="13"/>
        <v>Proinflamatorio</v>
      </c>
      <c r="BT51" s="6" t="str">
        <f t="shared" si="14"/>
        <v>Bajo en grasas</v>
      </c>
      <c r="BU51" s="18" t="str">
        <f t="shared" si="23"/>
        <v>Riesgo moderado de retención</v>
      </c>
      <c r="BV51" s="18" t="str">
        <f t="shared" si="24"/>
        <v>Baja fuente de magnesio</v>
      </c>
      <c r="BW51" s="18" t="str">
        <f t="shared" si="25"/>
        <v>Sin aporte de Omega 3</v>
      </c>
      <c r="BX51" s="18" t="str">
        <f t="shared" si="26"/>
        <v>Libre de grasas trans</v>
      </c>
      <c r="BY51" s="18" t="str">
        <f t="shared" si="27"/>
        <v>Medio poder antioxidante</v>
      </c>
      <c r="BZ51" s="6" t="str">
        <f t="shared" si="15"/>
        <v>Sin probióticos</v>
      </c>
      <c r="CA51" s="18" t="str">
        <f t="shared" si="28"/>
        <v>Poco inflamatorio</v>
      </c>
      <c r="CB51" s="18" t="str">
        <f>IF(ISNUMBER(SEARCH("miel", D51)), "No irritante (Uso condicionado SII)", IF(OR(J51&gt;0, ISNUMBER(SEARCH("cacao", D51)), ISNUMBER(SEARCH("chocolate puro", D51))), "Altamente irritante", IF(OR(AND(O51&gt;15, BI51&gt;1), ISNUMBER(SEARCH("chocolate", D51))), "Moderadamente irritante", "No irritante")))</f>
        <v>No irritante</v>
      </c>
      <c r="CC51" s="6" t="str">
        <f t="shared" si="16"/>
        <v>Balance de omegas favorable</v>
      </c>
    </row>
    <row r="52" spans="1:81" ht="15" customHeight="1" x14ac:dyDescent="0.3">
      <c r="A52" s="2">
        <f t="shared" si="17"/>
        <v>51</v>
      </c>
      <c r="B52" s="3" t="s">
        <v>134</v>
      </c>
      <c r="C52" s="3" t="s">
        <v>135</v>
      </c>
      <c r="D52" s="3" t="s">
        <v>140</v>
      </c>
      <c r="E52" s="3"/>
      <c r="F52" s="4">
        <v>4</v>
      </c>
      <c r="G52" s="5">
        <v>1</v>
      </c>
      <c r="H52" s="5">
        <v>192</v>
      </c>
      <c r="I52" s="5">
        <v>57.4</v>
      </c>
      <c r="J52" s="5">
        <v>0</v>
      </c>
      <c r="K52" s="5">
        <v>15.7</v>
      </c>
      <c r="L52" s="5">
        <v>15.7</v>
      </c>
      <c r="M52" s="5">
        <v>13.8</v>
      </c>
      <c r="N52" s="5">
        <v>1.9</v>
      </c>
      <c r="O52" s="5">
        <v>0</v>
      </c>
      <c r="P52" s="5">
        <v>4.9000000000000004</v>
      </c>
      <c r="Q52" s="5">
        <v>6.3</v>
      </c>
      <c r="R52" s="5">
        <v>1.4</v>
      </c>
      <c r="S52" s="5">
        <v>1.8</v>
      </c>
      <c r="T52" s="5">
        <v>2</v>
      </c>
      <c r="U52" s="5">
        <v>5</v>
      </c>
      <c r="V52" s="5">
        <v>1.7</v>
      </c>
      <c r="W52" s="5">
        <v>0</v>
      </c>
      <c r="X52" s="5">
        <v>10</v>
      </c>
      <c r="Y52" s="5">
        <v>0</v>
      </c>
      <c r="Z52" s="5">
        <v>0.23</v>
      </c>
      <c r="AA52" s="5">
        <v>4.2</v>
      </c>
      <c r="AB52" s="5">
        <v>2.7</v>
      </c>
      <c r="AC52" s="5">
        <v>0.24</v>
      </c>
      <c r="AD52" s="5">
        <v>3.8</v>
      </c>
      <c r="AE52" s="5">
        <v>0.3</v>
      </c>
      <c r="AF52" s="5">
        <v>124</v>
      </c>
      <c r="AG52" s="5">
        <v>2</v>
      </c>
      <c r="AH52" s="5">
        <v>0.28999999999999998</v>
      </c>
      <c r="AI52" s="5">
        <v>0</v>
      </c>
      <c r="AJ52" s="5">
        <v>4.5</v>
      </c>
      <c r="AK52" s="5">
        <v>136</v>
      </c>
      <c r="AL52" s="5">
        <v>206</v>
      </c>
      <c r="AM52" s="5">
        <v>2.4</v>
      </c>
      <c r="AN52" s="5">
        <v>0</v>
      </c>
      <c r="AO52" s="5">
        <v>1.3</v>
      </c>
      <c r="AP52" s="5">
        <v>56</v>
      </c>
      <c r="AQ52" s="5">
        <v>569</v>
      </c>
      <c r="AR52" s="5">
        <v>333</v>
      </c>
      <c r="AS52" s="5">
        <v>0.95</v>
      </c>
      <c r="AT52" s="5">
        <v>0.2</v>
      </c>
      <c r="AU52" s="5">
        <v>22.6</v>
      </c>
      <c r="AV52" s="5">
        <f>IFERROR(VLOOKUP(IFERROR(VLOOKUP(D52,Mapa_Similitud!$A$2:$B$2000,2,FALSE()),D52),Hoja1!$A$2:$K$1000,2,FALSE()),IFERROR(VLOOKUP(IFERROR(VLOOKUP(D52,Mapa_Similitud!$A$2:$B$2000,2,FALSE()),D52),Omega3_Referencia!$A$2:$E$100,3,FALSE()),0))</f>
        <v>0.1</v>
      </c>
      <c r="AW52" s="3" t="str">
        <f>IFERROR(VLOOKUP(IFERROR(VLOOKUP(D52,Mapa_Similitud!$A$2:$B$2000,2,FALSE()),D52),Hoja1!$A$2:$K$1000,3,FALSE()),IFERROR(VLOOKUP(IFERROR(VLOOKUP(D52,Mapa_Similitud!$A$2:$B$2000,2,FALSE()),D52),Omega3_Referencia!$A$2:$E$100,4,FALSE()),"N/A"))</f>
        <v>ALA</v>
      </c>
      <c r="AX52" s="5">
        <f>IFERROR(VLOOKUP(IFERROR(VLOOKUP(D52,Mapa_Similitud!$A$2:$B$2000,2,FALSE()),D52),Hoja1!$A$2:$K$1000,5,FALSE()),0)</f>
        <v>0.2</v>
      </c>
      <c r="AY52" s="5">
        <f>IFERROR(VLOOKUP(IFERROR(VLOOKUP(D52,Mapa_Similitud!$A$2:$B$2000,2,FALSE()),D52),Hoja1!$A$2:$K$1000,7,FALSE()),0)</f>
        <v>40</v>
      </c>
      <c r="AZ52" s="5">
        <f>IFERROR(VLOOKUP(IFERROR(VLOOKUP(D52,Mapa_Similitud!$A$2:$B$2000,2,FALSE()),D52),Hoja1!$A$2:$K$1000,9,FALSE()),0)</f>
        <v>0</v>
      </c>
      <c r="BA52" s="25">
        <f t="shared" si="0"/>
        <v>8.1770833333333334E-2</v>
      </c>
      <c r="BB52" s="25">
        <f t="shared" si="1"/>
        <v>2.5520833333333336E-2</v>
      </c>
      <c r="BC52" s="25">
        <f t="shared" si="2"/>
        <v>0.70833333333333337</v>
      </c>
      <c r="BD52" s="25">
        <f t="shared" si="3"/>
        <v>1.2499999999999999E-2</v>
      </c>
      <c r="BE52" s="25">
        <f t="shared" si="4"/>
        <v>2.9635416666666665</v>
      </c>
      <c r="BF52" s="25">
        <f t="shared" si="5"/>
        <v>1.4285714285714286</v>
      </c>
      <c r="BG52" s="25">
        <f t="shared" si="6"/>
        <v>0.66019417475728159</v>
      </c>
      <c r="BH52" s="25">
        <f t="shared" si="7"/>
        <v>0.22222222222222221</v>
      </c>
      <c r="BI52" s="25">
        <f t="shared" si="8"/>
        <v>1.7087087087087087</v>
      </c>
      <c r="BJ52" s="25">
        <f t="shared" si="9"/>
        <v>0.12101910828025478</v>
      </c>
      <c r="BK52" s="25">
        <f t="shared" si="10"/>
        <v>0.31210191082802552</v>
      </c>
      <c r="BL52" s="25">
        <f t="shared" si="11"/>
        <v>0.29531249999999998</v>
      </c>
      <c r="BM52" s="25">
        <f t="shared" si="12"/>
        <v>0.29166666666666669</v>
      </c>
      <c r="BN52" s="18" t="str">
        <f t="shared" si="18"/>
        <v>Baja fuente de proteína</v>
      </c>
      <c r="BO52" s="18" t="str">
        <f t="shared" si="19"/>
        <v>Media fuente de fibra</v>
      </c>
      <c r="BP52" s="18" t="str">
        <f t="shared" si="20"/>
        <v>Baja fuente de calcio</v>
      </c>
      <c r="BQ52" s="18" t="str">
        <f t="shared" si="21"/>
        <v>Media fuente de hierro</v>
      </c>
      <c r="BR52" s="18" t="str">
        <f t="shared" si="22"/>
        <v>Muy alto en sodio</v>
      </c>
      <c r="BS52" s="6" t="str">
        <f t="shared" si="13"/>
        <v>Ligeramente antiinflamatorio</v>
      </c>
      <c r="BT52" s="6" t="str">
        <f t="shared" si="14"/>
        <v>Moderado en grasas</v>
      </c>
      <c r="BU52" s="18" t="str">
        <f t="shared" si="23"/>
        <v>Alto riesgo de retención de líquidos</v>
      </c>
      <c r="BV52" s="18" t="str">
        <f t="shared" si="24"/>
        <v>Media fuente de magnesio</v>
      </c>
      <c r="BW52" s="18" t="str">
        <f t="shared" si="25"/>
        <v>Sin aporte de Omega 3</v>
      </c>
      <c r="BX52" s="18" t="str">
        <f t="shared" si="26"/>
        <v>Contiene grasas trans</v>
      </c>
      <c r="BY52" s="18" t="str">
        <f t="shared" si="27"/>
        <v>Medio poder antioxidante</v>
      </c>
      <c r="BZ52" s="6" t="str">
        <f t="shared" si="15"/>
        <v>Sin probióticos</v>
      </c>
      <c r="CA52" s="18" t="str">
        <f t="shared" si="28"/>
        <v>Moderadamente inflamatorio</v>
      </c>
      <c r="CB52" s="18" t="str">
        <f>IF(ISNUMBER(SEARCH("miel", D52)), "No irritante (Uso condicionado SII)", IF(OR(J52&gt;0, ISNUMBER(SEARCH("cacao", D52)), ISNUMBER(SEARCH("chocolate puro", D52))), "Altamente irritante", IF(OR(AND(O52&gt;15, BI52&gt;1), ISNUMBER(SEARCH("chocolate", D52))), "Moderadamente irritante", "No irritante")))</f>
        <v>No irritante</v>
      </c>
      <c r="CC52" s="6" t="str">
        <f t="shared" si="16"/>
        <v>Exceso relativo de Omega 6</v>
      </c>
    </row>
    <row r="53" spans="1:81" ht="15" customHeight="1" x14ac:dyDescent="0.3">
      <c r="A53" s="2">
        <f t="shared" si="17"/>
        <v>52</v>
      </c>
      <c r="B53" s="3" t="s">
        <v>134</v>
      </c>
      <c r="C53" s="3" t="s">
        <v>135</v>
      </c>
      <c r="D53" s="3" t="s">
        <v>141</v>
      </c>
      <c r="E53" s="3"/>
      <c r="F53" s="4">
        <v>1.8</v>
      </c>
      <c r="G53" s="5">
        <v>1</v>
      </c>
      <c r="H53" s="5">
        <v>475</v>
      </c>
      <c r="I53" s="5">
        <v>5</v>
      </c>
      <c r="J53" s="5">
        <v>0</v>
      </c>
      <c r="K53" s="5">
        <v>36.799999999999997</v>
      </c>
      <c r="L53" s="5">
        <v>23.5</v>
      </c>
      <c r="M53" s="5">
        <v>10.8</v>
      </c>
      <c r="N53" s="5">
        <v>12.7</v>
      </c>
      <c r="O53" s="5">
        <v>0</v>
      </c>
      <c r="P53" s="5">
        <v>11.2</v>
      </c>
      <c r="Q53" s="5">
        <v>23.5</v>
      </c>
      <c r="R53" s="5">
        <v>2.9</v>
      </c>
      <c r="S53" s="5">
        <v>11.4</v>
      </c>
      <c r="T53" s="5">
        <v>4.5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1.5</v>
      </c>
      <c r="AA53" s="5">
        <v>70</v>
      </c>
      <c r="AB53" s="5">
        <v>0.75</v>
      </c>
      <c r="AC53" s="5">
        <v>0.28000000000000003</v>
      </c>
      <c r="AD53" s="5">
        <v>10.6</v>
      </c>
      <c r="AE53" s="5">
        <v>0.46</v>
      </c>
      <c r="AF53" s="5">
        <v>345</v>
      </c>
      <c r="AG53" s="5">
        <v>0</v>
      </c>
      <c r="AH53" s="5">
        <v>1.8</v>
      </c>
      <c r="AI53" s="5">
        <v>0</v>
      </c>
      <c r="AJ53" s="5">
        <v>0</v>
      </c>
      <c r="AK53" s="5">
        <v>210</v>
      </c>
      <c r="AL53" s="5">
        <v>600</v>
      </c>
      <c r="AM53" s="5">
        <v>6.9</v>
      </c>
      <c r="AN53" s="5">
        <v>0</v>
      </c>
      <c r="AO53" s="5">
        <v>3.9</v>
      </c>
      <c r="AP53" s="5">
        <v>240</v>
      </c>
      <c r="AQ53" s="5">
        <v>9</v>
      </c>
      <c r="AR53" s="5">
        <v>1660</v>
      </c>
      <c r="AS53" s="5">
        <v>4</v>
      </c>
      <c r="AT53" s="5">
        <v>2.9</v>
      </c>
      <c r="AU53" s="5">
        <v>9</v>
      </c>
      <c r="AV53" s="5">
        <f>IFERROR(VLOOKUP(IFERROR(VLOOKUP(D53,Mapa_Similitud!$A$2:$B$2000,2,FALSE()),D53),Hoja1!$A$2:$K$1000,2,FALSE()),IFERROR(VLOOKUP(IFERROR(VLOOKUP(D53,Mapa_Similitud!$A$2:$B$2000,2,FALSE()),D53),Omega3_Referencia!$A$2:$E$100,3,FALSE()),0))</f>
        <v>1.05</v>
      </c>
      <c r="AW53" s="3" t="str">
        <f>IFERROR(VLOOKUP(IFERROR(VLOOKUP(D53,Mapa_Similitud!$A$2:$B$2000,2,FALSE()),D53),Hoja1!$A$2:$K$1000,3,FALSE()),IFERROR(VLOOKUP(IFERROR(VLOOKUP(D53,Mapa_Similitud!$A$2:$B$2000,2,FALSE()),D53),Omega3_Referencia!$A$2:$E$100,4,FALSE()),"N/A"))</f>
        <v>ALA</v>
      </c>
      <c r="AX53" s="5">
        <f>IFERROR(VLOOKUP(IFERROR(VLOOKUP(D53,Mapa_Similitud!$A$2:$B$2000,2,FALSE()),D53),Hoja1!$A$2:$K$1000,5,FALSE()),0)</f>
        <v>0</v>
      </c>
      <c r="AY53" s="5">
        <f>IFERROR(VLOOKUP(IFERROR(VLOOKUP(D53,Mapa_Similitud!$A$2:$B$2000,2,FALSE()),D53),Hoja1!$A$2:$K$1000,7,FALSE()),0)</f>
        <v>120</v>
      </c>
      <c r="AZ53" s="5">
        <f>IFERROR(VLOOKUP(IFERROR(VLOOKUP(D53,Mapa_Similitud!$A$2:$B$2000,2,FALSE()),D53),Hoja1!$A$2:$K$1000,9,FALSE()),0)</f>
        <v>0</v>
      </c>
      <c r="BA53" s="25">
        <f t="shared" si="0"/>
        <v>7.7473684210526306E-2</v>
      </c>
      <c r="BB53" s="25">
        <f t="shared" si="1"/>
        <v>2.357894736842105E-2</v>
      </c>
      <c r="BC53" s="25">
        <f t="shared" si="2"/>
        <v>0.44210526315789472</v>
      </c>
      <c r="BD53" s="25">
        <f t="shared" si="3"/>
        <v>1.4526315789473686E-2</v>
      </c>
      <c r="BE53" s="25">
        <f t="shared" si="4"/>
        <v>1.8947368421052633E-2</v>
      </c>
      <c r="BF53" s="25">
        <f t="shared" si="5"/>
        <v>1.5517241379310345</v>
      </c>
      <c r="BG53" s="25">
        <f t="shared" si="6"/>
        <v>0.35</v>
      </c>
      <c r="BH53" s="25">
        <f t="shared" si="7"/>
        <v>0.12340425531914893</v>
      </c>
      <c r="BI53" s="25">
        <f t="shared" si="8"/>
        <v>5.4216867469879517E-3</v>
      </c>
      <c r="BJ53" s="25">
        <f t="shared" si="9"/>
        <v>0.54042553191489362</v>
      </c>
      <c r="BK53" s="25">
        <f t="shared" si="10"/>
        <v>0.47659574468085103</v>
      </c>
      <c r="BL53" s="25">
        <f t="shared" si="11"/>
        <v>0.44526315789473686</v>
      </c>
      <c r="BM53" s="25">
        <f t="shared" si="12"/>
        <v>0.50526315789473686</v>
      </c>
      <c r="BN53" s="18" t="str">
        <f t="shared" si="18"/>
        <v>Baja fuente de proteína</v>
      </c>
      <c r="BO53" s="18" t="str">
        <f t="shared" si="19"/>
        <v>Media fuente de fibra</v>
      </c>
      <c r="BP53" s="18" t="str">
        <f t="shared" si="20"/>
        <v>Baja fuente de calcio</v>
      </c>
      <c r="BQ53" s="18" t="str">
        <f t="shared" si="21"/>
        <v>Media fuente de hierro</v>
      </c>
      <c r="BR53" s="18" t="str">
        <f t="shared" si="22"/>
        <v>Bajo en sodio</v>
      </c>
      <c r="BS53" s="6" t="str">
        <f t="shared" si="13"/>
        <v>Ligeramente antiinflamatorio</v>
      </c>
      <c r="BT53" s="6" t="str">
        <f t="shared" si="14"/>
        <v>Muy alto en grasas</v>
      </c>
      <c r="BU53" s="18" t="str">
        <f t="shared" si="23"/>
        <v>Equilibrio de líquidos ideal</v>
      </c>
      <c r="BV53" s="18" t="str">
        <f t="shared" si="24"/>
        <v>Alta fuente de magnesio</v>
      </c>
      <c r="BW53" s="18" t="str">
        <f t="shared" si="25"/>
        <v>Alta fuente de Omega 3</v>
      </c>
      <c r="BX53" s="18" t="str">
        <f t="shared" si="26"/>
        <v>Libre de grasas trans</v>
      </c>
      <c r="BY53" s="18" t="str">
        <f t="shared" si="27"/>
        <v>Alto poder antioxidante</v>
      </c>
      <c r="BZ53" s="6" t="str">
        <f t="shared" si="15"/>
        <v>Sin probióticos</v>
      </c>
      <c r="CA53" s="18" t="str">
        <f t="shared" si="28"/>
        <v>Antiinflamatorio</v>
      </c>
      <c r="CB53" s="18" t="str">
        <f>IF(ISNUMBER(SEARCH("miel", D53)), "No irritante (Uso condicionado SII)", IF(OR(J53&gt;0, ISNUMBER(SEARCH("cacao", D53)), ISNUMBER(SEARCH("chocolate puro", D53))), "Altamente irritante", IF(OR(AND(O53&gt;15, BI53&gt;1), ISNUMBER(SEARCH("chocolate", D53))), "Moderadamente irritante", "No irritante")))</f>
        <v>No irritante</v>
      </c>
      <c r="CC53" s="6" t="str">
        <f t="shared" si="16"/>
        <v>Balance de omegas favorable</v>
      </c>
    </row>
    <row r="54" spans="1:81" ht="15" customHeight="1" x14ac:dyDescent="0.3">
      <c r="A54" s="2">
        <f t="shared" si="17"/>
        <v>53</v>
      </c>
      <c r="B54" s="3" t="s">
        <v>134</v>
      </c>
      <c r="C54" s="3" t="s">
        <v>135</v>
      </c>
      <c r="D54" s="3" t="s">
        <v>142</v>
      </c>
      <c r="E54" s="3"/>
      <c r="F54" s="4">
        <v>8</v>
      </c>
      <c r="G54" s="5">
        <v>1</v>
      </c>
      <c r="H54" s="5">
        <v>501</v>
      </c>
      <c r="I54" s="5">
        <v>41.1</v>
      </c>
      <c r="J54" s="5">
        <v>0</v>
      </c>
      <c r="K54" s="5">
        <v>0</v>
      </c>
      <c r="L54" s="5">
        <v>5.9</v>
      </c>
      <c r="M54" s="5">
        <v>3</v>
      </c>
      <c r="N54" s="5">
        <v>2.9</v>
      </c>
      <c r="O54" s="5">
        <v>0</v>
      </c>
      <c r="P54" s="5">
        <v>0</v>
      </c>
      <c r="Q54" s="5">
        <v>53</v>
      </c>
      <c r="R54" s="5">
        <v>13</v>
      </c>
      <c r="S54" s="5">
        <v>5</v>
      </c>
      <c r="T54" s="5">
        <v>35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3.1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1.2</v>
      </c>
      <c r="AS54" s="5">
        <v>0</v>
      </c>
      <c r="AT54" s="5">
        <v>0</v>
      </c>
      <c r="AU54" s="5">
        <v>0</v>
      </c>
      <c r="AV54" s="5">
        <f>IFERROR(VLOOKUP(IFERROR(VLOOKUP(D54,Mapa_Similitud!$A$2:$B$2000,2,FALSE()),D54),Hoja1!$A$2:$K$1000,2,FALSE()),IFERROR(VLOOKUP(IFERROR(VLOOKUP(D54,Mapa_Similitud!$A$2:$B$2000,2,FALSE()),D54),Omega3_Referencia!$A$2:$E$100,3,FALSE()),0))</f>
        <v>0</v>
      </c>
      <c r="AW54" s="3" t="str">
        <f>IFERROR(VLOOKUP(IFERROR(VLOOKUP(D54,Mapa_Similitud!$A$2:$B$2000,2,FALSE()),D54),Hoja1!$A$2:$K$1000,3,FALSE()),IFERROR(VLOOKUP(IFERROR(VLOOKUP(D54,Mapa_Similitud!$A$2:$B$2000,2,FALSE()),D54),Omega3_Referencia!$A$2:$E$100,4,FALSE()),"N/A"))</f>
        <v>N/A</v>
      </c>
      <c r="AX54" s="5">
        <f>IFERROR(VLOOKUP(IFERROR(VLOOKUP(D54,Mapa_Similitud!$A$2:$B$2000,2,FALSE()),D54),Hoja1!$A$2:$K$1000,5,FALSE()),0)</f>
        <v>0</v>
      </c>
      <c r="AY54" s="5">
        <f>IFERROR(VLOOKUP(IFERROR(VLOOKUP(D54,Mapa_Similitud!$A$2:$B$2000,2,FALSE()),D54),Hoja1!$A$2:$K$1000,7,FALSE()),0)</f>
        <v>0</v>
      </c>
      <c r="AZ54" s="5">
        <f>IFERROR(VLOOKUP(IFERROR(VLOOKUP(D54,Mapa_Similitud!$A$2:$B$2000,2,FALSE()),D54),Hoja1!$A$2:$K$1000,9,FALSE()),0)</f>
        <v>0</v>
      </c>
      <c r="BA54" s="25">
        <f t="shared" si="0"/>
        <v>0</v>
      </c>
      <c r="BB54" s="25">
        <f t="shared" si="1"/>
        <v>0</v>
      </c>
      <c r="BC54" s="25">
        <f t="shared" si="2"/>
        <v>0</v>
      </c>
      <c r="BD54" s="25">
        <f t="shared" si="3"/>
        <v>0</v>
      </c>
      <c r="BE54" s="25">
        <f t="shared" si="4"/>
        <v>0</v>
      </c>
      <c r="BF54" s="25">
        <f t="shared" si="5"/>
        <v>2.6923076923076925</v>
      </c>
      <c r="BG54" s="25">
        <f t="shared" si="6"/>
        <v>0</v>
      </c>
      <c r="BH54" s="25">
        <f t="shared" si="7"/>
        <v>0.24528301886792453</v>
      </c>
      <c r="BI54" s="25">
        <f t="shared" si="8"/>
        <v>0</v>
      </c>
      <c r="BJ54" s="25">
        <f t="shared" si="9"/>
        <v>0.49152542372881353</v>
      </c>
      <c r="BK54" s="25">
        <f t="shared" si="10"/>
        <v>0</v>
      </c>
      <c r="BL54" s="25">
        <f t="shared" si="11"/>
        <v>0.95209580838323349</v>
      </c>
      <c r="BM54" s="25">
        <f t="shared" si="12"/>
        <v>0</v>
      </c>
      <c r="BN54" s="18" t="str">
        <f t="shared" si="18"/>
        <v>Baja fuente de proteína</v>
      </c>
      <c r="BO54" s="18" t="str">
        <f t="shared" si="19"/>
        <v>Baja fuente de fibra</v>
      </c>
      <c r="BP54" s="18" t="str">
        <f t="shared" si="20"/>
        <v>Baja fuente de calcio</v>
      </c>
      <c r="BQ54" s="18" t="str">
        <f t="shared" si="21"/>
        <v>Baja fuente de hierro</v>
      </c>
      <c r="BR54" s="18" t="str">
        <f t="shared" si="22"/>
        <v>Bajo en sodio</v>
      </c>
      <c r="BS54" s="6" t="str">
        <f t="shared" si="13"/>
        <v>Altamente antiinflamatorio</v>
      </c>
      <c r="BT54" s="6" t="str">
        <f t="shared" si="14"/>
        <v>Muy alto en grasas</v>
      </c>
      <c r="BU54" s="18" t="str">
        <f t="shared" si="23"/>
        <v>Equilibrio de líquidos ideal</v>
      </c>
      <c r="BV54" s="18" t="str">
        <f t="shared" si="24"/>
        <v>Baja fuente de magnesio</v>
      </c>
      <c r="BW54" s="18" t="str">
        <f t="shared" si="25"/>
        <v>Sin aporte de Omega 3</v>
      </c>
      <c r="BX54" s="18" t="str">
        <f t="shared" si="26"/>
        <v>Libre de grasas trans</v>
      </c>
      <c r="BY54" s="18" t="str">
        <f t="shared" si="27"/>
        <v>Bajo poder antioxidante</v>
      </c>
      <c r="BZ54" s="6" t="str">
        <f t="shared" si="15"/>
        <v>Sin probióticos</v>
      </c>
      <c r="CA54" s="18" t="str">
        <f t="shared" si="28"/>
        <v>Poco inflamatorio</v>
      </c>
      <c r="CB54" s="18" t="str">
        <f>IF(ISNUMBER(SEARCH("miel", D54)), "No irritante (Uso condicionado SII)", IF(OR(J54&gt;0, ISNUMBER(SEARCH("cacao", D54)), ISNUMBER(SEARCH("chocolate puro", D54))), "Altamente irritante", IF(OR(AND(O54&gt;15, BI54&gt;1), ISNUMBER(SEARCH("chocolate", D54))), "Moderadamente irritante", "No irritante")))</f>
        <v>No irritante</v>
      </c>
      <c r="CC54" s="6" t="str">
        <f t="shared" si="16"/>
        <v>Sin Omega 3 para evaluar</v>
      </c>
    </row>
    <row r="55" spans="1:81" ht="15" customHeight="1" x14ac:dyDescent="0.3">
      <c r="A55" s="2">
        <f t="shared" si="17"/>
        <v>54</v>
      </c>
      <c r="B55" s="3" t="s">
        <v>134</v>
      </c>
      <c r="C55" s="3" t="s">
        <v>135</v>
      </c>
      <c r="D55" s="3" t="s">
        <v>143</v>
      </c>
      <c r="E55" s="3" t="s">
        <v>144</v>
      </c>
      <c r="F55" s="4">
        <v>0.8</v>
      </c>
      <c r="G55" s="5">
        <v>1</v>
      </c>
      <c r="H55" s="5">
        <v>129</v>
      </c>
      <c r="I55" s="5">
        <v>67.7</v>
      </c>
      <c r="J55" s="5">
        <v>0</v>
      </c>
      <c r="K55" s="5">
        <v>9</v>
      </c>
      <c r="L55" s="5">
        <v>22.1</v>
      </c>
      <c r="M55" s="5">
        <v>0</v>
      </c>
      <c r="N55" s="5">
        <v>0</v>
      </c>
      <c r="O55" s="5">
        <v>0</v>
      </c>
      <c r="P55" s="5">
        <v>0</v>
      </c>
      <c r="Q55" s="5">
        <v>0.55000000000000004</v>
      </c>
      <c r="R55" s="5">
        <v>5.7000000000000002E-2</v>
      </c>
      <c r="S55" s="5">
        <v>0.1</v>
      </c>
      <c r="T55" s="5">
        <v>0.22</v>
      </c>
      <c r="U55" s="5">
        <v>0</v>
      </c>
      <c r="V55" s="5">
        <v>2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0.23</v>
      </c>
      <c r="AC55" s="5">
        <v>0.13</v>
      </c>
      <c r="AD55" s="5">
        <v>1.1000000000000001</v>
      </c>
      <c r="AE55" s="5">
        <v>0.19</v>
      </c>
      <c r="AF55" s="5">
        <v>100</v>
      </c>
      <c r="AG55" s="5">
        <v>0</v>
      </c>
      <c r="AH55" s="5">
        <v>0</v>
      </c>
      <c r="AI55" s="5">
        <v>0</v>
      </c>
      <c r="AJ55" s="5">
        <v>16.5</v>
      </c>
      <c r="AK55" s="5">
        <v>25</v>
      </c>
      <c r="AL55" s="5">
        <v>173</v>
      </c>
      <c r="AM55" s="5">
        <v>3.2</v>
      </c>
      <c r="AN55" s="5">
        <v>0</v>
      </c>
      <c r="AO55" s="5">
        <v>1.5</v>
      </c>
      <c r="AP55" s="5">
        <v>37</v>
      </c>
      <c r="AQ55" s="5">
        <v>11</v>
      </c>
      <c r="AR55" s="5">
        <v>322</v>
      </c>
      <c r="AS55" s="5">
        <v>0</v>
      </c>
      <c r="AT55" s="5">
        <v>0</v>
      </c>
      <c r="AU55" s="5">
        <v>0.6</v>
      </c>
      <c r="AV55" s="5">
        <f>IFERROR(VLOOKUP(IFERROR(VLOOKUP(D55,Mapa_Similitud!$A$2:$B$2000,2,FALSE()),D55),Hoja1!$A$2:$K$1000,2,FALSE()),IFERROR(VLOOKUP(IFERROR(VLOOKUP(D55,Mapa_Similitud!$A$2:$B$2000,2,FALSE()),D55),Omega3_Referencia!$A$2:$E$100,3,FALSE()),0))</f>
        <v>0.11</v>
      </c>
      <c r="AW55" s="3" t="str">
        <f>IFERROR(VLOOKUP(IFERROR(VLOOKUP(D55,Mapa_Similitud!$A$2:$B$2000,2,FALSE()),D55),Hoja1!$A$2:$K$1000,3,FALSE()),IFERROR(VLOOKUP(IFERROR(VLOOKUP(D55,Mapa_Similitud!$A$2:$B$2000,2,FALSE()),D55),Omega3_Referencia!$A$2:$E$100,4,FALSE()),"N/A"))</f>
        <v>ALA</v>
      </c>
      <c r="AX55" s="5">
        <f>IFERROR(VLOOKUP(IFERROR(VLOOKUP(D55,Mapa_Similitud!$A$2:$B$2000,2,FALSE()),D55),Hoja1!$A$2:$K$1000,5,FALSE()),0)</f>
        <v>0</v>
      </c>
      <c r="AY55" s="5">
        <f>IFERROR(VLOOKUP(IFERROR(VLOOKUP(D55,Mapa_Similitud!$A$2:$B$2000,2,FALSE()),D55),Hoja1!$A$2:$K$1000,7,FALSE()),0)</f>
        <v>120</v>
      </c>
      <c r="AZ55" s="5">
        <f>IFERROR(VLOOKUP(IFERROR(VLOOKUP(D55,Mapa_Similitud!$A$2:$B$2000,2,FALSE()),D55),Hoja1!$A$2:$K$1000,9,FALSE()),0)</f>
        <v>0</v>
      </c>
      <c r="BA55" s="25">
        <f t="shared" si="0"/>
        <v>6.9767441860465115E-2</v>
      </c>
      <c r="BB55" s="25">
        <f t="shared" si="1"/>
        <v>0</v>
      </c>
      <c r="BC55" s="25">
        <f t="shared" si="2"/>
        <v>0.19379844961240311</v>
      </c>
      <c r="BD55" s="25">
        <f t="shared" si="3"/>
        <v>2.4806201550387597E-2</v>
      </c>
      <c r="BE55" s="25">
        <f t="shared" si="4"/>
        <v>8.5271317829457363E-2</v>
      </c>
      <c r="BF55" s="25">
        <f t="shared" si="5"/>
        <v>3.8596491228070176</v>
      </c>
      <c r="BG55" s="25">
        <f t="shared" si="6"/>
        <v>0.14450867052023122</v>
      </c>
      <c r="BH55" s="25">
        <f t="shared" si="7"/>
        <v>0.10363636363636364</v>
      </c>
      <c r="BI55" s="25">
        <f t="shared" si="8"/>
        <v>3.4161490683229816E-2</v>
      </c>
      <c r="BJ55" s="25">
        <f t="shared" si="9"/>
        <v>0</v>
      </c>
      <c r="BK55" s="25">
        <f t="shared" si="10"/>
        <v>0</v>
      </c>
      <c r="BL55" s="25">
        <f t="shared" si="11"/>
        <v>3.8372093023255817E-2</v>
      </c>
      <c r="BM55" s="25">
        <f t="shared" si="12"/>
        <v>0.2868217054263566</v>
      </c>
      <c r="BN55" s="18" t="str">
        <f t="shared" si="18"/>
        <v>Baja fuente de proteína</v>
      </c>
      <c r="BO55" s="18" t="str">
        <f t="shared" si="19"/>
        <v>Baja fuente de fibra</v>
      </c>
      <c r="BP55" s="18" t="str">
        <f t="shared" si="20"/>
        <v>Baja fuente de calcio</v>
      </c>
      <c r="BQ55" s="18" t="str">
        <f t="shared" si="21"/>
        <v>Alta fuente de hierro</v>
      </c>
      <c r="BR55" s="18" t="str">
        <f t="shared" si="22"/>
        <v>Bajo en sodio</v>
      </c>
      <c r="BS55" s="6" t="str">
        <f t="shared" si="13"/>
        <v>Altamente antiinflamatorio</v>
      </c>
      <c r="BT55" s="6" t="str">
        <f t="shared" si="14"/>
        <v>Bajo en grasas</v>
      </c>
      <c r="BU55" s="18" t="str">
        <f t="shared" si="23"/>
        <v>Equilibrio de líquidos ideal</v>
      </c>
      <c r="BV55" s="18" t="str">
        <f t="shared" si="24"/>
        <v>Media fuente de magnesio</v>
      </c>
      <c r="BW55" s="18" t="str">
        <f t="shared" si="25"/>
        <v>Ligera fuente de Omega 3</v>
      </c>
      <c r="BX55" s="18" t="str">
        <f t="shared" si="26"/>
        <v>Libre de grasas trans</v>
      </c>
      <c r="BY55" s="18" t="str">
        <f t="shared" si="27"/>
        <v>Alto poder antioxidante</v>
      </c>
      <c r="BZ55" s="6" t="str">
        <f t="shared" si="15"/>
        <v>Sin probióticos</v>
      </c>
      <c r="CA55" s="18" t="str">
        <f t="shared" si="28"/>
        <v>Antiinflamatorio</v>
      </c>
      <c r="CB55" s="18" t="str">
        <f>IF(ISNUMBER(SEARCH("miel", D55)), "No irritante (Uso condicionado SII)", IF(OR(J55&gt;0, ISNUMBER(SEARCH("cacao", D55)), ISNUMBER(SEARCH("chocolate puro", D55))), "Altamente irritante", IF(OR(AND(O55&gt;15, BI55&gt;1), ISNUMBER(SEARCH("chocolate", D55))), "Moderadamente irritante", "No irritante")))</f>
        <v>No irritante</v>
      </c>
      <c r="CC55" s="6" t="str">
        <f t="shared" si="16"/>
        <v>Balance de omegas favorable</v>
      </c>
    </row>
    <row r="56" spans="1:81" ht="15" customHeight="1" x14ac:dyDescent="0.3">
      <c r="A56" s="2">
        <f t="shared" si="17"/>
        <v>55</v>
      </c>
      <c r="B56" s="3" t="s">
        <v>134</v>
      </c>
      <c r="C56" s="3" t="s">
        <v>135</v>
      </c>
      <c r="D56" s="3" t="s">
        <v>145</v>
      </c>
      <c r="E56" s="3"/>
      <c r="F56" s="4">
        <v>4.5</v>
      </c>
      <c r="G56" s="5">
        <v>1</v>
      </c>
      <c r="H56" s="5">
        <v>283</v>
      </c>
      <c r="I56" s="5">
        <v>50.4</v>
      </c>
      <c r="J56" s="5">
        <v>0</v>
      </c>
      <c r="K56" s="5">
        <v>18.5</v>
      </c>
      <c r="L56" s="5">
        <v>9.8000000000000007</v>
      </c>
      <c r="M56" s="5">
        <v>9.8000000000000007</v>
      </c>
      <c r="N56" s="5">
        <v>0</v>
      </c>
      <c r="O56" s="5">
        <v>0</v>
      </c>
      <c r="P56" s="5">
        <v>2.8</v>
      </c>
      <c r="Q56" s="5">
        <v>18.2</v>
      </c>
      <c r="R56" s="5">
        <v>2.9</v>
      </c>
      <c r="S56" s="5">
        <v>4.5</v>
      </c>
      <c r="T56" s="5">
        <v>9.3000000000000007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2.1</v>
      </c>
      <c r="AA56" s="5">
        <v>0</v>
      </c>
      <c r="AB56" s="5">
        <v>2.2999999999999998</v>
      </c>
      <c r="AC56" s="5">
        <v>11.2</v>
      </c>
      <c r="AD56" s="5">
        <v>0.83</v>
      </c>
      <c r="AE56" s="5">
        <v>0</v>
      </c>
      <c r="AF56" s="5">
        <v>0</v>
      </c>
      <c r="AG56" s="5">
        <v>26</v>
      </c>
      <c r="AH56" s="5">
        <v>0</v>
      </c>
      <c r="AI56" s="5">
        <v>0</v>
      </c>
      <c r="AJ56" s="5">
        <v>0</v>
      </c>
      <c r="AK56" s="5">
        <v>63</v>
      </c>
      <c r="AL56" s="5">
        <v>225</v>
      </c>
      <c r="AM56" s="5">
        <v>372</v>
      </c>
      <c r="AN56" s="5">
        <v>0</v>
      </c>
      <c r="AO56" s="5">
        <v>1.5</v>
      </c>
      <c r="AP56" s="5">
        <v>36</v>
      </c>
      <c r="AQ56" s="5">
        <v>888</v>
      </c>
      <c r="AR56" s="5">
        <v>231</v>
      </c>
      <c r="AS56" s="5">
        <v>0</v>
      </c>
      <c r="AT56" s="5">
        <v>0</v>
      </c>
      <c r="AU56" s="5">
        <v>144</v>
      </c>
      <c r="AV56" s="5">
        <f>IFERROR(VLOOKUP(IFERROR(VLOOKUP(D56,Mapa_Similitud!$A$2:$B$2000,2,FALSE()),D56),Hoja1!$A$2:$K$1000,2,FALSE()),IFERROR(VLOOKUP(IFERROR(VLOOKUP(D56,Mapa_Similitud!$A$2:$B$2000,2,FALSE()),D56),Omega3_Referencia!$A$2:$E$100,3,FALSE()),0))</f>
        <v>0.05</v>
      </c>
      <c r="AW56" s="3" t="str">
        <f>IFERROR(VLOOKUP(IFERROR(VLOOKUP(D56,Mapa_Similitud!$A$2:$B$2000,2,FALSE()),D56),Hoja1!$A$2:$K$1000,3,FALSE()),IFERROR(VLOOKUP(IFERROR(VLOOKUP(D56,Mapa_Similitud!$A$2:$B$2000,2,FALSE()),D56),Omega3_Referencia!$A$2:$E$100,4,FALSE()),"N/A"))</f>
        <v>ALA</v>
      </c>
      <c r="AX56" s="5">
        <f>IFERROR(VLOOKUP(IFERROR(VLOOKUP(D56,Mapa_Similitud!$A$2:$B$2000,2,FALSE()),D56),Hoja1!$A$2:$K$1000,5,FALSE()),0)</f>
        <v>0.3</v>
      </c>
      <c r="AY56" s="5">
        <f>IFERROR(VLOOKUP(IFERROR(VLOOKUP(D56,Mapa_Similitud!$A$2:$B$2000,2,FALSE()),D56),Hoja1!$A$2:$K$1000,7,FALSE()),0)</f>
        <v>20</v>
      </c>
      <c r="AZ56" s="5">
        <f>IFERROR(VLOOKUP(IFERROR(VLOOKUP(D56,Mapa_Similitud!$A$2:$B$2000,2,FALSE()),D56),Hoja1!$A$2:$K$1000,9,FALSE()),0)</f>
        <v>0</v>
      </c>
      <c r="BA56" s="25">
        <f t="shared" si="0"/>
        <v>6.5371024734982339E-2</v>
      </c>
      <c r="BB56" s="25">
        <f t="shared" si="1"/>
        <v>9.893992932862191E-3</v>
      </c>
      <c r="BC56" s="25">
        <f t="shared" si="2"/>
        <v>0.22261484098939929</v>
      </c>
      <c r="BD56" s="25">
        <f t="shared" si="3"/>
        <v>1.3144876325088339</v>
      </c>
      <c r="BE56" s="25">
        <f t="shared" si="4"/>
        <v>3.137809187279152</v>
      </c>
      <c r="BF56" s="25">
        <f t="shared" si="5"/>
        <v>3.2068965517241383</v>
      </c>
      <c r="BG56" s="25">
        <f t="shared" si="6"/>
        <v>0.28000000000000003</v>
      </c>
      <c r="BH56" s="25">
        <f t="shared" si="7"/>
        <v>0.15934065934065933</v>
      </c>
      <c r="BI56" s="25">
        <f t="shared" si="8"/>
        <v>3.8441558441558441</v>
      </c>
      <c r="BJ56" s="25">
        <f t="shared" si="9"/>
        <v>0</v>
      </c>
      <c r="BK56" s="25">
        <f t="shared" si="10"/>
        <v>0.2857142857142857</v>
      </c>
      <c r="BL56" s="25">
        <f t="shared" si="11"/>
        <v>0.5787985865724381</v>
      </c>
      <c r="BM56" s="25">
        <f t="shared" si="12"/>
        <v>0.12720848056537101</v>
      </c>
      <c r="BN56" s="18" t="str">
        <f t="shared" si="18"/>
        <v>Baja fuente de proteína</v>
      </c>
      <c r="BO56" s="18" t="str">
        <f t="shared" si="19"/>
        <v>Baja fuente de fibra</v>
      </c>
      <c r="BP56" s="18" t="str">
        <f t="shared" si="20"/>
        <v>Baja fuente de calcio</v>
      </c>
      <c r="BQ56" s="18" t="str">
        <f t="shared" si="21"/>
        <v>Alta fuente de hierro</v>
      </c>
      <c r="BR56" s="18" t="str">
        <f t="shared" si="22"/>
        <v>Muy alto en sodio</v>
      </c>
      <c r="BS56" s="6" t="str">
        <f t="shared" si="13"/>
        <v>Altamente antiinflamatorio</v>
      </c>
      <c r="BT56" s="6" t="str">
        <f t="shared" si="14"/>
        <v>Muy alto en grasas</v>
      </c>
      <c r="BU56" s="18" t="str">
        <f t="shared" si="23"/>
        <v>Alto riesgo de retención de líquidos</v>
      </c>
      <c r="BV56" s="18" t="str">
        <f t="shared" si="24"/>
        <v>Baja fuente de magnesio</v>
      </c>
      <c r="BW56" s="18" t="str">
        <f t="shared" si="25"/>
        <v>Sin aporte de Omega 3</v>
      </c>
      <c r="BX56" s="18" t="str">
        <f t="shared" si="26"/>
        <v>Contiene grasas trans</v>
      </c>
      <c r="BY56" s="18" t="str">
        <f t="shared" si="27"/>
        <v>Medio poder antioxidante</v>
      </c>
      <c r="BZ56" s="6" t="str">
        <f t="shared" si="15"/>
        <v>Sin probióticos</v>
      </c>
      <c r="CA56" s="18" t="str">
        <f t="shared" si="28"/>
        <v>Moderadamente inflamatorio</v>
      </c>
      <c r="CB56" s="18" t="str">
        <f>IF(ISNUMBER(SEARCH("miel", D56)), "No irritante (Uso condicionado SII)", IF(OR(J56&gt;0, ISNUMBER(SEARCH("cacao", D56)), ISNUMBER(SEARCH("chocolate puro", D56))), "Altamente irritante", IF(OR(AND(O56&gt;15, BI56&gt;1), ISNUMBER(SEARCH("chocolate", D56))), "Moderadamente irritante", "No irritante")))</f>
        <v>No irritante</v>
      </c>
      <c r="CC56" s="6" t="str">
        <f t="shared" si="16"/>
        <v>Exceso relativo de Omega 6</v>
      </c>
    </row>
    <row r="57" spans="1:81" ht="15" customHeight="1" x14ac:dyDescent="0.3">
      <c r="A57" s="2">
        <f t="shared" si="17"/>
        <v>56</v>
      </c>
      <c r="B57" s="3" t="s">
        <v>134</v>
      </c>
      <c r="C57" s="3" t="s">
        <v>135</v>
      </c>
      <c r="D57" s="3" t="s">
        <v>146</v>
      </c>
      <c r="E57" s="3"/>
      <c r="F57" s="4">
        <v>4.5999999999999996</v>
      </c>
      <c r="G57" s="5">
        <v>1</v>
      </c>
      <c r="H57" s="5">
        <v>104</v>
      </c>
      <c r="I57" s="5">
        <v>76</v>
      </c>
      <c r="J57" s="5">
        <v>0</v>
      </c>
      <c r="K57" s="5">
        <v>18</v>
      </c>
      <c r="L57" s="5">
        <v>3.5</v>
      </c>
      <c r="M57" s="5">
        <v>3</v>
      </c>
      <c r="N57" s="5">
        <v>0.5</v>
      </c>
      <c r="O57" s="5">
        <v>0</v>
      </c>
      <c r="P57" s="5">
        <v>0</v>
      </c>
      <c r="Q57" s="5">
        <v>1.5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7.8E-2</v>
      </c>
      <c r="AC57" s="5">
        <v>0.36</v>
      </c>
      <c r="AD57" s="5">
        <v>2.6</v>
      </c>
      <c r="AE57" s="5">
        <v>0.22</v>
      </c>
      <c r="AF57" s="5">
        <v>24</v>
      </c>
      <c r="AG57" s="5">
        <v>0.08</v>
      </c>
      <c r="AH57" s="5">
        <v>0</v>
      </c>
      <c r="AI57" s="5">
        <v>0</v>
      </c>
      <c r="AJ57" s="5">
        <v>0</v>
      </c>
      <c r="AK57" s="5">
        <v>111</v>
      </c>
      <c r="AL57" s="5">
        <v>266</v>
      </c>
      <c r="AM57" s="5">
        <v>2.7</v>
      </c>
      <c r="AN57" s="5">
        <v>0</v>
      </c>
      <c r="AO57" s="5">
        <v>1.1000000000000001</v>
      </c>
      <c r="AP57" s="5">
        <v>81</v>
      </c>
      <c r="AQ57" s="5">
        <v>9</v>
      </c>
      <c r="AR57" s="5">
        <v>412</v>
      </c>
      <c r="AS57" s="5">
        <v>0</v>
      </c>
      <c r="AT57" s="5">
        <v>0</v>
      </c>
      <c r="AU57" s="5">
        <v>0</v>
      </c>
      <c r="AV57" s="5">
        <f>IFERROR(VLOOKUP(IFERROR(VLOOKUP(D57,Mapa_Similitud!$A$2:$B$2000,2,FALSE()),D57),Hoja1!$A$2:$K$1000,2,FALSE()),IFERROR(VLOOKUP(IFERROR(VLOOKUP(D57,Mapa_Similitud!$A$2:$B$2000,2,FALSE()),D57),Omega3_Referencia!$A$2:$E$100,3,FALSE()),0))</f>
        <v>0.35</v>
      </c>
      <c r="AW57" s="3" t="str">
        <f>IFERROR(VLOOKUP(IFERROR(VLOOKUP(D57,Mapa_Similitud!$A$2:$B$2000,2,FALSE()),D57),Hoja1!$A$2:$K$1000,3,FALSE()),IFERROR(VLOOKUP(IFERROR(VLOOKUP(D57,Mapa_Similitud!$A$2:$B$2000,2,FALSE()),D57),Omega3_Referencia!$A$2:$E$100,4,FALSE()),"N/A"))</f>
        <v>ALA</v>
      </c>
      <c r="AX57" s="5">
        <f>IFERROR(VLOOKUP(IFERROR(VLOOKUP(D57,Mapa_Similitud!$A$2:$B$2000,2,FALSE()),D57),Hoja1!$A$2:$K$1000,5,FALSE()),0)</f>
        <v>0</v>
      </c>
      <c r="AY57" s="5">
        <f>IFERROR(VLOOKUP(IFERROR(VLOOKUP(D57,Mapa_Similitud!$A$2:$B$2000,2,FALSE()),D57),Hoja1!$A$2:$K$1000,7,FALSE()),0)</f>
        <v>110</v>
      </c>
      <c r="AZ57" s="5">
        <f>IFERROR(VLOOKUP(IFERROR(VLOOKUP(D57,Mapa_Similitud!$A$2:$B$2000,2,FALSE()),D57),Hoja1!$A$2:$K$1000,9,FALSE()),0)</f>
        <v>1</v>
      </c>
      <c r="BA57" s="25">
        <f t="shared" si="0"/>
        <v>0.17307692307692307</v>
      </c>
      <c r="BB57" s="25">
        <f t="shared" si="1"/>
        <v>0</v>
      </c>
      <c r="BC57" s="25">
        <f t="shared" si="2"/>
        <v>1.0673076923076923</v>
      </c>
      <c r="BD57" s="25">
        <f t="shared" si="3"/>
        <v>2.5961538461538463E-2</v>
      </c>
      <c r="BE57" s="25">
        <f t="shared" si="4"/>
        <v>8.6538461538461536E-2</v>
      </c>
      <c r="BF57" s="25">
        <f t="shared" si="5"/>
        <v>0</v>
      </c>
      <c r="BG57" s="25">
        <f t="shared" si="6"/>
        <v>0.41729323308270677</v>
      </c>
      <c r="BH57" s="25">
        <f t="shared" si="7"/>
        <v>0</v>
      </c>
      <c r="BI57" s="25">
        <f t="shared" si="8"/>
        <v>2.1844660194174758E-2</v>
      </c>
      <c r="BJ57" s="25">
        <f t="shared" si="9"/>
        <v>0.14285714285714285</v>
      </c>
      <c r="BK57" s="25">
        <f t="shared" si="10"/>
        <v>0</v>
      </c>
      <c r="BL57" s="25">
        <f t="shared" si="11"/>
        <v>0.12980769230769232</v>
      </c>
      <c r="BM57" s="25">
        <f t="shared" si="12"/>
        <v>0.77884615384615385</v>
      </c>
      <c r="BN57" s="18" t="str">
        <f t="shared" si="18"/>
        <v>Alta fuente de proteína</v>
      </c>
      <c r="BO57" s="18" t="str">
        <f t="shared" si="19"/>
        <v>Baja fuente de fibra</v>
      </c>
      <c r="BP57" s="18" t="str">
        <f t="shared" si="20"/>
        <v>Media fuente de calcio</v>
      </c>
      <c r="BQ57" s="18" t="str">
        <f t="shared" si="21"/>
        <v>Alta fuente de hierro</v>
      </c>
      <c r="BR57" s="18" t="str">
        <f t="shared" si="22"/>
        <v>Bajo en sodio</v>
      </c>
      <c r="BS57" s="6" t="str">
        <f t="shared" si="13"/>
        <v>Proinflamatorio</v>
      </c>
      <c r="BT57" s="6" t="str">
        <f t="shared" si="14"/>
        <v>Bajo en grasas</v>
      </c>
      <c r="BU57" s="18" t="str">
        <f t="shared" si="23"/>
        <v>Equilibrio de líquidos ideal</v>
      </c>
      <c r="BV57" s="18" t="str">
        <f t="shared" si="24"/>
        <v>Alta fuente de magnesio</v>
      </c>
      <c r="BW57" s="18" t="str">
        <f t="shared" si="25"/>
        <v>Ligera fuente de Omega 3</v>
      </c>
      <c r="BX57" s="18" t="str">
        <f t="shared" si="26"/>
        <v>Libre de grasas trans</v>
      </c>
      <c r="BY57" s="18" t="str">
        <f t="shared" si="27"/>
        <v>Alto poder antioxidante</v>
      </c>
      <c r="BZ57" s="6" t="str">
        <f t="shared" si="15"/>
        <v>Probiótico activo</v>
      </c>
      <c r="CA57" s="18" t="str">
        <f t="shared" si="28"/>
        <v>Antiinflamatorio</v>
      </c>
      <c r="CB57" s="18" t="str">
        <f>IF(ISNUMBER(SEARCH("miel", D57)), "No irritante (Uso condicionado SII)", IF(OR(J57&gt;0, ISNUMBER(SEARCH("cacao", D57)), ISNUMBER(SEARCH("chocolate puro", D57))), "Altamente irritante", IF(OR(AND(O57&gt;15, BI57&gt;1), ISNUMBER(SEARCH("chocolate", D57))), "Moderadamente irritante", "No irritante")))</f>
        <v>No irritante</v>
      </c>
      <c r="CC57" s="6" t="str">
        <f t="shared" si="16"/>
        <v>Balance de omegas favorable</v>
      </c>
    </row>
    <row r="58" spans="1:81" ht="15" customHeight="1" x14ac:dyDescent="0.3">
      <c r="A58" s="2">
        <f t="shared" si="17"/>
        <v>57</v>
      </c>
      <c r="B58" s="3" t="s">
        <v>134</v>
      </c>
      <c r="C58" s="3" t="s">
        <v>147</v>
      </c>
      <c r="D58" s="3" t="s">
        <v>148</v>
      </c>
      <c r="E58" s="3"/>
      <c r="F58" s="4">
        <v>1.8</v>
      </c>
      <c r="G58" s="5">
        <v>1</v>
      </c>
      <c r="H58" s="5">
        <v>120</v>
      </c>
      <c r="I58" s="5">
        <v>71.7</v>
      </c>
      <c r="J58" s="5">
        <v>0</v>
      </c>
      <c r="K58" s="5">
        <v>7.2</v>
      </c>
      <c r="L58" s="5">
        <v>14.1</v>
      </c>
      <c r="M58" s="5">
        <v>13.7</v>
      </c>
      <c r="N58" s="5">
        <v>0.4</v>
      </c>
      <c r="O58" s="5">
        <v>0</v>
      </c>
      <c r="P58" s="5">
        <v>4.0999999999999996</v>
      </c>
      <c r="Q58" s="5">
        <v>2.9</v>
      </c>
      <c r="R58" s="5">
        <v>0.31</v>
      </c>
      <c r="S58" s="5">
        <v>0.72</v>
      </c>
      <c r="T58" s="5">
        <v>1.3</v>
      </c>
      <c r="U58" s="5">
        <v>0</v>
      </c>
      <c r="V58" s="5">
        <v>3.5</v>
      </c>
      <c r="W58" s="5">
        <v>0</v>
      </c>
      <c r="X58" s="5">
        <v>21</v>
      </c>
      <c r="Y58" s="5">
        <v>0</v>
      </c>
      <c r="Z58" s="5">
        <v>1.6</v>
      </c>
      <c r="AA58" s="5">
        <v>132</v>
      </c>
      <c r="AB58" s="5">
        <v>0.13</v>
      </c>
      <c r="AC58" s="5">
        <v>0.06</v>
      </c>
      <c r="AD58" s="5">
        <v>1.2</v>
      </c>
      <c r="AE58" s="5">
        <v>0.04</v>
      </c>
      <c r="AF58" s="5">
        <v>67</v>
      </c>
      <c r="AG58" s="5">
        <v>0</v>
      </c>
      <c r="AH58" s="5">
        <v>0.28999999999999998</v>
      </c>
      <c r="AI58" s="5">
        <v>0</v>
      </c>
      <c r="AJ58" s="5">
        <v>0</v>
      </c>
      <c r="AK58" s="5">
        <v>43</v>
      </c>
      <c r="AL58" s="5">
        <v>335</v>
      </c>
      <c r="AM58" s="5">
        <v>2.8</v>
      </c>
      <c r="AN58" s="5">
        <v>1</v>
      </c>
      <c r="AO58" s="5">
        <v>1.2</v>
      </c>
      <c r="AP58" s="5">
        <v>24</v>
      </c>
      <c r="AQ58" s="5">
        <v>220</v>
      </c>
      <c r="AR58" s="5">
        <v>110</v>
      </c>
      <c r="AS58" s="5">
        <v>0.6</v>
      </c>
      <c r="AT58" s="5">
        <v>0.17</v>
      </c>
      <c r="AU58" s="5">
        <v>1</v>
      </c>
      <c r="AV58" s="5">
        <f>IFERROR(VLOOKUP(IFERROR(VLOOKUP(D58,Mapa_Similitud!$A$2:$B$2000,2,FALSE()),D58),Hoja1!$A$2:$K$1000,2,FALSE()),IFERROR(VLOOKUP(IFERROR(VLOOKUP(D58,Mapa_Similitud!$A$2:$B$2000,2,FALSE()),D58),Omega3_Referencia!$A$2:$E$100,3,FALSE()),0))</f>
        <v>0.03</v>
      </c>
      <c r="AW58" s="3" t="str">
        <f>IFERROR(VLOOKUP(IFERROR(VLOOKUP(D58,Mapa_Similitud!$A$2:$B$2000,2,FALSE()),D58),Hoja1!$A$2:$K$1000,3,FALSE()),IFERROR(VLOOKUP(IFERROR(VLOOKUP(D58,Mapa_Similitud!$A$2:$B$2000,2,FALSE()),D58),Omega3_Referencia!$A$2:$E$100,4,FALSE()),"N/A"))</f>
        <v>ALA</v>
      </c>
      <c r="AX58" s="5">
        <f>IFERROR(VLOOKUP(IFERROR(VLOOKUP(D58,Mapa_Similitud!$A$2:$B$2000,2,FALSE()),D58),Hoja1!$A$2:$K$1000,5,FALSE()),0)</f>
        <v>0</v>
      </c>
      <c r="AY58" s="5">
        <f>IFERROR(VLOOKUP(IFERROR(VLOOKUP(D58,Mapa_Similitud!$A$2:$B$2000,2,FALSE()),D58),Hoja1!$A$2:$K$1000,7,FALSE()),0)</f>
        <v>40</v>
      </c>
      <c r="AZ58" s="5">
        <f>IFERROR(VLOOKUP(IFERROR(VLOOKUP(D58,Mapa_Similitud!$A$2:$B$2000,2,FALSE()),D58),Hoja1!$A$2:$K$1000,9,FALSE()),0)</f>
        <v>0</v>
      </c>
      <c r="BA58" s="25">
        <f t="shared" si="0"/>
        <v>6.0000000000000005E-2</v>
      </c>
      <c r="BB58" s="25">
        <f t="shared" si="1"/>
        <v>3.4166666666666665E-2</v>
      </c>
      <c r="BC58" s="25">
        <f t="shared" si="2"/>
        <v>0.35833333333333334</v>
      </c>
      <c r="BD58" s="25">
        <f t="shared" si="3"/>
        <v>2.3333333333333331E-2</v>
      </c>
      <c r="BE58" s="25">
        <f t="shared" si="4"/>
        <v>1.8333333333333333</v>
      </c>
      <c r="BF58" s="25">
        <f t="shared" si="5"/>
        <v>4.193548387096774</v>
      </c>
      <c r="BG58" s="25">
        <f t="shared" si="6"/>
        <v>0.12835820895522387</v>
      </c>
      <c r="BH58" s="25">
        <f t="shared" si="7"/>
        <v>0.10689655172413794</v>
      </c>
      <c r="BI58" s="25">
        <f t="shared" si="8"/>
        <v>2</v>
      </c>
      <c r="BJ58" s="25">
        <f t="shared" si="9"/>
        <v>2.8368794326241138E-2</v>
      </c>
      <c r="BK58" s="25">
        <f t="shared" si="10"/>
        <v>0.29078014184397161</v>
      </c>
      <c r="BL58" s="25">
        <f t="shared" si="11"/>
        <v>0.21749999999999997</v>
      </c>
      <c r="BM58" s="25">
        <f t="shared" si="12"/>
        <v>0.2</v>
      </c>
      <c r="BN58" s="18" t="str">
        <f t="shared" si="18"/>
        <v>Baja fuente de proteína</v>
      </c>
      <c r="BO58" s="18" t="str">
        <f t="shared" si="19"/>
        <v>Alta fuente de fibra</v>
      </c>
      <c r="BP58" s="18" t="str">
        <f t="shared" si="20"/>
        <v>Baja fuente de calcio</v>
      </c>
      <c r="BQ58" s="18" t="str">
        <f t="shared" si="21"/>
        <v>Alta fuente de hierro</v>
      </c>
      <c r="BR58" s="18" t="str">
        <f t="shared" si="22"/>
        <v>Alto en sodio</v>
      </c>
      <c r="BS58" s="6" t="str">
        <f t="shared" si="13"/>
        <v>Altamente antiinflamatorio</v>
      </c>
      <c r="BT58" s="6" t="str">
        <f t="shared" si="14"/>
        <v>Moderado en grasas</v>
      </c>
      <c r="BU58" s="18" t="str">
        <f t="shared" si="23"/>
        <v>Alto riesgo de retención de líquidos</v>
      </c>
      <c r="BV58" s="18" t="str">
        <f t="shared" si="24"/>
        <v>Baja fuente de magnesio</v>
      </c>
      <c r="BW58" s="18" t="str">
        <f t="shared" si="25"/>
        <v>Sin aporte de Omega 3</v>
      </c>
      <c r="BX58" s="18" t="str">
        <f t="shared" si="26"/>
        <v>Libre de grasas trans</v>
      </c>
      <c r="BY58" s="18" t="str">
        <f t="shared" si="27"/>
        <v>Medio poder antioxidante</v>
      </c>
      <c r="BZ58" s="6" t="str">
        <f t="shared" si="15"/>
        <v>Sin probióticos</v>
      </c>
      <c r="CA58" s="18" t="str">
        <f t="shared" si="28"/>
        <v>Poco inflamatorio</v>
      </c>
      <c r="CB58" s="18" t="str">
        <f>IF(ISNUMBER(SEARCH("miel", D58)), "No irritante (Uso condicionado SII)", IF(OR(J58&gt;0, ISNUMBER(SEARCH("cacao", D58)), ISNUMBER(SEARCH("chocolate puro", D58))), "Altamente irritante", IF(OR(AND(O58&gt;15, BI58&gt;1), ISNUMBER(SEARCH("chocolate", D58))), "Moderadamente irritante", "No irritante")))</f>
        <v>No irritante</v>
      </c>
      <c r="CC58" s="6" t="str">
        <f t="shared" si="16"/>
        <v>Exceso relativo de Omega 6</v>
      </c>
    </row>
    <row r="59" spans="1:81" ht="15" customHeight="1" x14ac:dyDescent="0.3">
      <c r="A59" s="2">
        <f t="shared" si="17"/>
        <v>58</v>
      </c>
      <c r="B59" s="3" t="s">
        <v>134</v>
      </c>
      <c r="C59" s="3" t="s">
        <v>147</v>
      </c>
      <c r="D59" s="3" t="s">
        <v>149</v>
      </c>
      <c r="E59" s="3"/>
      <c r="F59" s="4">
        <v>1.8</v>
      </c>
      <c r="G59" s="5">
        <v>1</v>
      </c>
      <c r="H59" s="5">
        <v>101</v>
      </c>
      <c r="I59" s="5">
        <v>72.900000000000006</v>
      </c>
      <c r="J59" s="5">
        <v>0</v>
      </c>
      <c r="K59" s="5">
        <v>6.7</v>
      </c>
      <c r="L59" s="5">
        <v>15.7</v>
      </c>
      <c r="M59" s="5">
        <v>14.7</v>
      </c>
      <c r="N59" s="5">
        <v>1</v>
      </c>
      <c r="O59" s="5">
        <v>0</v>
      </c>
      <c r="P59" s="5">
        <v>4.4000000000000004</v>
      </c>
      <c r="Q59" s="5">
        <v>0.3</v>
      </c>
      <c r="R59" s="5">
        <v>7.0000000000000007E-2</v>
      </c>
      <c r="S59" s="5">
        <v>0.01</v>
      </c>
      <c r="T59" s="5">
        <v>0.12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0.2</v>
      </c>
      <c r="AA59" s="5">
        <v>9.5</v>
      </c>
      <c r="AB59" s="5">
        <v>0.1</v>
      </c>
      <c r="AC59" s="5">
        <v>0.04</v>
      </c>
      <c r="AD59" s="5">
        <v>1.3</v>
      </c>
      <c r="AE59" s="5">
        <v>7.0000000000000007E-2</v>
      </c>
      <c r="AF59" s="5">
        <v>60</v>
      </c>
      <c r="AG59" s="5">
        <v>0</v>
      </c>
      <c r="AH59" s="5">
        <v>0.17</v>
      </c>
      <c r="AI59" s="5">
        <v>0</v>
      </c>
      <c r="AJ59" s="5">
        <v>0</v>
      </c>
      <c r="AK59" s="5">
        <v>71</v>
      </c>
      <c r="AL59" s="5">
        <v>84</v>
      </c>
      <c r="AM59" s="5">
        <v>2.8</v>
      </c>
      <c r="AN59" s="5">
        <v>1</v>
      </c>
      <c r="AO59" s="5">
        <v>2.2999999999999998</v>
      </c>
      <c r="AP59" s="5">
        <v>23</v>
      </c>
      <c r="AQ59" s="5">
        <v>243</v>
      </c>
      <c r="AR59" s="5">
        <v>362</v>
      </c>
      <c r="AS59" s="5">
        <v>0.22</v>
      </c>
      <c r="AT59" s="5">
        <v>0.47</v>
      </c>
      <c r="AU59" s="5">
        <v>0.6</v>
      </c>
      <c r="AV59" s="5">
        <f>IFERROR(VLOOKUP(IFERROR(VLOOKUP(D59,Mapa_Similitud!$A$2:$B$2000,2,FALSE()),D59),Hoja1!$A$2:$K$1000,2,FALSE()),IFERROR(VLOOKUP(IFERROR(VLOOKUP(D59,Mapa_Similitud!$A$2:$B$2000,2,FALSE()),D59),Omega3_Referencia!$A$2:$E$100,3,FALSE()),0))</f>
        <v>0.1</v>
      </c>
      <c r="AW59" s="3" t="str">
        <f>IFERROR(VLOOKUP(IFERROR(VLOOKUP(D59,Mapa_Similitud!$A$2:$B$2000,2,FALSE()),D59),Hoja1!$A$2:$K$1000,3,FALSE()),IFERROR(VLOOKUP(IFERROR(VLOOKUP(D59,Mapa_Similitud!$A$2:$B$2000,2,FALSE()),D59),Omega3_Referencia!$A$2:$E$100,4,FALSE()),"N/A"))</f>
        <v>ALA</v>
      </c>
      <c r="AX59" s="5">
        <f>IFERROR(VLOOKUP(IFERROR(VLOOKUP(D59,Mapa_Similitud!$A$2:$B$2000,2,FALSE()),D59),Hoja1!$A$2:$K$1000,5,FALSE()),0)</f>
        <v>0</v>
      </c>
      <c r="AY59" s="5">
        <f>IFERROR(VLOOKUP(IFERROR(VLOOKUP(D59,Mapa_Similitud!$A$2:$B$2000,2,FALSE()),D59),Hoja1!$A$2:$K$1000,7,FALSE()),0)</f>
        <v>65</v>
      </c>
      <c r="AZ59" s="5">
        <f>IFERROR(VLOOKUP(IFERROR(VLOOKUP(D59,Mapa_Similitud!$A$2:$B$2000,2,FALSE()),D59),Hoja1!$A$2:$K$1000,9,FALSE()),0)</f>
        <v>0</v>
      </c>
      <c r="BA59" s="25">
        <f t="shared" si="0"/>
        <v>6.633663366336634E-2</v>
      </c>
      <c r="BB59" s="25">
        <f t="shared" si="1"/>
        <v>4.3564356435643568E-2</v>
      </c>
      <c r="BC59" s="25">
        <f t="shared" si="2"/>
        <v>0.70297029702970293</v>
      </c>
      <c r="BD59" s="25">
        <f t="shared" si="3"/>
        <v>2.772277227722772E-2</v>
      </c>
      <c r="BE59" s="25">
        <f t="shared" si="4"/>
        <v>2.4059405940594059</v>
      </c>
      <c r="BF59" s="25">
        <f t="shared" si="5"/>
        <v>1.714285714285714</v>
      </c>
      <c r="BG59" s="25">
        <f t="shared" si="6"/>
        <v>0.84523809523809523</v>
      </c>
      <c r="BH59" s="25">
        <f t="shared" si="7"/>
        <v>0.23333333333333336</v>
      </c>
      <c r="BI59" s="25">
        <f t="shared" si="8"/>
        <v>0.67127071823204421</v>
      </c>
      <c r="BJ59" s="25">
        <f t="shared" si="9"/>
        <v>6.3694267515923567E-2</v>
      </c>
      <c r="BK59" s="25">
        <f t="shared" si="10"/>
        <v>0.28025477707006374</v>
      </c>
      <c r="BL59" s="25">
        <f t="shared" si="11"/>
        <v>2.6732673267326729E-2</v>
      </c>
      <c r="BM59" s="25">
        <f t="shared" si="12"/>
        <v>0.22772277227722773</v>
      </c>
      <c r="BN59" s="18" t="str">
        <f t="shared" si="18"/>
        <v>Baja fuente de proteína</v>
      </c>
      <c r="BO59" s="18" t="str">
        <f t="shared" si="19"/>
        <v>Alta fuente de fibra</v>
      </c>
      <c r="BP59" s="18" t="str">
        <f t="shared" si="20"/>
        <v>Baja fuente de calcio</v>
      </c>
      <c r="BQ59" s="18" t="str">
        <f t="shared" si="21"/>
        <v>Alta fuente de hierro</v>
      </c>
      <c r="BR59" s="18" t="str">
        <f t="shared" si="22"/>
        <v>Muy alto en sodio</v>
      </c>
      <c r="BS59" s="6" t="str">
        <f t="shared" si="13"/>
        <v>Ligeramente antiinflamatorio</v>
      </c>
      <c r="BT59" s="6" t="str">
        <f t="shared" si="14"/>
        <v>Bajo en grasas</v>
      </c>
      <c r="BU59" s="18" t="str">
        <f t="shared" si="23"/>
        <v>Riesgo moderado de retención</v>
      </c>
      <c r="BV59" s="18" t="str">
        <f t="shared" si="24"/>
        <v>Media fuente de magnesio</v>
      </c>
      <c r="BW59" s="18" t="str">
        <f t="shared" si="25"/>
        <v>Sin aporte de Omega 3</v>
      </c>
      <c r="BX59" s="18" t="str">
        <f t="shared" si="26"/>
        <v>Libre de grasas trans</v>
      </c>
      <c r="BY59" s="18" t="str">
        <f t="shared" si="27"/>
        <v>Alto poder antioxidante</v>
      </c>
      <c r="BZ59" s="6" t="str">
        <f t="shared" si="15"/>
        <v>Sin probióticos</v>
      </c>
      <c r="CA59" s="18" t="str">
        <f t="shared" si="28"/>
        <v>Antiinflamatorio</v>
      </c>
      <c r="CB59" s="18" t="str">
        <f>IF(ISNUMBER(SEARCH("miel", D59)), "No irritante (Uso condicionado SII)", IF(OR(J59&gt;0, ISNUMBER(SEARCH("cacao", D59)), ISNUMBER(SEARCH("chocolate puro", D59))), "Altamente irritante", IF(OR(AND(O59&gt;15, BI59&gt;1), ISNUMBER(SEARCH("chocolate", D59))), "Moderadamente irritante", "No irritante")))</f>
        <v>No irritante</v>
      </c>
      <c r="CC59" s="6" t="str">
        <f t="shared" si="16"/>
        <v>Balance de omegas favorable</v>
      </c>
    </row>
    <row r="60" spans="1:81" ht="15" customHeight="1" x14ac:dyDescent="0.3">
      <c r="A60" s="2">
        <f t="shared" si="17"/>
        <v>59</v>
      </c>
      <c r="B60" s="3" t="s">
        <v>134</v>
      </c>
      <c r="C60" s="3" t="s">
        <v>147</v>
      </c>
      <c r="D60" s="3" t="s">
        <v>150</v>
      </c>
      <c r="E60" s="3"/>
      <c r="F60" s="4">
        <v>1.8</v>
      </c>
      <c r="G60" s="5">
        <v>1</v>
      </c>
      <c r="H60" s="5">
        <v>84.2</v>
      </c>
      <c r="I60" s="5">
        <v>76.900000000000006</v>
      </c>
      <c r="J60" s="5">
        <v>0</v>
      </c>
      <c r="K60" s="5">
        <v>8.4</v>
      </c>
      <c r="L60" s="5">
        <v>9.9</v>
      </c>
      <c r="M60" s="5">
        <v>9.4</v>
      </c>
      <c r="N60" s="5">
        <v>0.5</v>
      </c>
      <c r="O60" s="5">
        <v>0</v>
      </c>
      <c r="P60" s="5">
        <v>4.5999999999999996</v>
      </c>
      <c r="Q60" s="5">
        <v>0.2</v>
      </c>
      <c r="R60" s="5">
        <v>0</v>
      </c>
      <c r="S60" s="5">
        <v>0</v>
      </c>
      <c r="T60" s="5">
        <v>0.16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0.24</v>
      </c>
      <c r="AA60" s="5">
        <v>9.5</v>
      </c>
      <c r="AB60" s="5">
        <v>0.16</v>
      </c>
      <c r="AC60" s="5">
        <v>7.0000000000000007E-2</v>
      </c>
      <c r="AD60" s="5">
        <v>2.2000000000000002</v>
      </c>
      <c r="AE60" s="5">
        <v>0.1</v>
      </c>
      <c r="AF60" s="5">
        <v>60</v>
      </c>
      <c r="AG60" s="5">
        <v>0</v>
      </c>
      <c r="AH60" s="5">
        <v>0.14000000000000001</v>
      </c>
      <c r="AI60" s="5">
        <v>0</v>
      </c>
      <c r="AJ60" s="5">
        <v>1</v>
      </c>
      <c r="AK60" s="5">
        <v>66</v>
      </c>
      <c r="AL60" s="5">
        <v>92</v>
      </c>
      <c r="AM60" s="5">
        <v>2.5</v>
      </c>
      <c r="AN60" s="5">
        <v>1</v>
      </c>
      <c r="AO60" s="5">
        <v>2.2999999999999998</v>
      </c>
      <c r="AP60" s="5">
        <v>27</v>
      </c>
      <c r="AQ60" s="5">
        <v>294</v>
      </c>
      <c r="AR60" s="5">
        <v>420</v>
      </c>
      <c r="AS60" s="5">
        <v>0.22</v>
      </c>
      <c r="AT60" s="5">
        <v>0.14000000000000001</v>
      </c>
      <c r="AU60" s="5">
        <v>7.1</v>
      </c>
      <c r="AV60" s="5">
        <f>IFERROR(VLOOKUP(IFERROR(VLOOKUP(D60,Mapa_Similitud!$A$2:$B$2000,2,FALSE()),D60),Hoja1!$A$2:$K$1000,2,FALSE()),IFERROR(VLOOKUP(IFERROR(VLOOKUP(D60,Mapa_Similitud!$A$2:$B$2000,2,FALSE()),D60),Omega3_Referencia!$A$2:$E$100,3,FALSE()),0))</f>
        <v>0.09</v>
      </c>
      <c r="AW60" s="3" t="str">
        <f>IFERROR(VLOOKUP(IFERROR(VLOOKUP(D60,Mapa_Similitud!$A$2:$B$2000,2,FALSE()),D60),Hoja1!$A$2:$K$1000,3,FALSE()),IFERROR(VLOOKUP(IFERROR(VLOOKUP(D60,Mapa_Similitud!$A$2:$B$2000,2,FALSE()),D60),Omega3_Referencia!$A$2:$E$100,4,FALSE()),"N/A"))</f>
        <v>ALA</v>
      </c>
      <c r="AX60" s="5">
        <f>IFERROR(VLOOKUP(IFERROR(VLOOKUP(D60,Mapa_Similitud!$A$2:$B$2000,2,FALSE()),D60),Hoja1!$A$2:$K$1000,5,FALSE()),0)</f>
        <v>0</v>
      </c>
      <c r="AY60" s="5">
        <f>IFERROR(VLOOKUP(IFERROR(VLOOKUP(D60,Mapa_Similitud!$A$2:$B$2000,2,FALSE()),D60),Hoja1!$A$2:$K$1000,7,FALSE()),0)</f>
        <v>180</v>
      </c>
      <c r="AZ60" s="5">
        <f>IFERROR(VLOOKUP(IFERROR(VLOOKUP(D60,Mapa_Similitud!$A$2:$B$2000,2,FALSE()),D60),Hoja1!$A$2:$K$1000,9,FALSE()),0)</f>
        <v>0</v>
      </c>
      <c r="BA60" s="25">
        <f t="shared" si="0"/>
        <v>9.9762470308788598E-2</v>
      </c>
      <c r="BB60" s="25">
        <f t="shared" si="1"/>
        <v>5.4631828978622322E-2</v>
      </c>
      <c r="BC60" s="25">
        <f t="shared" si="2"/>
        <v>0.78384798099762465</v>
      </c>
      <c r="BD60" s="25">
        <f t="shared" si="3"/>
        <v>2.9691211401425176E-2</v>
      </c>
      <c r="BE60" s="25">
        <f t="shared" si="4"/>
        <v>3.491686460807601</v>
      </c>
      <c r="BF60" s="25">
        <f t="shared" si="5"/>
        <v>0</v>
      </c>
      <c r="BG60" s="25">
        <f t="shared" si="6"/>
        <v>0.71739130434782605</v>
      </c>
      <c r="BH60" s="25">
        <f t="shared" si="7"/>
        <v>0</v>
      </c>
      <c r="BI60" s="25">
        <f t="shared" si="8"/>
        <v>0.7</v>
      </c>
      <c r="BJ60" s="25">
        <f t="shared" si="9"/>
        <v>5.0505050505050504E-2</v>
      </c>
      <c r="BK60" s="25">
        <f t="shared" si="10"/>
        <v>0.46464646464646459</v>
      </c>
      <c r="BL60" s="25">
        <f t="shared" si="11"/>
        <v>2.1377672209026127E-2</v>
      </c>
      <c r="BM60" s="25">
        <f t="shared" si="12"/>
        <v>0.32066508313539194</v>
      </c>
      <c r="BN60" s="18" t="str">
        <f t="shared" si="18"/>
        <v>Baja fuente de proteína</v>
      </c>
      <c r="BO60" s="18" t="str">
        <f t="shared" si="19"/>
        <v>Alta fuente de fibra</v>
      </c>
      <c r="BP60" s="18" t="str">
        <f t="shared" si="20"/>
        <v>Baja fuente de calcio</v>
      </c>
      <c r="BQ60" s="18" t="str">
        <f t="shared" si="21"/>
        <v>Alta fuente de hierro</v>
      </c>
      <c r="BR60" s="18" t="str">
        <f t="shared" si="22"/>
        <v>Muy alto en sodio</v>
      </c>
      <c r="BS60" s="6" t="str">
        <f t="shared" si="13"/>
        <v>Proinflamatorio</v>
      </c>
      <c r="BT60" s="6" t="str">
        <f t="shared" si="14"/>
        <v>Bajo en grasas</v>
      </c>
      <c r="BU60" s="18" t="str">
        <f t="shared" si="23"/>
        <v>Riesgo moderado de retención</v>
      </c>
      <c r="BV60" s="18" t="str">
        <f t="shared" si="24"/>
        <v>Media fuente de magnesio</v>
      </c>
      <c r="BW60" s="18" t="str">
        <f t="shared" si="25"/>
        <v>Sin aporte de Omega 3</v>
      </c>
      <c r="BX60" s="18" t="str">
        <f t="shared" si="26"/>
        <v>Libre de grasas trans</v>
      </c>
      <c r="BY60" s="18" t="str">
        <f t="shared" si="27"/>
        <v>Alto poder antioxidante</v>
      </c>
      <c r="BZ60" s="6" t="str">
        <f t="shared" si="15"/>
        <v>Sin probióticos</v>
      </c>
      <c r="CA60" s="18" t="str">
        <f t="shared" si="28"/>
        <v>Antiinflamatorio</v>
      </c>
      <c r="CB60" s="18" t="str">
        <f>IF(ISNUMBER(SEARCH("miel", D60)), "No irritante (Uso condicionado SII)", IF(OR(J60&gt;0, ISNUMBER(SEARCH("cacao", D60)), ISNUMBER(SEARCH("chocolate puro", D60))), "Altamente irritante", IF(OR(AND(O60&gt;15, BI60&gt;1), ISNUMBER(SEARCH("chocolate", D60))), "Moderadamente irritante", "No irritante")))</f>
        <v>No irritante</v>
      </c>
      <c r="CC60" s="6" t="str">
        <f t="shared" si="16"/>
        <v>Balance de omegas favorable</v>
      </c>
    </row>
    <row r="61" spans="1:81" ht="15" customHeight="1" x14ac:dyDescent="0.3">
      <c r="A61" s="2">
        <f t="shared" si="17"/>
        <v>60</v>
      </c>
      <c r="B61" s="3" t="s">
        <v>134</v>
      </c>
      <c r="C61" s="3" t="s">
        <v>147</v>
      </c>
      <c r="D61" s="3" t="s">
        <v>151</v>
      </c>
      <c r="E61" s="3"/>
      <c r="F61" s="4">
        <v>1.8</v>
      </c>
      <c r="G61" s="5">
        <v>1</v>
      </c>
      <c r="H61" s="5">
        <v>109</v>
      </c>
      <c r="I61" s="5">
        <v>71.900000000000006</v>
      </c>
      <c r="J61" s="5">
        <v>0</v>
      </c>
      <c r="K61" s="5">
        <v>8.8000000000000007</v>
      </c>
      <c r="L61" s="5">
        <v>14.9</v>
      </c>
      <c r="M61" s="5">
        <v>14.5</v>
      </c>
      <c r="N61" s="5">
        <v>0.4</v>
      </c>
      <c r="O61" s="5">
        <v>0</v>
      </c>
      <c r="P61" s="5">
        <v>3.8</v>
      </c>
      <c r="Q61" s="5">
        <v>0.7</v>
      </c>
      <c r="R61" s="5">
        <v>0.1</v>
      </c>
      <c r="S61" s="5">
        <v>0.1</v>
      </c>
      <c r="T61" s="5">
        <v>0.3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61.5</v>
      </c>
      <c r="AB61" s="5">
        <v>0.14000000000000001</v>
      </c>
      <c r="AC61" s="5">
        <v>7.0000000000000007E-2</v>
      </c>
      <c r="AD61" s="5">
        <v>1.8</v>
      </c>
      <c r="AE61" s="5">
        <v>0.28000000000000003</v>
      </c>
      <c r="AF61" s="5">
        <v>30</v>
      </c>
      <c r="AG61" s="5">
        <v>0</v>
      </c>
      <c r="AH61" s="5">
        <v>0.2</v>
      </c>
      <c r="AI61" s="5">
        <v>0</v>
      </c>
      <c r="AJ61" s="5">
        <v>0</v>
      </c>
      <c r="AK61" s="5">
        <v>22</v>
      </c>
      <c r="AL61" s="5">
        <v>130</v>
      </c>
      <c r="AM61" s="5">
        <v>3.5</v>
      </c>
      <c r="AN61" s="5">
        <v>1</v>
      </c>
      <c r="AO61" s="5">
        <v>1.4</v>
      </c>
      <c r="AP61" s="5">
        <v>16</v>
      </c>
      <c r="AQ61" s="5">
        <v>238</v>
      </c>
      <c r="AR61" s="5">
        <v>310</v>
      </c>
      <c r="AS61" s="5">
        <v>0.5</v>
      </c>
      <c r="AT61" s="5">
        <v>0.25</v>
      </c>
      <c r="AU61" s="5">
        <v>2.8</v>
      </c>
      <c r="AV61" s="5">
        <f>IFERROR(VLOOKUP(IFERROR(VLOOKUP(D61,Mapa_Similitud!$A$2:$B$2000,2,FALSE()),D61),Hoja1!$A$2:$K$1000,2,FALSE()),IFERROR(VLOOKUP(IFERROR(VLOOKUP(D61,Mapa_Similitud!$A$2:$B$2000,2,FALSE()),D61),Omega3_Referencia!$A$2:$E$100,3,FALSE()),0))</f>
        <v>0.08</v>
      </c>
      <c r="AW61" s="3" t="str">
        <f>IFERROR(VLOOKUP(IFERROR(VLOOKUP(D61,Mapa_Similitud!$A$2:$B$2000,2,FALSE()),D61),Hoja1!$A$2:$K$1000,3,FALSE()),IFERROR(VLOOKUP(IFERROR(VLOOKUP(D61,Mapa_Similitud!$A$2:$B$2000,2,FALSE()),D61),Omega3_Referencia!$A$2:$E$100,4,FALSE()),"N/A"))</f>
        <v>ALA</v>
      </c>
      <c r="AX61" s="5">
        <f>IFERROR(VLOOKUP(IFERROR(VLOOKUP(D61,Mapa_Similitud!$A$2:$B$2000,2,FALSE()),D61),Hoja1!$A$2:$K$1000,5,FALSE()),0)</f>
        <v>0</v>
      </c>
      <c r="AY61" s="5">
        <f>IFERROR(VLOOKUP(IFERROR(VLOOKUP(D61,Mapa_Similitud!$A$2:$B$2000,2,FALSE()),D61),Hoja1!$A$2:$K$1000,7,FALSE()),0)</f>
        <v>80</v>
      </c>
      <c r="AZ61" s="5">
        <f>IFERROR(VLOOKUP(IFERROR(VLOOKUP(D61,Mapa_Similitud!$A$2:$B$2000,2,FALSE()),D61),Hoja1!$A$2:$K$1000,9,FALSE()),0)</f>
        <v>0</v>
      </c>
      <c r="BA61" s="25">
        <f t="shared" si="0"/>
        <v>8.0733944954128445E-2</v>
      </c>
      <c r="BB61" s="25">
        <f t="shared" si="1"/>
        <v>3.4862385321100912E-2</v>
      </c>
      <c r="BC61" s="25">
        <f t="shared" si="2"/>
        <v>0.20183486238532111</v>
      </c>
      <c r="BD61" s="25">
        <f t="shared" si="3"/>
        <v>3.2110091743119268E-2</v>
      </c>
      <c r="BE61" s="25">
        <f t="shared" si="4"/>
        <v>2.1834862385321099</v>
      </c>
      <c r="BF61" s="25">
        <f t="shared" si="5"/>
        <v>2.9999999999999996</v>
      </c>
      <c r="BG61" s="25">
        <f t="shared" si="6"/>
        <v>0.16923076923076924</v>
      </c>
      <c r="BH61" s="25">
        <f t="shared" si="7"/>
        <v>0.14285714285714288</v>
      </c>
      <c r="BI61" s="25">
        <f t="shared" si="8"/>
        <v>0.76774193548387093</v>
      </c>
      <c r="BJ61" s="25">
        <f t="shared" si="9"/>
        <v>2.6845637583892617E-2</v>
      </c>
      <c r="BK61" s="25">
        <f t="shared" si="10"/>
        <v>0.25503355704697983</v>
      </c>
      <c r="BL61" s="25">
        <f t="shared" si="11"/>
        <v>5.7798165137614675E-2</v>
      </c>
      <c r="BM61" s="25">
        <f t="shared" si="12"/>
        <v>0.14678899082568808</v>
      </c>
      <c r="BN61" s="18" t="str">
        <f t="shared" si="18"/>
        <v>Baja fuente de proteína</v>
      </c>
      <c r="BO61" s="18" t="str">
        <f t="shared" si="19"/>
        <v>Alta fuente de fibra</v>
      </c>
      <c r="BP61" s="18" t="str">
        <f t="shared" si="20"/>
        <v>Baja fuente de calcio</v>
      </c>
      <c r="BQ61" s="18" t="str">
        <f t="shared" si="21"/>
        <v>Alta fuente de hierro</v>
      </c>
      <c r="BR61" s="18" t="str">
        <f t="shared" si="22"/>
        <v>Muy alto en sodio</v>
      </c>
      <c r="BS61" s="6" t="str">
        <f t="shared" si="13"/>
        <v>Altamente antiinflamatorio</v>
      </c>
      <c r="BT61" s="6" t="str">
        <f t="shared" si="14"/>
        <v>Bajo en grasas</v>
      </c>
      <c r="BU61" s="18" t="str">
        <f t="shared" si="23"/>
        <v>Riesgo moderado de retención</v>
      </c>
      <c r="BV61" s="18" t="str">
        <f t="shared" si="24"/>
        <v>Baja fuente de magnesio</v>
      </c>
      <c r="BW61" s="18" t="str">
        <f t="shared" si="25"/>
        <v>Sin aporte de Omega 3</v>
      </c>
      <c r="BX61" s="18" t="str">
        <f t="shared" si="26"/>
        <v>Libre de grasas trans</v>
      </c>
      <c r="BY61" s="18" t="str">
        <f t="shared" si="27"/>
        <v>Alto poder antioxidante</v>
      </c>
      <c r="BZ61" s="6" t="str">
        <f t="shared" si="15"/>
        <v>Sin probióticos</v>
      </c>
      <c r="CA61" s="18" t="str">
        <f t="shared" si="28"/>
        <v>Antiinflamatorio</v>
      </c>
      <c r="CB61" s="18" t="str">
        <f>IF(ISNUMBER(SEARCH("miel", D61)), "No irritante (Uso condicionado SII)", IF(OR(J61&gt;0, ISNUMBER(SEARCH("cacao", D61)), ISNUMBER(SEARCH("chocolate puro", D61))), "Altamente irritante", IF(OR(AND(O61&gt;15, BI61&gt;1), ISNUMBER(SEARCH("chocolate", D61))), "Moderadamente irritante", "No irritante")))</f>
        <v>No irritante</v>
      </c>
      <c r="CC61" s="6" t="str">
        <f t="shared" si="16"/>
        <v>Balance de omegas favorable</v>
      </c>
    </row>
    <row r="62" spans="1:81" ht="15" customHeight="1" x14ac:dyDescent="0.3">
      <c r="A62" s="2">
        <f t="shared" si="17"/>
        <v>61</v>
      </c>
      <c r="B62" s="3" t="s">
        <v>134</v>
      </c>
      <c r="C62" s="3" t="s">
        <v>152</v>
      </c>
      <c r="D62" s="3" t="s">
        <v>153</v>
      </c>
      <c r="E62" s="3"/>
      <c r="F62" s="4">
        <v>1.2</v>
      </c>
      <c r="G62" s="5">
        <v>1</v>
      </c>
      <c r="H62" s="5">
        <v>394</v>
      </c>
      <c r="I62" s="5">
        <v>10.4</v>
      </c>
      <c r="J62" s="5">
        <v>0</v>
      </c>
      <c r="K62" s="5">
        <v>36.200000000000003</v>
      </c>
      <c r="L62" s="5">
        <v>40.4</v>
      </c>
      <c r="M62" s="5">
        <v>0</v>
      </c>
      <c r="N62" s="5">
        <v>0</v>
      </c>
      <c r="O62" s="5">
        <v>0</v>
      </c>
      <c r="P62" s="5">
        <v>0</v>
      </c>
      <c r="Q62" s="5">
        <v>9.6999999999999993</v>
      </c>
      <c r="R62" s="5">
        <v>1.2</v>
      </c>
      <c r="S62" s="5">
        <v>3.9</v>
      </c>
      <c r="T62" s="5">
        <v>2.4</v>
      </c>
      <c r="U62" s="5">
        <v>0</v>
      </c>
      <c r="V62" s="5">
        <v>6.9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0.64</v>
      </c>
      <c r="AC62" s="5">
        <v>0.22</v>
      </c>
      <c r="AD62" s="5">
        <v>2.2000000000000002</v>
      </c>
      <c r="AE62" s="5">
        <v>0.36</v>
      </c>
      <c r="AF62" s="5">
        <v>0</v>
      </c>
      <c r="AG62" s="5">
        <v>0</v>
      </c>
      <c r="AH62" s="5">
        <v>0</v>
      </c>
      <c r="AI62" s="5">
        <v>0</v>
      </c>
      <c r="AJ62" s="5">
        <v>4.8</v>
      </c>
      <c r="AK62" s="5">
        <v>176</v>
      </c>
      <c r="AL62" s="5">
        <v>440</v>
      </c>
      <c r="AM62" s="5">
        <v>4.4000000000000004</v>
      </c>
      <c r="AN62" s="5">
        <v>0</v>
      </c>
      <c r="AO62" s="5">
        <v>4.8</v>
      </c>
      <c r="AP62" s="5">
        <v>198</v>
      </c>
      <c r="AQ62" s="5">
        <v>15</v>
      </c>
      <c r="AR62" s="5">
        <v>1013</v>
      </c>
      <c r="AS62" s="5">
        <v>0</v>
      </c>
      <c r="AT62" s="5">
        <v>0</v>
      </c>
      <c r="AU62" s="5">
        <v>8.1999999999999993</v>
      </c>
      <c r="AV62" s="5">
        <f>IFERROR(VLOOKUP(IFERROR(VLOOKUP(D62,Mapa_Similitud!$A$2:$B$2000,2,FALSE()),D62),Hoja1!$A$2:$K$1000,2,FALSE()),IFERROR(VLOOKUP(IFERROR(VLOOKUP(D62,Mapa_Similitud!$A$2:$B$2000,2,FALSE()),D62),Omega3_Referencia!$A$2:$E$100,3,FALSE()),0))</f>
        <v>0.15</v>
      </c>
      <c r="AW62" s="3" t="str">
        <f>IFERROR(VLOOKUP(IFERROR(VLOOKUP(D62,Mapa_Similitud!$A$2:$B$2000,2,FALSE()),D62),Hoja1!$A$2:$K$1000,3,FALSE()),IFERROR(VLOOKUP(IFERROR(VLOOKUP(D62,Mapa_Similitud!$A$2:$B$2000,2,FALSE()),D62),Omega3_Referencia!$A$2:$E$100,4,FALSE()),"N/A"))</f>
        <v>ALA</v>
      </c>
      <c r="AX62" s="5">
        <f>IFERROR(VLOOKUP(IFERROR(VLOOKUP(D62,Mapa_Similitud!$A$2:$B$2000,2,FALSE()),D62),Hoja1!$A$2:$K$1000,5,FALSE()),0)</f>
        <v>0</v>
      </c>
      <c r="AY62" s="5">
        <f>IFERROR(VLOOKUP(IFERROR(VLOOKUP(D62,Mapa_Similitud!$A$2:$B$2000,2,FALSE()),D62),Hoja1!$A$2:$K$1000,7,FALSE()),0)</f>
        <v>60</v>
      </c>
      <c r="AZ62" s="5">
        <f>IFERROR(VLOOKUP(IFERROR(VLOOKUP(D62,Mapa_Similitud!$A$2:$B$2000,2,FALSE()),D62),Hoja1!$A$2:$K$1000,9,FALSE()),0)</f>
        <v>0</v>
      </c>
      <c r="BA62" s="25">
        <f t="shared" si="0"/>
        <v>9.1878172588832491E-2</v>
      </c>
      <c r="BB62" s="25">
        <f t="shared" si="1"/>
        <v>0</v>
      </c>
      <c r="BC62" s="25">
        <f t="shared" si="2"/>
        <v>0.4467005076142132</v>
      </c>
      <c r="BD62" s="25">
        <f t="shared" si="3"/>
        <v>1.1167512690355331E-2</v>
      </c>
      <c r="BE62" s="25">
        <f t="shared" si="4"/>
        <v>3.8071065989847719E-2</v>
      </c>
      <c r="BF62" s="25">
        <f t="shared" si="5"/>
        <v>2</v>
      </c>
      <c r="BG62" s="25">
        <f t="shared" si="6"/>
        <v>0.4</v>
      </c>
      <c r="BH62" s="25">
        <f t="shared" si="7"/>
        <v>0.12371134020618557</v>
      </c>
      <c r="BI62" s="25">
        <f t="shared" si="8"/>
        <v>1.4807502467917079E-2</v>
      </c>
      <c r="BJ62" s="25">
        <f t="shared" si="9"/>
        <v>0</v>
      </c>
      <c r="BK62" s="25">
        <f t="shared" si="10"/>
        <v>0</v>
      </c>
      <c r="BL62" s="25">
        <f t="shared" si="11"/>
        <v>0.2215736040609137</v>
      </c>
      <c r="BM62" s="25">
        <f t="shared" si="12"/>
        <v>0.5025380710659898</v>
      </c>
      <c r="BN62" s="18" t="str">
        <f t="shared" si="18"/>
        <v>Baja fuente de proteína</v>
      </c>
      <c r="BO62" s="18" t="str">
        <f t="shared" si="19"/>
        <v>Baja fuente de fibra</v>
      </c>
      <c r="BP62" s="18" t="str">
        <f t="shared" si="20"/>
        <v>Baja fuente de calcio</v>
      </c>
      <c r="BQ62" s="18" t="str">
        <f t="shared" si="21"/>
        <v>Media fuente de hierro</v>
      </c>
      <c r="BR62" s="18" t="str">
        <f t="shared" si="22"/>
        <v>Bajo en sodio</v>
      </c>
      <c r="BS62" s="6" t="str">
        <f t="shared" si="13"/>
        <v>Ligeramente antiinflamatorio</v>
      </c>
      <c r="BT62" s="6" t="str">
        <f t="shared" si="14"/>
        <v>Moderado en grasas</v>
      </c>
      <c r="BU62" s="18" t="str">
        <f t="shared" si="23"/>
        <v>Equilibrio de líquidos ideal</v>
      </c>
      <c r="BV62" s="18" t="str">
        <f t="shared" si="24"/>
        <v>Alta fuente de magnesio</v>
      </c>
      <c r="BW62" s="18" t="str">
        <f t="shared" si="25"/>
        <v>Ligera fuente de Omega 3</v>
      </c>
      <c r="BX62" s="18" t="str">
        <f t="shared" si="26"/>
        <v>Libre de grasas trans</v>
      </c>
      <c r="BY62" s="18" t="str">
        <f t="shared" si="27"/>
        <v>Alto poder antioxidante</v>
      </c>
      <c r="BZ62" s="6" t="str">
        <f t="shared" si="15"/>
        <v>Sin probióticos</v>
      </c>
      <c r="CA62" s="18" t="str">
        <f t="shared" si="28"/>
        <v>Antiinflamatorio</v>
      </c>
      <c r="CB62" s="18" t="str">
        <f>IF(ISNUMBER(SEARCH("miel", D62)), "No irritante (Uso condicionado SII)", IF(OR(J62&gt;0, ISNUMBER(SEARCH("cacao", D62)), ISNUMBER(SEARCH("chocolate puro", D62))), "Altamente irritante", IF(OR(AND(O62&gt;15, BI62&gt;1), ISNUMBER(SEARCH("chocolate", D62))), "Moderadamente irritante", "No irritante")))</f>
        <v>No irritante</v>
      </c>
      <c r="CC62" s="6" t="str">
        <f t="shared" si="16"/>
        <v>Exceso relativo de Omega 6</v>
      </c>
    </row>
    <row r="63" spans="1:81" ht="15" customHeight="1" x14ac:dyDescent="0.3">
      <c r="A63" s="2">
        <f t="shared" si="17"/>
        <v>62</v>
      </c>
      <c r="B63" s="3" t="s">
        <v>134</v>
      </c>
      <c r="C63" s="3" t="s">
        <v>152</v>
      </c>
      <c r="D63" s="3" t="s">
        <v>154</v>
      </c>
      <c r="E63" s="3"/>
      <c r="F63" s="4">
        <v>1</v>
      </c>
      <c r="G63" s="5">
        <v>1</v>
      </c>
      <c r="H63" s="5">
        <v>341</v>
      </c>
      <c r="I63" s="5">
        <v>11</v>
      </c>
      <c r="J63" s="5">
        <v>0</v>
      </c>
      <c r="K63" s="5">
        <v>20.8</v>
      </c>
      <c r="L63" s="5">
        <v>44.3</v>
      </c>
      <c r="M63" s="5">
        <v>41.9</v>
      </c>
      <c r="N63" s="5">
        <v>2.4</v>
      </c>
      <c r="O63" s="5">
        <v>0</v>
      </c>
      <c r="P63" s="5">
        <v>15.5</v>
      </c>
      <c r="Q63" s="5">
        <v>5.5</v>
      </c>
      <c r="R63" s="5">
        <v>0.36</v>
      </c>
      <c r="S63" s="5">
        <v>1.6</v>
      </c>
      <c r="T63" s="5">
        <v>2.5</v>
      </c>
      <c r="U63" s="5">
        <v>0</v>
      </c>
      <c r="V63" s="5">
        <v>33</v>
      </c>
      <c r="W63" s="5">
        <v>0</v>
      </c>
      <c r="X63" s="5">
        <v>198</v>
      </c>
      <c r="Y63" s="5">
        <v>0</v>
      </c>
      <c r="Z63" s="5">
        <v>0.82</v>
      </c>
      <c r="AA63" s="5">
        <v>264</v>
      </c>
      <c r="AB63" s="5">
        <v>0.45</v>
      </c>
      <c r="AC63" s="5">
        <v>0.14000000000000001</v>
      </c>
      <c r="AD63" s="5">
        <v>4.5999999999999996</v>
      </c>
      <c r="AE63" s="5">
        <v>0.55000000000000004</v>
      </c>
      <c r="AF63" s="5">
        <v>185</v>
      </c>
      <c r="AG63" s="5">
        <v>0</v>
      </c>
      <c r="AH63" s="5">
        <v>1.3</v>
      </c>
      <c r="AI63" s="5">
        <v>0</v>
      </c>
      <c r="AJ63" s="5">
        <v>4.0999999999999996</v>
      </c>
      <c r="AK63" s="5">
        <v>143</v>
      </c>
      <c r="AL63" s="5">
        <v>332</v>
      </c>
      <c r="AM63" s="5">
        <v>6.8</v>
      </c>
      <c r="AN63" s="5">
        <v>1.5</v>
      </c>
      <c r="AO63" s="5">
        <v>3.4</v>
      </c>
      <c r="AP63" s="5">
        <v>122</v>
      </c>
      <c r="AQ63" s="5">
        <v>25</v>
      </c>
      <c r="AR63" s="5">
        <v>875</v>
      </c>
      <c r="AS63" s="5">
        <v>2.7</v>
      </c>
      <c r="AT63" s="5">
        <v>0.84</v>
      </c>
      <c r="AU63" s="5">
        <v>8.1999999999999993</v>
      </c>
      <c r="AV63" s="5">
        <f>IFERROR(VLOOKUP(IFERROR(VLOOKUP(D63,Mapa_Similitud!$A$2:$B$2000,2,FALSE()),D63),Hoja1!$A$2:$K$1000,2,FALSE()),IFERROR(VLOOKUP(IFERROR(VLOOKUP(D63,Mapa_Similitud!$A$2:$B$2000,2,FALSE()),D63),Omega3_Referencia!$A$2:$E$100,3,FALSE()),0))</f>
        <v>0.04</v>
      </c>
      <c r="AW63" s="3" t="str">
        <f>IFERROR(VLOOKUP(IFERROR(VLOOKUP(D63,Mapa_Similitud!$A$2:$B$2000,2,FALSE()),D63),Hoja1!$A$2:$K$1000,3,FALSE()),IFERROR(VLOOKUP(IFERROR(VLOOKUP(D63,Mapa_Similitud!$A$2:$B$2000,2,FALSE()),D63),Omega3_Referencia!$A$2:$E$100,4,FALSE()),"N/A"))</f>
        <v>ALA</v>
      </c>
      <c r="AX63" s="5">
        <f>IFERROR(VLOOKUP(IFERROR(VLOOKUP(D63,Mapa_Similitud!$A$2:$B$2000,2,FALSE()),D63),Hoja1!$A$2:$K$1000,5,FALSE()),0)</f>
        <v>0</v>
      </c>
      <c r="AY63" s="5">
        <f>IFERROR(VLOOKUP(IFERROR(VLOOKUP(D63,Mapa_Similitud!$A$2:$B$2000,2,FALSE()),D63),Hoja1!$A$2:$K$1000,7,FALSE()),0)</f>
        <v>70</v>
      </c>
      <c r="AZ63" s="5">
        <f>IFERROR(VLOOKUP(IFERROR(VLOOKUP(D63,Mapa_Similitud!$A$2:$B$2000,2,FALSE()),D63),Hoja1!$A$2:$K$1000,9,FALSE()),0)</f>
        <v>0</v>
      </c>
      <c r="BA63" s="25">
        <f t="shared" si="0"/>
        <v>6.0997067448680352E-2</v>
      </c>
      <c r="BB63" s="25">
        <f t="shared" si="1"/>
        <v>4.5454545454545456E-2</v>
      </c>
      <c r="BC63" s="25">
        <f t="shared" si="2"/>
        <v>0.41935483870967744</v>
      </c>
      <c r="BD63" s="25">
        <f t="shared" si="3"/>
        <v>1.9941348973607036E-2</v>
      </c>
      <c r="BE63" s="25">
        <f t="shared" si="4"/>
        <v>7.331378299120235E-2</v>
      </c>
      <c r="BF63" s="25">
        <f t="shared" si="5"/>
        <v>6.9444444444444446</v>
      </c>
      <c r="BG63" s="25">
        <f t="shared" si="6"/>
        <v>0.43072289156626509</v>
      </c>
      <c r="BH63" s="25">
        <f t="shared" si="7"/>
        <v>6.5454545454545446E-2</v>
      </c>
      <c r="BI63" s="25">
        <f t="shared" si="8"/>
        <v>2.8571428571428571E-2</v>
      </c>
      <c r="BJ63" s="25">
        <f t="shared" si="9"/>
        <v>5.4176072234762979E-2</v>
      </c>
      <c r="BK63" s="25">
        <f t="shared" si="10"/>
        <v>0.34988713318284426</v>
      </c>
      <c r="BL63" s="25">
        <f t="shared" si="11"/>
        <v>0.14516129032258066</v>
      </c>
      <c r="BM63" s="25">
        <f t="shared" si="12"/>
        <v>0.35777126099706746</v>
      </c>
      <c r="BN63" s="18" t="str">
        <f t="shared" si="18"/>
        <v>Baja fuente de proteína</v>
      </c>
      <c r="BO63" s="18" t="str">
        <f t="shared" si="19"/>
        <v>Alta fuente de fibra</v>
      </c>
      <c r="BP63" s="18" t="str">
        <f t="shared" si="20"/>
        <v>Baja fuente de calcio</v>
      </c>
      <c r="BQ63" s="18" t="str">
        <f t="shared" si="21"/>
        <v>Alta fuente de hierro</v>
      </c>
      <c r="BR63" s="18" t="str">
        <f t="shared" si="22"/>
        <v>Bajo en sodio</v>
      </c>
      <c r="BS63" s="6" t="str">
        <f t="shared" si="13"/>
        <v>Altamente antiinflamatorio</v>
      </c>
      <c r="BT63" s="6" t="str">
        <f t="shared" si="14"/>
        <v>Bajo en grasas</v>
      </c>
      <c r="BU63" s="18" t="str">
        <f t="shared" si="23"/>
        <v>Equilibrio de líquidos ideal</v>
      </c>
      <c r="BV63" s="18" t="str">
        <f t="shared" si="24"/>
        <v>Media fuente de magnesio</v>
      </c>
      <c r="BW63" s="18" t="str">
        <f t="shared" si="25"/>
        <v>Sin aporte de Omega 3</v>
      </c>
      <c r="BX63" s="18" t="str">
        <f t="shared" si="26"/>
        <v>Libre de grasas trans</v>
      </c>
      <c r="BY63" s="18" t="str">
        <f t="shared" si="27"/>
        <v>Alto poder antioxidante</v>
      </c>
      <c r="BZ63" s="6" t="str">
        <f t="shared" si="15"/>
        <v>Sin probióticos</v>
      </c>
      <c r="CA63" s="18" t="str">
        <f t="shared" si="28"/>
        <v>Antiinflamatorio</v>
      </c>
      <c r="CB63" s="18" t="str">
        <f>IF(ISNUMBER(SEARCH("miel", D63)), "No irritante (Uso condicionado SII)", IF(OR(J63&gt;0, ISNUMBER(SEARCH("cacao", D63)), ISNUMBER(SEARCH("chocolate puro", D63))), "Altamente irritante", IF(OR(AND(O63&gt;15, BI63&gt;1), ISNUMBER(SEARCH("chocolate", D63))), "Moderadamente irritante", "No irritante")))</f>
        <v>No irritante</v>
      </c>
      <c r="CC63" s="6" t="str">
        <f t="shared" si="16"/>
        <v>Exceso relativo de Omega 6</v>
      </c>
    </row>
    <row r="64" spans="1:81" ht="15" customHeight="1" x14ac:dyDescent="0.3">
      <c r="A64" s="2">
        <f t="shared" si="17"/>
        <v>63</v>
      </c>
      <c r="B64" s="3" t="s">
        <v>134</v>
      </c>
      <c r="C64" s="3" t="s">
        <v>152</v>
      </c>
      <c r="D64" s="3" t="s">
        <v>155</v>
      </c>
      <c r="E64" s="3"/>
      <c r="F64" s="4">
        <v>0.8</v>
      </c>
      <c r="G64" s="5">
        <v>1</v>
      </c>
      <c r="H64" s="5">
        <v>307</v>
      </c>
      <c r="I64" s="5">
        <v>10.4</v>
      </c>
      <c r="J64" s="5">
        <v>0</v>
      </c>
      <c r="K64" s="5">
        <v>26.1</v>
      </c>
      <c r="L64" s="5">
        <v>33.299999999999997</v>
      </c>
      <c r="M64" s="5">
        <v>30.8</v>
      </c>
      <c r="N64" s="5">
        <v>2.5</v>
      </c>
      <c r="O64" s="5">
        <v>0</v>
      </c>
      <c r="P64" s="5">
        <v>25</v>
      </c>
      <c r="Q64" s="5">
        <v>2.1</v>
      </c>
      <c r="R64" s="5">
        <v>0.3</v>
      </c>
      <c r="S64" s="5">
        <v>0.3</v>
      </c>
      <c r="T64" s="5">
        <v>1.1000000000000001</v>
      </c>
      <c r="U64" s="5">
        <v>0</v>
      </c>
      <c r="V64" s="5">
        <v>5.3</v>
      </c>
      <c r="W64" s="5">
        <v>0</v>
      </c>
      <c r="X64" s="5">
        <v>32</v>
      </c>
      <c r="Y64" s="5">
        <v>0</v>
      </c>
      <c r="Z64" s="5">
        <v>0.09</v>
      </c>
      <c r="AA64" s="5">
        <v>19</v>
      </c>
      <c r="AB64" s="5">
        <v>0.5</v>
      </c>
      <c r="AC64" s="5">
        <v>0.26</v>
      </c>
      <c r="AD64" s="5">
        <v>6.9</v>
      </c>
      <c r="AE64" s="5">
        <v>0.37</v>
      </c>
      <c r="AF64" s="5">
        <v>423</v>
      </c>
      <c r="AG64" s="5">
        <v>0</v>
      </c>
      <c r="AH64" s="5">
        <v>0.98</v>
      </c>
      <c r="AI64" s="5">
        <v>0</v>
      </c>
      <c r="AJ64" s="5">
        <v>4</v>
      </c>
      <c r="AK64" s="5">
        <v>100</v>
      </c>
      <c r="AL64" s="5">
        <v>590</v>
      </c>
      <c r="AM64" s="5">
        <v>5.5</v>
      </c>
      <c r="AN64" s="5">
        <v>2</v>
      </c>
      <c r="AO64" s="5">
        <v>3.1</v>
      </c>
      <c r="AP64" s="5">
        <v>190</v>
      </c>
      <c r="AQ64" s="5">
        <v>11</v>
      </c>
      <c r="AR64" s="5">
        <v>1090</v>
      </c>
      <c r="AS64" s="5">
        <v>1.6</v>
      </c>
      <c r="AT64" s="5">
        <v>0.82</v>
      </c>
      <c r="AU64" s="5">
        <v>8.1999999999999993</v>
      </c>
      <c r="AV64" s="5">
        <f>IFERROR(VLOOKUP(IFERROR(VLOOKUP(D64,Mapa_Similitud!$A$2:$B$2000,2,FALSE()),D64),Hoja1!$A$2:$K$1000,2,FALSE()),IFERROR(VLOOKUP(IFERROR(VLOOKUP(D64,Mapa_Similitud!$A$2:$B$2000,2,FALSE()),D64),Omega3_Referencia!$A$2:$E$100,3,FALSE()),0))</f>
        <v>0.03</v>
      </c>
      <c r="AW64" s="3" t="str">
        <f>IFERROR(VLOOKUP(IFERROR(VLOOKUP(D64,Mapa_Similitud!$A$2:$B$2000,2,FALSE()),D64),Hoja1!$A$2:$K$1000,3,FALSE()),IFERROR(VLOOKUP(IFERROR(VLOOKUP(D64,Mapa_Similitud!$A$2:$B$2000,2,FALSE()),D64),Omega3_Referencia!$A$2:$E$100,4,FALSE()),"N/A"))</f>
        <v>ALA</v>
      </c>
      <c r="AX64" s="5">
        <f>IFERROR(VLOOKUP(IFERROR(VLOOKUP(D64,Mapa_Similitud!$A$2:$B$2000,2,FALSE()),D64),Hoja1!$A$2:$K$1000,5,FALSE()),0)</f>
        <v>0</v>
      </c>
      <c r="AY64" s="5">
        <f>IFERROR(VLOOKUP(IFERROR(VLOOKUP(D64,Mapa_Similitud!$A$2:$B$2000,2,FALSE()),D64),Hoja1!$A$2:$K$1000,7,FALSE()),0)</f>
        <v>50</v>
      </c>
      <c r="AZ64" s="5">
        <f>IFERROR(VLOOKUP(IFERROR(VLOOKUP(D64,Mapa_Similitud!$A$2:$B$2000,2,FALSE()),D64),Hoja1!$A$2:$K$1000,9,FALSE()),0)</f>
        <v>0</v>
      </c>
      <c r="BA64" s="25">
        <f t="shared" si="0"/>
        <v>8.5016286644951145E-2</v>
      </c>
      <c r="BB64" s="25">
        <f t="shared" si="1"/>
        <v>8.143322475570032E-2</v>
      </c>
      <c r="BC64" s="25">
        <f t="shared" si="2"/>
        <v>0.32573289902280128</v>
      </c>
      <c r="BD64" s="25">
        <f t="shared" si="3"/>
        <v>1.7915309446254073E-2</v>
      </c>
      <c r="BE64" s="25">
        <f t="shared" si="4"/>
        <v>3.5830618892508145E-2</v>
      </c>
      <c r="BF64" s="25">
        <f t="shared" si="5"/>
        <v>3.666666666666667</v>
      </c>
      <c r="BG64" s="25">
        <f t="shared" si="6"/>
        <v>0.16949152542372881</v>
      </c>
      <c r="BH64" s="25">
        <f t="shared" si="7"/>
        <v>0.14285714285714285</v>
      </c>
      <c r="BI64" s="25">
        <f t="shared" si="8"/>
        <v>1.0091743119266056E-2</v>
      </c>
      <c r="BJ64" s="25">
        <f t="shared" si="9"/>
        <v>7.5075075075075076E-2</v>
      </c>
      <c r="BK64" s="25">
        <f t="shared" si="10"/>
        <v>0.75075075075075082</v>
      </c>
      <c r="BL64" s="25">
        <f t="shared" si="11"/>
        <v>6.1563517915309451E-2</v>
      </c>
      <c r="BM64" s="25">
        <f t="shared" si="12"/>
        <v>0.61889250814332253</v>
      </c>
      <c r="BN64" s="18" t="str">
        <f t="shared" si="18"/>
        <v>Baja fuente de proteína</v>
      </c>
      <c r="BO64" s="18" t="str">
        <f t="shared" si="19"/>
        <v>Alta fuente de fibra</v>
      </c>
      <c r="BP64" s="18" t="str">
        <f t="shared" si="20"/>
        <v>Baja fuente de calcio</v>
      </c>
      <c r="BQ64" s="18" t="str">
        <f t="shared" si="21"/>
        <v>Alta fuente de hierro</v>
      </c>
      <c r="BR64" s="18" t="str">
        <f t="shared" si="22"/>
        <v>Bajo en sodio</v>
      </c>
      <c r="BS64" s="6" t="str">
        <f t="shared" si="13"/>
        <v>Altamente antiinflamatorio</v>
      </c>
      <c r="BT64" s="6" t="str">
        <f t="shared" si="14"/>
        <v>Bajo en grasas</v>
      </c>
      <c r="BU64" s="18" t="str">
        <f t="shared" si="23"/>
        <v>Equilibrio de líquidos ideal</v>
      </c>
      <c r="BV64" s="18" t="str">
        <f t="shared" si="24"/>
        <v>Alta fuente de magnesio</v>
      </c>
      <c r="BW64" s="18" t="str">
        <f t="shared" si="25"/>
        <v>Sin aporte de Omega 3</v>
      </c>
      <c r="BX64" s="18" t="str">
        <f t="shared" si="26"/>
        <v>Libre de grasas trans</v>
      </c>
      <c r="BY64" s="18" t="str">
        <f t="shared" si="27"/>
        <v>Alto poder antioxidante</v>
      </c>
      <c r="BZ64" s="6" t="str">
        <f t="shared" si="15"/>
        <v>Sin probióticos</v>
      </c>
      <c r="CA64" s="18" t="str">
        <f t="shared" si="28"/>
        <v>Antiinflamatorio</v>
      </c>
      <c r="CB64" s="18" t="str">
        <f>IF(ISNUMBER(SEARCH("miel", D64)), "No irritante (Uso condicionado SII)", IF(OR(J64&gt;0, ISNUMBER(SEARCH("cacao", D64)), ISNUMBER(SEARCH("chocolate puro", D64))), "Altamente irritante", IF(OR(AND(O64&gt;15, BI64&gt;1), ISNUMBER(SEARCH("chocolate", D64))), "Moderadamente irritante", "No irritante")))</f>
        <v>No irritante</v>
      </c>
      <c r="CC64" s="6" t="str">
        <f t="shared" si="16"/>
        <v>Exceso relativo de Omega 6</v>
      </c>
    </row>
    <row r="65" spans="1:81" ht="15" customHeight="1" x14ac:dyDescent="0.3">
      <c r="A65" s="2">
        <f t="shared" si="17"/>
        <v>64</v>
      </c>
      <c r="B65" s="3" t="s">
        <v>134</v>
      </c>
      <c r="C65" s="3" t="s">
        <v>152</v>
      </c>
      <c r="D65" s="3" t="s">
        <v>156</v>
      </c>
      <c r="E65" s="3"/>
      <c r="F65" s="4">
        <v>3.5</v>
      </c>
      <c r="G65" s="5">
        <v>1</v>
      </c>
      <c r="H65" s="5">
        <v>300</v>
      </c>
      <c r="I65" s="5">
        <v>3.6</v>
      </c>
      <c r="J65" s="5">
        <v>0</v>
      </c>
      <c r="K65" s="5">
        <v>4.5999999999999996</v>
      </c>
      <c r="L65" s="5">
        <v>49.1</v>
      </c>
      <c r="M65" s="5">
        <v>0</v>
      </c>
      <c r="N65" s="5">
        <v>49.1</v>
      </c>
      <c r="O65" s="5">
        <v>0</v>
      </c>
      <c r="P65" s="5">
        <v>39.799999999999997</v>
      </c>
      <c r="Q65" s="5">
        <v>0.65</v>
      </c>
      <c r="R65" s="5">
        <v>0.09</v>
      </c>
      <c r="S65" s="5">
        <v>0.02</v>
      </c>
      <c r="T65" s="5">
        <v>0.22</v>
      </c>
      <c r="U65" s="5">
        <v>0</v>
      </c>
      <c r="V65" s="5">
        <v>1.3</v>
      </c>
      <c r="W65" s="5">
        <v>0</v>
      </c>
      <c r="X65" s="5">
        <v>8</v>
      </c>
      <c r="Y65" s="5">
        <v>0</v>
      </c>
      <c r="Z65" s="5">
        <v>0.63</v>
      </c>
      <c r="AA65" s="5">
        <v>0</v>
      </c>
      <c r="AB65" s="5">
        <v>5.2999999999999999E-2</v>
      </c>
      <c r="AC65" s="5">
        <v>0.46</v>
      </c>
      <c r="AD65" s="5">
        <v>1.9</v>
      </c>
      <c r="AE65" s="5">
        <v>0.37</v>
      </c>
      <c r="AF65" s="5">
        <v>21</v>
      </c>
      <c r="AG65" s="5">
        <v>0</v>
      </c>
      <c r="AH65" s="5">
        <v>0</v>
      </c>
      <c r="AI65" s="5">
        <v>0</v>
      </c>
      <c r="AJ65" s="5">
        <v>0.2</v>
      </c>
      <c r="AK65" s="5">
        <v>348</v>
      </c>
      <c r="AL65" s="5">
        <v>79</v>
      </c>
      <c r="AM65" s="5">
        <v>2.9</v>
      </c>
      <c r="AN65" s="5">
        <v>0</v>
      </c>
      <c r="AO65" s="5">
        <v>9.1999999999999998E-2</v>
      </c>
      <c r="AP65" s="5">
        <v>54</v>
      </c>
      <c r="AQ65" s="5">
        <v>35</v>
      </c>
      <c r="AR65" s="5">
        <v>827</v>
      </c>
      <c r="AS65" s="5">
        <v>0</v>
      </c>
      <c r="AT65" s="5">
        <v>0</v>
      </c>
      <c r="AU65" s="5">
        <v>5.3</v>
      </c>
      <c r="AV65" s="5">
        <f>IFERROR(VLOOKUP(IFERROR(VLOOKUP(D65,Mapa_Similitud!$A$2:$B$2000,2,FALSE()),D65),Hoja1!$A$2:$K$1000,2,FALSE()),IFERROR(VLOOKUP(IFERROR(VLOOKUP(D65,Mapa_Similitud!$A$2:$B$2000,2,FALSE()),D65),Omega3_Referencia!$A$2:$E$100,3,FALSE()),0))</f>
        <v>0</v>
      </c>
      <c r="AW65" s="3" t="str">
        <f>IFERROR(VLOOKUP(IFERROR(VLOOKUP(D65,Mapa_Similitud!$A$2:$B$2000,2,FALSE()),D65),Hoja1!$A$2:$K$1000,3,FALSE()),IFERROR(VLOOKUP(IFERROR(VLOOKUP(D65,Mapa_Similitud!$A$2:$B$2000,2,FALSE()),D65),Omega3_Referencia!$A$2:$E$100,4,FALSE()),"N/A"))</f>
        <v>N/A</v>
      </c>
      <c r="AX65" s="5">
        <f>IFERROR(VLOOKUP(IFERROR(VLOOKUP(D65,Mapa_Similitud!$A$2:$B$2000,2,FALSE()),D65),Hoja1!$A$2:$K$1000,5,FALSE()),0)</f>
        <v>0</v>
      </c>
      <c r="AY65" s="5">
        <f>IFERROR(VLOOKUP(IFERROR(VLOOKUP(D65,Mapa_Similitud!$A$2:$B$2000,2,FALSE()),D65),Hoja1!$A$2:$K$1000,7,FALSE()),0)</f>
        <v>400</v>
      </c>
      <c r="AZ65" s="5">
        <f>IFERROR(VLOOKUP(IFERROR(VLOOKUP(D65,Mapa_Similitud!$A$2:$B$2000,2,FALSE()),D65),Hoja1!$A$2:$K$1000,9,FALSE()),0)</f>
        <v>0</v>
      </c>
      <c r="BA65" s="25">
        <f t="shared" si="0"/>
        <v>1.5333333333333332E-2</v>
      </c>
      <c r="BB65" s="25">
        <f t="shared" si="1"/>
        <v>0.13266666666666665</v>
      </c>
      <c r="BC65" s="25">
        <f t="shared" si="2"/>
        <v>1.1599999999999999</v>
      </c>
      <c r="BD65" s="25">
        <f t="shared" si="3"/>
        <v>9.6666666666666672E-3</v>
      </c>
      <c r="BE65" s="25">
        <f t="shared" si="4"/>
        <v>0.11666666666666667</v>
      </c>
      <c r="BF65" s="25">
        <f t="shared" si="5"/>
        <v>2.4444444444444446</v>
      </c>
      <c r="BG65" s="25">
        <f t="shared" si="6"/>
        <v>4.4050632911392409</v>
      </c>
      <c r="BH65" s="25">
        <f t="shared" si="7"/>
        <v>0.13846153846153844</v>
      </c>
      <c r="BI65" s="25">
        <f t="shared" si="8"/>
        <v>4.2321644498186213E-2</v>
      </c>
      <c r="BJ65" s="25">
        <f t="shared" si="9"/>
        <v>1</v>
      </c>
      <c r="BK65" s="25">
        <f t="shared" si="10"/>
        <v>0.810590631364562</v>
      </c>
      <c r="BL65" s="25">
        <f t="shared" si="11"/>
        <v>1.9500000000000003E-2</v>
      </c>
      <c r="BM65" s="25">
        <f t="shared" si="12"/>
        <v>0.18</v>
      </c>
      <c r="BN65" s="18" t="str">
        <f t="shared" si="18"/>
        <v>Baja fuente de proteína</v>
      </c>
      <c r="BO65" s="18" t="str">
        <f t="shared" si="19"/>
        <v>Alta fuente de fibra</v>
      </c>
      <c r="BP65" s="18" t="str">
        <f t="shared" si="20"/>
        <v>Media fuente de calcio</v>
      </c>
      <c r="BQ65" s="18" t="str">
        <f t="shared" si="21"/>
        <v>Media fuente de hierro</v>
      </c>
      <c r="BR65" s="18" t="str">
        <f t="shared" si="22"/>
        <v>Bajo en sodio</v>
      </c>
      <c r="BS65" s="6" t="str">
        <f t="shared" si="13"/>
        <v>Altamente antiinflamatorio</v>
      </c>
      <c r="BT65" s="6" t="str">
        <f t="shared" si="14"/>
        <v>Bajo en grasas</v>
      </c>
      <c r="BU65" s="18" t="str">
        <f t="shared" si="23"/>
        <v>Equilibrio de líquidos ideal</v>
      </c>
      <c r="BV65" s="18" t="str">
        <f t="shared" si="24"/>
        <v>Baja fuente de magnesio</v>
      </c>
      <c r="BW65" s="18" t="str">
        <f t="shared" si="25"/>
        <v>Sin aporte de Omega 3</v>
      </c>
      <c r="BX65" s="18" t="str">
        <f t="shared" si="26"/>
        <v>Libre de grasas trans</v>
      </c>
      <c r="BY65" s="18" t="str">
        <f t="shared" si="27"/>
        <v>Alto poder antioxidante</v>
      </c>
      <c r="BZ65" s="6" t="str">
        <f t="shared" si="15"/>
        <v>Sin probióticos</v>
      </c>
      <c r="CA65" s="18" t="str">
        <f t="shared" si="28"/>
        <v>Antiinflamatorio</v>
      </c>
      <c r="CB65" s="18" t="str">
        <f>IF(ISNUMBER(SEARCH("miel", D65)), "No irritante (Uso condicionado SII)", IF(OR(J65&gt;0, ISNUMBER(SEARCH("cacao", D65)), ISNUMBER(SEARCH("chocolate puro", D65))), "Altamente irritante", IF(OR(AND(O65&gt;15, BI65&gt;1), ISNUMBER(SEARCH("chocolate", D65))), "Moderadamente irritante", "No irritante")))</f>
        <v>No irritante</v>
      </c>
      <c r="CC65" s="6" t="str">
        <f t="shared" si="16"/>
        <v>Sin Omega 3 para evaluar</v>
      </c>
    </row>
    <row r="66" spans="1:81" ht="15" customHeight="1" x14ac:dyDescent="0.3">
      <c r="A66" s="2">
        <f t="shared" si="17"/>
        <v>65</v>
      </c>
      <c r="B66" s="3" t="s">
        <v>134</v>
      </c>
      <c r="C66" s="3" t="s">
        <v>152</v>
      </c>
      <c r="D66" s="3" t="s">
        <v>157</v>
      </c>
      <c r="E66" s="3"/>
      <c r="F66" s="4">
        <v>1.1000000000000001</v>
      </c>
      <c r="G66" s="5">
        <v>1</v>
      </c>
      <c r="H66" s="5">
        <v>284</v>
      </c>
      <c r="I66" s="5">
        <v>15.5</v>
      </c>
      <c r="J66" s="5">
        <v>0</v>
      </c>
      <c r="K66" s="5">
        <v>21.1</v>
      </c>
      <c r="L66" s="5">
        <v>34.700000000000003</v>
      </c>
      <c r="M66" s="5">
        <v>32.700000000000003</v>
      </c>
      <c r="N66" s="5">
        <v>2</v>
      </c>
      <c r="O66" s="5">
        <v>0</v>
      </c>
      <c r="P66" s="5">
        <v>23.2</v>
      </c>
      <c r="Q66" s="5">
        <v>1.6</v>
      </c>
      <c r="R66" s="5">
        <v>0.43</v>
      </c>
      <c r="S66" s="5">
        <v>0.14000000000000001</v>
      </c>
      <c r="T66" s="5">
        <v>0.69</v>
      </c>
      <c r="U66" s="5">
        <v>0</v>
      </c>
      <c r="V66" s="5">
        <v>67</v>
      </c>
      <c r="W66" s="5">
        <v>0</v>
      </c>
      <c r="X66" s="5">
        <v>400</v>
      </c>
      <c r="Y66" s="5">
        <v>0</v>
      </c>
      <c r="Z66" s="5">
        <v>0.21</v>
      </c>
      <c r="AA66" s="5">
        <v>19</v>
      </c>
      <c r="AB66" s="5">
        <v>0.5</v>
      </c>
      <c r="AC66" s="5">
        <v>0.12</v>
      </c>
      <c r="AD66" s="5">
        <v>5.3</v>
      </c>
      <c r="AE66" s="5">
        <v>0.41</v>
      </c>
      <c r="AF66" s="5">
        <v>388</v>
      </c>
      <c r="AG66" s="5">
        <v>0</v>
      </c>
      <c r="AH66" s="5">
        <v>0.87</v>
      </c>
      <c r="AI66" s="5">
        <v>0</v>
      </c>
      <c r="AJ66" s="5">
        <v>2.5</v>
      </c>
      <c r="AK66" s="5">
        <v>113</v>
      </c>
      <c r="AL66" s="5">
        <v>426</v>
      </c>
      <c r="AM66" s="5">
        <v>6.2</v>
      </c>
      <c r="AN66" s="5">
        <v>1.8</v>
      </c>
      <c r="AO66" s="5">
        <v>2.6</v>
      </c>
      <c r="AP66" s="5">
        <v>140</v>
      </c>
      <c r="AQ66" s="5">
        <v>15</v>
      </c>
      <c r="AR66" s="5">
        <v>1337</v>
      </c>
      <c r="AS66" s="5">
        <v>1.6</v>
      </c>
      <c r="AT66" s="5">
        <v>0.98</v>
      </c>
      <c r="AU66" s="5">
        <v>12.8</v>
      </c>
      <c r="AV66" s="5">
        <f>IFERROR(VLOOKUP(IFERROR(VLOOKUP(D66,Mapa_Similitud!$A$2:$B$2000,2,FALSE()),D66),Hoja1!$A$2:$K$1000,2,FALSE()),IFERROR(VLOOKUP(IFERROR(VLOOKUP(D66,Mapa_Similitud!$A$2:$B$2000,2,FALSE()),D66),Omega3_Referencia!$A$2:$E$100,3,FALSE()),0))</f>
        <v>0.18</v>
      </c>
      <c r="AW66" s="3" t="str">
        <f>IFERROR(VLOOKUP(IFERROR(VLOOKUP(D66,Mapa_Similitud!$A$2:$B$2000,2,FALSE()),D66),Hoja1!$A$2:$K$1000,3,FALSE()),IFERROR(VLOOKUP(IFERROR(VLOOKUP(D66,Mapa_Similitud!$A$2:$B$2000,2,FALSE()),D66),Omega3_Referencia!$A$2:$E$100,4,FALSE()),"N/A"))</f>
        <v>ALA</v>
      </c>
      <c r="AX66" s="5">
        <f>IFERROR(VLOOKUP(IFERROR(VLOOKUP(D66,Mapa_Similitud!$A$2:$B$2000,2,FALSE()),D66),Hoja1!$A$2:$K$1000,5,FALSE()),0)</f>
        <v>0</v>
      </c>
      <c r="AY66" s="5">
        <f>IFERROR(VLOOKUP(IFERROR(VLOOKUP(D66,Mapa_Similitud!$A$2:$B$2000,2,FALSE()),D66),Hoja1!$A$2:$K$1000,7,FALSE()),0)</f>
        <v>105.5</v>
      </c>
      <c r="AZ66" s="5">
        <f>IFERROR(VLOOKUP(IFERROR(VLOOKUP(D66,Mapa_Similitud!$A$2:$B$2000,2,FALSE()),D66),Hoja1!$A$2:$K$1000,9,FALSE()),0)</f>
        <v>0</v>
      </c>
      <c r="BA66" s="25">
        <f t="shared" ref="BA66:BA129" si="29">IFERROR(K66/H66,0)</f>
        <v>7.4295774647887322E-2</v>
      </c>
      <c r="BB66" s="25">
        <f t="shared" ref="BB66:BB129" si="30">IFERROR(P66/H66,0)</f>
        <v>8.1690140845070425E-2</v>
      </c>
      <c r="BC66" s="25">
        <f t="shared" ref="BC66:BC129" si="31">IFERROR(AK66/H66,0)</f>
        <v>0.397887323943662</v>
      </c>
      <c r="BD66" s="25">
        <f t="shared" ref="BD66:BD129" si="32">IFERROR(AM66/H66,0)</f>
        <v>2.183098591549296E-2</v>
      </c>
      <c r="BE66" s="25">
        <f t="shared" ref="BE66:BE129" si="33">IFERROR(AQ66/H66,0)</f>
        <v>5.2816901408450703E-2</v>
      </c>
      <c r="BF66" s="25">
        <f t="shared" ref="BF66:BF129" si="34">IFERROR(T66/R66,0)</f>
        <v>1.6046511627906976</v>
      </c>
      <c r="BG66" s="25">
        <f t="shared" ref="BG66:BG129" si="35">IFERROR(AK66/AL66,0)</f>
        <v>0.26525821596244131</v>
      </c>
      <c r="BH66" s="25">
        <f t="shared" ref="BH66:BH129" si="36">IFERROR(R66/Q66,0)</f>
        <v>0.26874999999999999</v>
      </c>
      <c r="BI66" s="25">
        <f t="shared" ref="BI66:BI129" si="37">IFERROR(AQ66/AR66,0)</f>
        <v>1.1219147344801795E-2</v>
      </c>
      <c r="BJ66" s="25">
        <f t="shared" ref="BJ66:BJ129" si="38">IFERROR(N66/L66,0)</f>
        <v>5.7636887608069162E-2</v>
      </c>
      <c r="BK66" s="25">
        <f t="shared" ref="BK66:BK129" si="39">IFERROR(P66/L66,0)</f>
        <v>0.66858789625360227</v>
      </c>
      <c r="BL66" s="25">
        <f t="shared" ref="BL66:BL129" si="40">IFERROR((Q66*9)/H66,0)</f>
        <v>5.0704225352112678E-2</v>
      </c>
      <c r="BM66" s="25">
        <f t="shared" ref="BM66:BM129" si="41">IFERROR(AP66/H66,0)</f>
        <v>0.49295774647887325</v>
      </c>
      <c r="BN66" s="18" t="str">
        <f t="shared" si="18"/>
        <v>Baja fuente de proteína</v>
      </c>
      <c r="BO66" s="18" t="str">
        <f t="shared" si="19"/>
        <v>Alta fuente de fibra</v>
      </c>
      <c r="BP66" s="18" t="str">
        <f t="shared" si="20"/>
        <v>Baja fuente de calcio</v>
      </c>
      <c r="BQ66" s="18" t="str">
        <f t="shared" si="21"/>
        <v>Alta fuente de hierro</v>
      </c>
      <c r="BR66" s="18" t="str">
        <f t="shared" si="22"/>
        <v>Bajo en sodio</v>
      </c>
      <c r="BS66" s="6" t="str">
        <f t="shared" ref="BS66:BS129" si="42">IF(BF66&gt;2,"Altamente antiinflamatorio",IF(BF66&gt;1,"Ligeramente antiinflamatorio",IF(BF66&gt;0.5,"Neutro","Proinflamatorio")))</f>
        <v>Ligeramente antiinflamatorio</v>
      </c>
      <c r="BT66" s="6" t="str">
        <f t="shared" ref="BT66:BT129" si="43">IF(BL66&gt;0.4,"Muy alto en grasas",IF(BL66&gt;0.3,"Alto en grasas",IF(BL66&gt;0.2,"Moderado en grasas","Bajo en grasas")))</f>
        <v>Bajo en grasas</v>
      </c>
      <c r="BU66" s="18" t="str">
        <f t="shared" si="23"/>
        <v>Equilibrio de líquidos ideal</v>
      </c>
      <c r="BV66" s="18" t="str">
        <f t="shared" si="24"/>
        <v>Media fuente de magnesio</v>
      </c>
      <c r="BW66" s="18" t="str">
        <f t="shared" si="25"/>
        <v>Ligera fuente de Omega 3</v>
      </c>
      <c r="BX66" s="18" t="str">
        <f t="shared" si="26"/>
        <v>Libre de grasas trans</v>
      </c>
      <c r="BY66" s="18" t="str">
        <f t="shared" si="27"/>
        <v>Alto poder antioxidante</v>
      </c>
      <c r="BZ66" s="6" t="str">
        <f t="shared" ref="BZ66:BZ129" si="44">IF(AZ66&gt;=1,"Probiótico activo","Sin probióticos")</f>
        <v>Sin probióticos</v>
      </c>
      <c r="CA66" s="18" t="str">
        <f t="shared" si="28"/>
        <v>Antiinflamatorio</v>
      </c>
      <c r="CB66" s="18" t="str">
        <f>IF(ISNUMBER(SEARCH("miel", D66)), "No irritante (Uso condicionado SII)", IF(OR(J66&gt;0, ISNUMBER(SEARCH("cacao", D66)), ISNUMBER(SEARCH("chocolate puro", D66))), "Altamente irritante", IF(OR(AND(O66&gt;15, BI66&gt;1), ISNUMBER(SEARCH("chocolate", D66))), "Moderadamente irritante", "No irritante")))</f>
        <v>No irritante</v>
      </c>
      <c r="CC66" s="6" t="str">
        <f t="shared" ref="CC66:CC129" si="45">IF(AV66=0,"Sin Omega 3 para evaluar",IFERROR(IF(((T66-AV66)/AV66)&gt;4,"Exceso relativo de Omega 6","Balance de omegas favorable"),"Sin Omega 3 para evaluar"))</f>
        <v>Balance de omegas favorable</v>
      </c>
    </row>
    <row r="67" spans="1:81" ht="15" customHeight="1" x14ac:dyDescent="0.3">
      <c r="A67" s="2">
        <f t="shared" ref="A67:A130" si="46">1+A66</f>
        <v>66</v>
      </c>
      <c r="B67" s="3" t="s">
        <v>134</v>
      </c>
      <c r="C67" s="3" t="s">
        <v>152</v>
      </c>
      <c r="D67" s="3" t="s">
        <v>158</v>
      </c>
      <c r="E67" s="3"/>
      <c r="F67" s="4">
        <v>1</v>
      </c>
      <c r="G67" s="5">
        <v>1</v>
      </c>
      <c r="H67" s="5">
        <v>292</v>
      </c>
      <c r="I67" s="5">
        <v>11.8</v>
      </c>
      <c r="J67" s="5">
        <v>0</v>
      </c>
      <c r="K67" s="5">
        <v>23.6</v>
      </c>
      <c r="L67" s="5">
        <v>35.1</v>
      </c>
      <c r="M67" s="5">
        <v>32.9</v>
      </c>
      <c r="N67" s="5">
        <v>2.2000000000000002</v>
      </c>
      <c r="O67" s="5">
        <v>0</v>
      </c>
      <c r="P67" s="5">
        <v>24.9</v>
      </c>
      <c r="Q67" s="5">
        <v>0.83</v>
      </c>
      <c r="R67" s="5">
        <v>0.12</v>
      </c>
      <c r="S67" s="5">
        <v>6.4000000000000001E-2</v>
      </c>
      <c r="T67" s="5">
        <v>0.46</v>
      </c>
      <c r="U67" s="5">
        <v>0</v>
      </c>
      <c r="V67" s="5">
        <v>67</v>
      </c>
      <c r="W67" s="5">
        <v>0</v>
      </c>
      <c r="X67" s="5">
        <v>400</v>
      </c>
      <c r="Y67" s="5">
        <v>0</v>
      </c>
      <c r="Z67" s="5">
        <v>0.22</v>
      </c>
      <c r="AA67" s="5">
        <v>19</v>
      </c>
      <c r="AB67" s="5">
        <v>0.53</v>
      </c>
      <c r="AC67" s="5">
        <v>0.22</v>
      </c>
      <c r="AD67" s="5">
        <v>6.8</v>
      </c>
      <c r="AE67" s="5">
        <v>0.4</v>
      </c>
      <c r="AF67" s="5">
        <v>394</v>
      </c>
      <c r="AG67" s="5">
        <v>0</v>
      </c>
      <c r="AH67" s="5">
        <v>0.78</v>
      </c>
      <c r="AI67" s="5">
        <v>0</v>
      </c>
      <c r="AJ67" s="5">
        <v>4.5</v>
      </c>
      <c r="AK67" s="5">
        <v>143</v>
      </c>
      <c r="AL67" s="5">
        <v>407</v>
      </c>
      <c r="AM67" s="5">
        <v>8.1999999999999993</v>
      </c>
      <c r="AN67" s="5">
        <v>2</v>
      </c>
      <c r="AO67" s="5">
        <v>2.8</v>
      </c>
      <c r="AP67" s="5">
        <v>140</v>
      </c>
      <c r="AQ67" s="5">
        <v>24</v>
      </c>
      <c r="AR67" s="5">
        <v>1406</v>
      </c>
      <c r="AS67" s="5">
        <v>1</v>
      </c>
      <c r="AT67" s="5">
        <v>0.96</v>
      </c>
      <c r="AU67" s="5">
        <v>3.2</v>
      </c>
      <c r="AV67" s="5">
        <f>IFERROR(VLOOKUP(IFERROR(VLOOKUP(D67,Mapa_Similitud!$A$2:$B$2000,2,FALSE()),D67),Hoja1!$A$2:$K$1000,2,FALSE()),IFERROR(VLOOKUP(IFERROR(VLOOKUP(D67,Mapa_Similitud!$A$2:$B$2000,2,FALSE()),D67),Omega3_Referencia!$A$2:$E$100,3,FALSE()),0))</f>
        <v>0.15</v>
      </c>
      <c r="AW67" s="3" t="str">
        <f>IFERROR(VLOOKUP(IFERROR(VLOOKUP(D67,Mapa_Similitud!$A$2:$B$2000,2,FALSE()),D67),Hoja1!$A$2:$K$1000,3,FALSE()),IFERROR(VLOOKUP(IFERROR(VLOOKUP(D67,Mapa_Similitud!$A$2:$B$2000,2,FALSE()),D67),Omega3_Referencia!$A$2:$E$100,4,FALSE()),"N/A"))</f>
        <v>ALA</v>
      </c>
      <c r="AX67" s="5">
        <f>IFERROR(VLOOKUP(IFERROR(VLOOKUP(D67,Mapa_Similitud!$A$2:$B$2000,2,FALSE()),D67),Hoja1!$A$2:$K$1000,5,FALSE()),0)</f>
        <v>0</v>
      </c>
      <c r="AY67" s="5">
        <f>IFERROR(VLOOKUP(IFERROR(VLOOKUP(D67,Mapa_Similitud!$A$2:$B$2000,2,FALSE()),D67),Hoja1!$A$2:$K$1000,7,FALSE()),0)</f>
        <v>325.3</v>
      </c>
      <c r="AZ67" s="5">
        <f>IFERROR(VLOOKUP(IFERROR(VLOOKUP(D67,Mapa_Similitud!$A$2:$B$2000,2,FALSE()),D67),Hoja1!$A$2:$K$1000,9,FALSE()),0)</f>
        <v>0</v>
      </c>
      <c r="BA67" s="25">
        <f t="shared" si="29"/>
        <v>8.0821917808219179E-2</v>
      </c>
      <c r="BB67" s="25">
        <f t="shared" si="30"/>
        <v>8.5273972602739723E-2</v>
      </c>
      <c r="BC67" s="25">
        <f t="shared" si="31"/>
        <v>0.48972602739726029</v>
      </c>
      <c r="BD67" s="25">
        <f t="shared" si="32"/>
        <v>2.8082191780821917E-2</v>
      </c>
      <c r="BE67" s="25">
        <f t="shared" si="33"/>
        <v>8.2191780821917804E-2</v>
      </c>
      <c r="BF67" s="25">
        <f t="shared" si="34"/>
        <v>3.8333333333333335</v>
      </c>
      <c r="BG67" s="25">
        <f t="shared" si="35"/>
        <v>0.35135135135135137</v>
      </c>
      <c r="BH67" s="25">
        <f t="shared" si="36"/>
        <v>0.14457831325301204</v>
      </c>
      <c r="BI67" s="25">
        <f t="shared" si="37"/>
        <v>1.7069701280227598E-2</v>
      </c>
      <c r="BJ67" s="25">
        <f t="shared" si="38"/>
        <v>6.2678062678062682E-2</v>
      </c>
      <c r="BK67" s="25">
        <f t="shared" si="39"/>
        <v>0.70940170940170932</v>
      </c>
      <c r="BL67" s="25">
        <f t="shared" si="40"/>
        <v>2.5582191780821918E-2</v>
      </c>
      <c r="BM67" s="25">
        <f t="shared" si="41"/>
        <v>0.47945205479452052</v>
      </c>
      <c r="BN67" s="18" t="str">
        <f t="shared" ref="BN67:BN130" si="47">IF(BA67&gt;0.2,"Muy alta fuente de proteína",IF(BA67&gt;0.15,"Alta fuente de proteína",IF(BA67&gt;0.1,"Media fuente de proteína","Baja fuente de proteína")))</f>
        <v>Baja fuente de proteína</v>
      </c>
      <c r="BO67" s="18" t="str">
        <f t="shared" ref="BO67:BO130" si="48">IF(BB67&gt;0.03,"Alta",IF(BB67&gt;0.015,"Media","Baja")) &amp; " fuente de fibra"</f>
        <v>Alta fuente de fibra</v>
      </c>
      <c r="BP67" s="18" t="str">
        <f t="shared" ref="BP67:BP130" si="49">IF(BC67&gt;1.5,"Alta fuente de calcio",IF(BC67&gt;0.8,"Media fuente de calcio","Baja fuente de calcio"))</f>
        <v>Baja fuente de calcio</v>
      </c>
      <c r="BQ67" s="18" t="str">
        <f t="shared" ref="BQ67:BQ130" si="50">IF(BD67&gt;0.015,"Alta fuente de hierro",IF(BD67&gt;0.008,"Media fuente de hierro","Baja fuente de hierro"))</f>
        <v>Alta fuente de hierro</v>
      </c>
      <c r="BR67" s="18" t="str">
        <f t="shared" ref="BR67:BR130" si="51">IF(BE67&gt;2,"Muy alto",IF(BE67&gt;1,"Alto",IF(BE67&gt;0.5,"Moderado","Bajo"))) &amp; " en sodio"</f>
        <v>Bajo en sodio</v>
      </c>
      <c r="BS67" s="6" t="str">
        <f t="shared" si="42"/>
        <v>Altamente antiinflamatorio</v>
      </c>
      <c r="BT67" s="6" t="str">
        <f t="shared" si="43"/>
        <v>Bajo en grasas</v>
      </c>
      <c r="BU67" s="18" t="str">
        <f t="shared" ref="BU67:BU130" si="52">IF(BI67&gt;1,"Alto riesgo de retención de líquidos",IF(BI67&gt;0.5,"Riesgo moderado de retención","Equilibrio de líquidos ideal"))</f>
        <v>Equilibrio de líquidos ideal</v>
      </c>
      <c r="BV67" s="18" t="str">
        <f t="shared" ref="BV67:BV130" si="53">IF(BM67&gt;0.5,"Alta",IF(BM67&gt;0.2,"Media","Baja")) &amp; " fuente de magnesio"</f>
        <v>Media fuente de magnesio</v>
      </c>
      <c r="BW67" s="18" t="str">
        <f t="shared" ref="BW67:BW130" si="54">IF(AV67&gt;=0.5,"Alta fuente de Omega 3",IF(AV67&gt;0.1,"Ligera fuente de Omega 3","Sin aporte de Omega 3"))</f>
        <v>Ligera fuente de Omega 3</v>
      </c>
      <c r="BX67" s="18" t="str">
        <f t="shared" ref="BX67:BX130" si="55">IF(AX67&gt;0.5,"Alerta: Alto en grasas trans",IF(AX67&gt;0,"Contiene grasas trans","Libre de grasas trans"))</f>
        <v>Libre de grasas trans</v>
      </c>
      <c r="BY67" s="18" t="str">
        <f t="shared" ref="BY67:BY130" si="56">IF(AY67&gt;=50,"Alto",IF(AY67&gt;=10,"Medio","Bajo")) &amp; " poder antioxidante"</f>
        <v>Alto poder antioxidante</v>
      </c>
      <c r="BZ67" s="6" t="str">
        <f t="shared" si="44"/>
        <v>Sin probióticos</v>
      </c>
      <c r="CA67" s="18" t="str">
        <f t="shared" ref="CA67:CA130" si="57">IF(OR(AX67&gt;0.5, O67&gt;15, J67&gt;0), "Altamente inflamatorio", IF(OR(AV67&gt;=0.5, AY67&gt;=50), "Antiinflamatorio", IF(OR(AX67&gt;0, O67&gt;5), "Moderadamente inflamatorio", "Poco inflamatorio")))</f>
        <v>Antiinflamatorio</v>
      </c>
      <c r="CB67" s="18" t="str">
        <f>IF(ISNUMBER(SEARCH("miel", D67)), "No irritante (Uso condicionado SII)", IF(OR(J67&gt;0, ISNUMBER(SEARCH("cacao", D67)), ISNUMBER(SEARCH("chocolate puro", D67))), "Altamente irritante", IF(OR(AND(O67&gt;15, BI67&gt;1), ISNUMBER(SEARCH("chocolate", D67))), "Moderadamente irritante", "No irritante")))</f>
        <v>No irritante</v>
      </c>
      <c r="CC67" s="6" t="str">
        <f t="shared" si="45"/>
        <v>Balance de omegas favorable</v>
      </c>
    </row>
    <row r="68" spans="1:81" ht="15" customHeight="1" x14ac:dyDescent="0.3">
      <c r="A68" s="2">
        <f t="shared" si="46"/>
        <v>67</v>
      </c>
      <c r="B68" s="3" t="s">
        <v>134</v>
      </c>
      <c r="C68" s="3" t="s">
        <v>152</v>
      </c>
      <c r="D68" s="3" t="s">
        <v>159</v>
      </c>
      <c r="E68" s="3"/>
      <c r="F68" s="4">
        <v>0.8</v>
      </c>
      <c r="G68" s="5">
        <v>1</v>
      </c>
      <c r="H68" s="5">
        <v>305</v>
      </c>
      <c r="I68" s="5">
        <v>14.8</v>
      </c>
      <c r="J68" s="5">
        <v>0</v>
      </c>
      <c r="K68" s="5">
        <v>23.2</v>
      </c>
      <c r="L68" s="5">
        <v>40.6</v>
      </c>
      <c r="M68" s="5">
        <v>39.5</v>
      </c>
      <c r="N68" s="5">
        <v>1.1000000000000001</v>
      </c>
      <c r="O68" s="5">
        <v>0</v>
      </c>
      <c r="P68" s="5">
        <v>17</v>
      </c>
      <c r="Q68" s="5">
        <v>1.7</v>
      </c>
      <c r="R68" s="5">
        <v>0.23</v>
      </c>
      <c r="S68" s="5">
        <v>0.3</v>
      </c>
      <c r="T68" s="5">
        <v>0.84</v>
      </c>
      <c r="U68" s="5">
        <v>0</v>
      </c>
      <c r="V68" s="5">
        <v>10</v>
      </c>
      <c r="W68" s="5">
        <v>0</v>
      </c>
      <c r="X68" s="5">
        <v>60</v>
      </c>
      <c r="Y68" s="5">
        <v>0</v>
      </c>
      <c r="Z68" s="5">
        <v>1.8</v>
      </c>
      <c r="AA68" s="5">
        <v>123</v>
      </c>
      <c r="AB68" s="5">
        <v>0.47</v>
      </c>
      <c r="AC68" s="5">
        <v>0.22</v>
      </c>
      <c r="AD68" s="5">
        <v>6.6</v>
      </c>
      <c r="AE68" s="5">
        <v>0.7</v>
      </c>
      <c r="AF68" s="5">
        <v>168</v>
      </c>
      <c r="AG68" s="5">
        <v>0</v>
      </c>
      <c r="AH68" s="5">
        <v>1.6</v>
      </c>
      <c r="AI68" s="5">
        <v>0</v>
      </c>
      <c r="AJ68" s="5">
        <v>3.4</v>
      </c>
      <c r="AK68" s="5">
        <v>70</v>
      </c>
      <c r="AL68" s="5">
        <v>411</v>
      </c>
      <c r="AM68" s="5">
        <v>8.1999999999999993</v>
      </c>
      <c r="AN68" s="5">
        <v>1.5</v>
      </c>
      <c r="AO68" s="5">
        <v>3.1</v>
      </c>
      <c r="AP68" s="5">
        <v>129</v>
      </c>
      <c r="AQ68" s="5">
        <v>24</v>
      </c>
      <c r="AR68" s="5">
        <v>837</v>
      </c>
      <c r="AS68" s="5">
        <v>1.5</v>
      </c>
      <c r="AT68" s="5">
        <v>0.74</v>
      </c>
      <c r="AU68" s="5">
        <v>9.9</v>
      </c>
      <c r="AV68" s="5">
        <f>IFERROR(VLOOKUP(IFERROR(VLOOKUP(D68,Mapa_Similitud!$A$2:$B$2000,2,FALSE()),D68),Hoja1!$A$2:$K$1000,2,FALSE()),IFERROR(VLOOKUP(IFERROR(VLOOKUP(D68,Mapa_Similitud!$A$2:$B$2000,2,FALSE()),D68),Omega3_Referencia!$A$2:$E$100,3,FALSE()),0))</f>
        <v>0.11</v>
      </c>
      <c r="AW68" s="3" t="str">
        <f>IFERROR(VLOOKUP(IFERROR(VLOOKUP(D68,Mapa_Similitud!$A$2:$B$2000,2,FALSE()),D68),Hoja1!$A$2:$K$1000,3,FALSE()),IFERROR(VLOOKUP(IFERROR(VLOOKUP(D68,Mapa_Similitud!$A$2:$B$2000,2,FALSE()),D68),Omega3_Referencia!$A$2:$E$100,4,FALSE()),"N/A"))</f>
        <v>ALA</v>
      </c>
      <c r="AX68" s="5">
        <f>IFERROR(VLOOKUP(IFERROR(VLOOKUP(D68,Mapa_Similitud!$A$2:$B$2000,2,FALSE()),D68),Hoja1!$A$2:$K$1000,5,FALSE()),0)</f>
        <v>0</v>
      </c>
      <c r="AY68" s="5">
        <f>IFERROR(VLOOKUP(IFERROR(VLOOKUP(D68,Mapa_Similitud!$A$2:$B$2000,2,FALSE()),D68),Hoja1!$A$2:$K$1000,7,FALSE()),0)</f>
        <v>120</v>
      </c>
      <c r="AZ68" s="5">
        <f>IFERROR(VLOOKUP(IFERROR(VLOOKUP(D68,Mapa_Similitud!$A$2:$B$2000,2,FALSE()),D68),Hoja1!$A$2:$K$1000,9,FALSE()),0)</f>
        <v>0</v>
      </c>
      <c r="BA68" s="25">
        <f t="shared" si="29"/>
        <v>7.6065573770491807E-2</v>
      </c>
      <c r="BB68" s="25">
        <f t="shared" si="30"/>
        <v>5.5737704918032788E-2</v>
      </c>
      <c r="BC68" s="25">
        <f t="shared" si="31"/>
        <v>0.22950819672131148</v>
      </c>
      <c r="BD68" s="25">
        <f t="shared" si="32"/>
        <v>2.6885245901639342E-2</v>
      </c>
      <c r="BE68" s="25">
        <f t="shared" si="33"/>
        <v>7.8688524590163941E-2</v>
      </c>
      <c r="BF68" s="25">
        <f t="shared" si="34"/>
        <v>3.652173913043478</v>
      </c>
      <c r="BG68" s="25">
        <f t="shared" si="35"/>
        <v>0.170316301703163</v>
      </c>
      <c r="BH68" s="25">
        <f t="shared" si="36"/>
        <v>0.13529411764705884</v>
      </c>
      <c r="BI68" s="25">
        <f t="shared" si="37"/>
        <v>2.8673835125448029E-2</v>
      </c>
      <c r="BJ68" s="25">
        <f t="shared" si="38"/>
        <v>2.7093596059113302E-2</v>
      </c>
      <c r="BK68" s="25">
        <f t="shared" si="39"/>
        <v>0.41871921182266009</v>
      </c>
      <c r="BL68" s="25">
        <f t="shared" si="40"/>
        <v>5.0163934426229503E-2</v>
      </c>
      <c r="BM68" s="25">
        <f t="shared" si="41"/>
        <v>0.42295081967213116</v>
      </c>
      <c r="BN68" s="18" t="str">
        <f t="shared" si="47"/>
        <v>Baja fuente de proteína</v>
      </c>
      <c r="BO68" s="18" t="str">
        <f t="shared" si="48"/>
        <v>Alta fuente de fibra</v>
      </c>
      <c r="BP68" s="18" t="str">
        <f t="shared" si="49"/>
        <v>Baja fuente de calcio</v>
      </c>
      <c r="BQ68" s="18" t="str">
        <f t="shared" si="50"/>
        <v>Alta fuente de hierro</v>
      </c>
      <c r="BR68" s="18" t="str">
        <f t="shared" si="51"/>
        <v>Bajo en sodio</v>
      </c>
      <c r="BS68" s="6" t="str">
        <f t="shared" si="42"/>
        <v>Altamente antiinflamatorio</v>
      </c>
      <c r="BT68" s="6" t="str">
        <f t="shared" si="43"/>
        <v>Bajo en grasas</v>
      </c>
      <c r="BU68" s="18" t="str">
        <f t="shared" si="52"/>
        <v>Equilibrio de líquidos ideal</v>
      </c>
      <c r="BV68" s="18" t="str">
        <f t="shared" si="53"/>
        <v>Media fuente de magnesio</v>
      </c>
      <c r="BW68" s="18" t="str">
        <f t="shared" si="54"/>
        <v>Ligera fuente de Omega 3</v>
      </c>
      <c r="BX68" s="18" t="str">
        <f t="shared" si="55"/>
        <v>Libre de grasas trans</v>
      </c>
      <c r="BY68" s="18" t="str">
        <f t="shared" si="56"/>
        <v>Alto poder antioxidante</v>
      </c>
      <c r="BZ68" s="6" t="str">
        <f t="shared" si="44"/>
        <v>Sin probióticos</v>
      </c>
      <c r="CA68" s="18" t="str">
        <f t="shared" si="57"/>
        <v>Antiinflamatorio</v>
      </c>
      <c r="CB68" s="18" t="str">
        <f>IF(ISNUMBER(SEARCH("miel", D68)), "No irritante (Uso condicionado SII)", IF(OR(J68&gt;0, ISNUMBER(SEARCH("cacao", D68)), ISNUMBER(SEARCH("chocolate puro", D68))), "Altamente irritante", IF(OR(AND(O68&gt;15, BI68&gt;1), ISNUMBER(SEARCH("chocolate", D68))), "Moderadamente irritante", "No irritante")))</f>
        <v>No irritante</v>
      </c>
      <c r="CC68" s="6" t="str">
        <f t="shared" si="45"/>
        <v>Exceso relativo de Omega 6</v>
      </c>
    </row>
    <row r="69" spans="1:81" ht="15" customHeight="1" x14ac:dyDescent="0.3">
      <c r="A69" s="2">
        <f t="shared" si="46"/>
        <v>68</v>
      </c>
      <c r="B69" s="3" t="s">
        <v>134</v>
      </c>
      <c r="C69" s="3" t="s">
        <v>152</v>
      </c>
      <c r="D69" s="3" t="s">
        <v>160</v>
      </c>
      <c r="E69" s="3"/>
      <c r="F69" s="4">
        <v>1.2</v>
      </c>
      <c r="G69" s="5">
        <v>1</v>
      </c>
      <c r="H69" s="5">
        <v>373</v>
      </c>
      <c r="I69" s="5">
        <v>14</v>
      </c>
      <c r="J69" s="5">
        <v>0</v>
      </c>
      <c r="K69" s="5">
        <v>34.700000000000003</v>
      </c>
      <c r="L69" s="5">
        <v>6.3</v>
      </c>
      <c r="M69" s="5">
        <v>0.62</v>
      </c>
      <c r="N69" s="5">
        <v>5.7</v>
      </c>
      <c r="O69" s="5">
        <v>0</v>
      </c>
      <c r="P69" s="5">
        <v>22</v>
      </c>
      <c r="Q69" s="5">
        <v>18.3</v>
      </c>
      <c r="R69" s="5">
        <v>2.4</v>
      </c>
      <c r="S69" s="5">
        <v>4.0999999999999996</v>
      </c>
      <c r="T69" s="5">
        <v>10.7</v>
      </c>
      <c r="U69" s="5">
        <v>0</v>
      </c>
      <c r="V69" s="5">
        <v>63.4</v>
      </c>
      <c r="W69" s="5">
        <v>0</v>
      </c>
      <c r="X69" s="5">
        <v>380</v>
      </c>
      <c r="Y69" s="5">
        <v>0</v>
      </c>
      <c r="Z69" s="5">
        <v>1.5</v>
      </c>
      <c r="AA69" s="5">
        <v>47</v>
      </c>
      <c r="AB69" s="5">
        <v>0.61</v>
      </c>
      <c r="AC69" s="5">
        <v>0.27</v>
      </c>
      <c r="AD69" s="5">
        <v>7.9</v>
      </c>
      <c r="AE69" s="5">
        <v>1</v>
      </c>
      <c r="AF69" s="5">
        <v>240</v>
      </c>
      <c r="AG69" s="5">
        <v>0</v>
      </c>
      <c r="AH69" s="5">
        <v>1.9</v>
      </c>
      <c r="AI69" s="5">
        <v>60</v>
      </c>
      <c r="AJ69" s="5">
        <v>3</v>
      </c>
      <c r="AK69" s="5">
        <v>201</v>
      </c>
      <c r="AL69" s="5">
        <v>550</v>
      </c>
      <c r="AM69" s="5">
        <v>6.6</v>
      </c>
      <c r="AN69" s="5">
        <v>6.3</v>
      </c>
      <c r="AO69" s="5">
        <v>4.2</v>
      </c>
      <c r="AP69" s="5">
        <v>220</v>
      </c>
      <c r="AQ69" s="5">
        <v>4.7</v>
      </c>
      <c r="AR69" s="5">
        <v>1799</v>
      </c>
      <c r="AS69" s="5">
        <v>2.7</v>
      </c>
      <c r="AT69" s="5">
        <v>1.2</v>
      </c>
      <c r="AU69" s="5">
        <v>17.8</v>
      </c>
      <c r="AV69" s="5">
        <f>IFERROR(VLOOKUP(IFERROR(VLOOKUP(D69,Mapa_Similitud!$A$2:$B$2000,2,FALSE()),D69),Hoja1!$A$2:$K$1000,2,FALSE()),IFERROR(VLOOKUP(IFERROR(VLOOKUP(D69,Mapa_Similitud!$A$2:$B$2000,2,FALSE()),D69),Omega3_Referencia!$A$2:$E$100,3,FALSE()),0))</f>
        <v>1.33</v>
      </c>
      <c r="AW69" s="3" t="str">
        <f>IFERROR(VLOOKUP(IFERROR(VLOOKUP(D69,Mapa_Similitud!$A$2:$B$2000,2,FALSE()),D69),Hoja1!$A$2:$K$1000,3,FALSE()),IFERROR(VLOOKUP(IFERROR(VLOOKUP(D69,Mapa_Similitud!$A$2:$B$2000,2,FALSE()),D69),Omega3_Referencia!$A$2:$E$100,4,FALSE()),"N/A"))</f>
        <v>ALA</v>
      </c>
      <c r="AX69" s="5">
        <f>IFERROR(VLOOKUP(IFERROR(VLOOKUP(D69,Mapa_Similitud!$A$2:$B$2000,2,FALSE()),D69),Hoja1!$A$2:$K$1000,5,FALSE()),0)</f>
        <v>0</v>
      </c>
      <c r="AY69" s="5">
        <f>IFERROR(VLOOKUP(IFERROR(VLOOKUP(D69,Mapa_Similitud!$A$2:$B$2000,2,FALSE()),D69),Hoja1!$A$2:$K$1000,7,FALSE()),0)</f>
        <v>150</v>
      </c>
      <c r="AZ69" s="5">
        <f>IFERROR(VLOOKUP(IFERROR(VLOOKUP(D69,Mapa_Similitud!$A$2:$B$2000,2,FALSE()),D69),Hoja1!$A$2:$K$1000,9,FALSE()),0)</f>
        <v>0</v>
      </c>
      <c r="BA69" s="25">
        <f t="shared" si="29"/>
        <v>9.3029490616621996E-2</v>
      </c>
      <c r="BB69" s="25">
        <f t="shared" si="30"/>
        <v>5.8981233243967826E-2</v>
      </c>
      <c r="BC69" s="25">
        <f t="shared" si="31"/>
        <v>0.53887399463806973</v>
      </c>
      <c r="BD69" s="25">
        <f t="shared" si="32"/>
        <v>1.7694369973190349E-2</v>
      </c>
      <c r="BE69" s="25">
        <f t="shared" si="33"/>
        <v>1.2600536193029491E-2</v>
      </c>
      <c r="BF69" s="25">
        <f t="shared" si="34"/>
        <v>4.458333333333333</v>
      </c>
      <c r="BG69" s="25">
        <f t="shared" si="35"/>
        <v>0.36545454545454548</v>
      </c>
      <c r="BH69" s="25">
        <f t="shared" si="36"/>
        <v>0.13114754098360654</v>
      </c>
      <c r="BI69" s="25">
        <f t="shared" si="37"/>
        <v>2.6125625347415233E-3</v>
      </c>
      <c r="BJ69" s="25">
        <f t="shared" si="38"/>
        <v>0.90476190476190477</v>
      </c>
      <c r="BK69" s="25">
        <f t="shared" si="39"/>
        <v>3.4920634920634921</v>
      </c>
      <c r="BL69" s="25">
        <f t="shared" si="40"/>
        <v>0.44155495978552284</v>
      </c>
      <c r="BM69" s="25">
        <f t="shared" si="41"/>
        <v>0.58981233243967823</v>
      </c>
      <c r="BN69" s="18" t="str">
        <f t="shared" si="47"/>
        <v>Baja fuente de proteína</v>
      </c>
      <c r="BO69" s="18" t="str">
        <f t="shared" si="48"/>
        <v>Alta fuente de fibra</v>
      </c>
      <c r="BP69" s="18" t="str">
        <f t="shared" si="49"/>
        <v>Baja fuente de calcio</v>
      </c>
      <c r="BQ69" s="18" t="str">
        <f t="shared" si="50"/>
        <v>Alta fuente de hierro</v>
      </c>
      <c r="BR69" s="18" t="str">
        <f t="shared" si="51"/>
        <v>Bajo en sodio</v>
      </c>
      <c r="BS69" s="6" t="str">
        <f t="shared" si="42"/>
        <v>Altamente antiinflamatorio</v>
      </c>
      <c r="BT69" s="6" t="str">
        <f t="shared" si="43"/>
        <v>Muy alto en grasas</v>
      </c>
      <c r="BU69" s="18" t="str">
        <f t="shared" si="52"/>
        <v>Equilibrio de líquidos ideal</v>
      </c>
      <c r="BV69" s="18" t="str">
        <f t="shared" si="53"/>
        <v>Alta fuente de magnesio</v>
      </c>
      <c r="BW69" s="18" t="str">
        <f t="shared" si="54"/>
        <v>Alta fuente de Omega 3</v>
      </c>
      <c r="BX69" s="18" t="str">
        <f t="shared" si="55"/>
        <v>Libre de grasas trans</v>
      </c>
      <c r="BY69" s="18" t="str">
        <f t="shared" si="56"/>
        <v>Alto poder antioxidante</v>
      </c>
      <c r="BZ69" s="6" t="str">
        <f t="shared" si="44"/>
        <v>Sin probióticos</v>
      </c>
      <c r="CA69" s="18" t="str">
        <f t="shared" si="57"/>
        <v>Antiinflamatorio</v>
      </c>
      <c r="CB69" s="18" t="str">
        <f>IF(ISNUMBER(SEARCH("miel", D69)), "No irritante (Uso condicionado SII)", IF(OR(J69&gt;0, ISNUMBER(SEARCH("cacao", D69)), ISNUMBER(SEARCH("chocolate puro", D69))), "Altamente irritante", IF(OR(AND(O69&gt;15, BI69&gt;1), ISNUMBER(SEARCH("chocolate", D69))), "Moderadamente irritante", "No irritante")))</f>
        <v>No irritante</v>
      </c>
      <c r="CC69" s="6" t="str">
        <f t="shared" si="45"/>
        <v>Exceso relativo de Omega 6</v>
      </c>
    </row>
    <row r="70" spans="1:81" ht="15" customHeight="1" x14ac:dyDescent="0.3">
      <c r="A70" s="2">
        <f t="shared" si="46"/>
        <v>69</v>
      </c>
      <c r="B70" s="3" t="s">
        <v>161</v>
      </c>
      <c r="C70" s="3" t="s">
        <v>162</v>
      </c>
      <c r="D70" s="3" t="s">
        <v>163</v>
      </c>
      <c r="E70" s="3"/>
      <c r="F70" s="4">
        <v>3</v>
      </c>
      <c r="G70" s="5">
        <v>1</v>
      </c>
      <c r="H70" s="5">
        <v>21.4</v>
      </c>
      <c r="I70" s="5">
        <v>94.6</v>
      </c>
      <c r="J70" s="5">
        <v>0</v>
      </c>
      <c r="K70" s="5">
        <v>3.4</v>
      </c>
      <c r="L70" s="5">
        <v>7.0000000000000007E-2</v>
      </c>
      <c r="M70" s="5">
        <v>0</v>
      </c>
      <c r="N70" s="5">
        <v>7.0000000000000007E-2</v>
      </c>
      <c r="O70" s="5">
        <v>0</v>
      </c>
      <c r="P70" s="5">
        <v>1.5</v>
      </c>
      <c r="Q70" s="5">
        <v>0.5</v>
      </c>
      <c r="R70" s="5">
        <v>6.6000000000000003E-2</v>
      </c>
      <c r="S70" s="5">
        <v>8.9999999999999993E-3</v>
      </c>
      <c r="T70" s="5">
        <v>0.2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0.12</v>
      </c>
      <c r="AA70" s="5">
        <v>14</v>
      </c>
      <c r="AB70" s="5">
        <v>0.02</v>
      </c>
      <c r="AC70" s="5">
        <v>0.19</v>
      </c>
      <c r="AD70" s="5">
        <v>2.9</v>
      </c>
      <c r="AE70" s="5">
        <v>0.06</v>
      </c>
      <c r="AF70" s="5">
        <v>8</v>
      </c>
      <c r="AG70" s="5">
        <v>0</v>
      </c>
      <c r="AH70" s="5">
        <v>0.8</v>
      </c>
      <c r="AI70" s="5">
        <v>8.4</v>
      </c>
      <c r="AJ70" s="5">
        <v>1.7</v>
      </c>
      <c r="AK70" s="5">
        <v>19</v>
      </c>
      <c r="AL70" s="5">
        <v>69</v>
      </c>
      <c r="AM70" s="5">
        <v>0.8</v>
      </c>
      <c r="AN70" s="5">
        <v>2</v>
      </c>
      <c r="AO70" s="5">
        <v>0.3</v>
      </c>
      <c r="AP70" s="5">
        <v>15</v>
      </c>
      <c r="AQ70" s="5">
        <v>308</v>
      </c>
      <c r="AR70" s="5">
        <v>121</v>
      </c>
      <c r="AS70" s="5">
        <v>0.05</v>
      </c>
      <c r="AT70" s="5">
        <v>0.13</v>
      </c>
      <c r="AU70" s="5">
        <v>8.8000000000000007</v>
      </c>
      <c r="AV70" s="5">
        <f>IFERROR(VLOOKUP(IFERROR(VLOOKUP(D70,Mapa_Similitud!$A$2:$B$2000,2,FALSE()),D70),Hoja1!$A$2:$K$1000,2,FALSE()),IFERROR(VLOOKUP(IFERROR(VLOOKUP(D70,Mapa_Similitud!$A$2:$B$2000,2,FALSE()),D70),Omega3_Referencia!$A$2:$E$100,3,FALSE()),0))</f>
        <v>0</v>
      </c>
      <c r="AW70" s="3" t="str">
        <f>IFERROR(VLOOKUP(IFERROR(VLOOKUP(D70,Mapa_Similitud!$A$2:$B$2000,2,FALSE()),D70),Hoja1!$A$2:$K$1000,3,FALSE()),IFERROR(VLOOKUP(IFERROR(VLOOKUP(D70,Mapa_Similitud!$A$2:$B$2000,2,FALSE()),D70),Omega3_Referencia!$A$2:$E$100,4,FALSE()),"N/A"))</f>
        <v>N/A</v>
      </c>
      <c r="AX70" s="5">
        <f>IFERROR(VLOOKUP(IFERROR(VLOOKUP(D70,Mapa_Similitud!$A$2:$B$2000,2,FALSE()),D70),Hoja1!$A$2:$K$1000,5,FALSE()),0)</f>
        <v>0</v>
      </c>
      <c r="AY70" s="5">
        <f>IFERROR(VLOOKUP(IFERROR(VLOOKUP(D70,Mapa_Similitud!$A$2:$B$2000,2,FALSE()),D70),Hoja1!$A$2:$K$1000,7,FALSE()),0)</f>
        <v>10</v>
      </c>
      <c r="AZ70" s="5">
        <f>IFERROR(VLOOKUP(IFERROR(VLOOKUP(D70,Mapa_Similitud!$A$2:$B$2000,2,FALSE()),D70),Hoja1!$A$2:$K$1000,9,FALSE()),0)</f>
        <v>0</v>
      </c>
      <c r="BA70" s="25">
        <f t="shared" si="29"/>
        <v>0.15887850467289721</v>
      </c>
      <c r="BB70" s="25">
        <f t="shared" si="30"/>
        <v>7.0093457943925241E-2</v>
      </c>
      <c r="BC70" s="25">
        <f t="shared" si="31"/>
        <v>0.88785046728971972</v>
      </c>
      <c r="BD70" s="25">
        <f t="shared" si="32"/>
        <v>3.7383177570093462E-2</v>
      </c>
      <c r="BE70" s="25">
        <f t="shared" si="33"/>
        <v>14.392523364485982</v>
      </c>
      <c r="BF70" s="25">
        <f t="shared" si="34"/>
        <v>3.0303030303030303</v>
      </c>
      <c r="BG70" s="25">
        <f t="shared" si="35"/>
        <v>0.27536231884057971</v>
      </c>
      <c r="BH70" s="25">
        <f t="shared" si="36"/>
        <v>0.13200000000000001</v>
      </c>
      <c r="BI70" s="25">
        <f t="shared" si="37"/>
        <v>2.5454545454545454</v>
      </c>
      <c r="BJ70" s="25">
        <f t="shared" si="38"/>
        <v>1</v>
      </c>
      <c r="BK70" s="25">
        <f t="shared" si="39"/>
        <v>21.428571428571427</v>
      </c>
      <c r="BL70" s="25">
        <f t="shared" si="40"/>
        <v>0.21028037383177572</v>
      </c>
      <c r="BM70" s="25">
        <f t="shared" si="41"/>
        <v>0.70093457943925241</v>
      </c>
      <c r="BN70" s="18" t="str">
        <f t="shared" si="47"/>
        <v>Alta fuente de proteína</v>
      </c>
      <c r="BO70" s="18" t="str">
        <f t="shared" si="48"/>
        <v>Alta fuente de fibra</v>
      </c>
      <c r="BP70" s="18" t="str">
        <f t="shared" si="49"/>
        <v>Media fuente de calcio</v>
      </c>
      <c r="BQ70" s="18" t="str">
        <f t="shared" si="50"/>
        <v>Alta fuente de hierro</v>
      </c>
      <c r="BR70" s="18" t="str">
        <f t="shared" si="51"/>
        <v>Muy alto en sodio</v>
      </c>
      <c r="BS70" s="6" t="str">
        <f t="shared" si="42"/>
        <v>Altamente antiinflamatorio</v>
      </c>
      <c r="BT70" s="6" t="str">
        <f t="shared" si="43"/>
        <v>Moderado en grasas</v>
      </c>
      <c r="BU70" s="18" t="str">
        <f t="shared" si="52"/>
        <v>Alto riesgo de retención de líquidos</v>
      </c>
      <c r="BV70" s="18" t="str">
        <f t="shared" si="53"/>
        <v>Alta fuente de magnesio</v>
      </c>
      <c r="BW70" s="18" t="str">
        <f t="shared" si="54"/>
        <v>Sin aporte de Omega 3</v>
      </c>
      <c r="BX70" s="18" t="str">
        <f t="shared" si="55"/>
        <v>Libre de grasas trans</v>
      </c>
      <c r="BY70" s="18" t="str">
        <f t="shared" si="56"/>
        <v>Medio poder antioxidante</v>
      </c>
      <c r="BZ70" s="6" t="str">
        <f t="shared" si="44"/>
        <v>Sin probióticos</v>
      </c>
      <c r="CA70" s="18" t="str">
        <f t="shared" si="57"/>
        <v>Poco inflamatorio</v>
      </c>
      <c r="CB70" s="18" t="str">
        <f>IF(ISNUMBER(SEARCH("miel", D70)), "No irritante (Uso condicionado SII)", IF(OR(J70&gt;0, ISNUMBER(SEARCH("cacao", D70)), ISNUMBER(SEARCH("chocolate puro", D70))), "Altamente irritante", IF(OR(AND(O70&gt;15, BI70&gt;1), ISNUMBER(SEARCH("chocolate", D70))), "Moderadamente irritante", "No irritante")))</f>
        <v>No irritante</v>
      </c>
      <c r="CC70" s="6" t="str">
        <f t="shared" si="45"/>
        <v>Sin Omega 3 para evaluar</v>
      </c>
    </row>
    <row r="71" spans="1:81" ht="15" customHeight="1" x14ac:dyDescent="0.3">
      <c r="A71" s="2">
        <f t="shared" si="46"/>
        <v>70</v>
      </c>
      <c r="B71" s="3" t="s">
        <v>161</v>
      </c>
      <c r="C71" s="3" t="s">
        <v>164</v>
      </c>
      <c r="D71" s="3" t="s">
        <v>165</v>
      </c>
      <c r="E71" s="3"/>
      <c r="F71" s="4">
        <v>2.5</v>
      </c>
      <c r="G71" s="5">
        <v>0.8</v>
      </c>
      <c r="H71" s="5">
        <v>34</v>
      </c>
      <c r="I71" s="5">
        <v>92.1</v>
      </c>
      <c r="J71" s="5">
        <v>0</v>
      </c>
      <c r="K71" s="5">
        <v>4.3</v>
      </c>
      <c r="L71" s="5">
        <v>0.54</v>
      </c>
      <c r="M71" s="5">
        <v>0</v>
      </c>
      <c r="N71" s="5">
        <v>0.54</v>
      </c>
      <c r="O71" s="5">
        <v>0</v>
      </c>
      <c r="P71" s="5">
        <v>1.9</v>
      </c>
      <c r="Q71" s="5">
        <v>1.2</v>
      </c>
      <c r="R71" s="5">
        <v>0.2</v>
      </c>
      <c r="S71" s="5">
        <v>0.06</v>
      </c>
      <c r="T71" s="5">
        <v>0.71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0.13</v>
      </c>
      <c r="AA71" s="5">
        <v>14</v>
      </c>
      <c r="AB71" s="5">
        <v>0.1</v>
      </c>
      <c r="AC71" s="5">
        <v>0.31</v>
      </c>
      <c r="AD71" s="5">
        <v>5.3</v>
      </c>
      <c r="AE71" s="5">
        <v>0.09</v>
      </c>
      <c r="AF71" s="5">
        <v>23</v>
      </c>
      <c r="AG71" s="5">
        <v>0</v>
      </c>
      <c r="AH71" s="5">
        <v>2.1</v>
      </c>
      <c r="AI71" s="5">
        <v>16</v>
      </c>
      <c r="AJ71" s="5">
        <v>4</v>
      </c>
      <c r="AK71" s="5">
        <v>10.8</v>
      </c>
      <c r="AL71" s="5">
        <v>125</v>
      </c>
      <c r="AM71" s="5">
        <v>1</v>
      </c>
      <c r="AN71" s="5">
        <v>15.7</v>
      </c>
      <c r="AO71" s="5">
        <v>0.46</v>
      </c>
      <c r="AP71" s="5">
        <v>12.2</v>
      </c>
      <c r="AQ71" s="5">
        <v>7.9</v>
      </c>
      <c r="AR71" s="5">
        <v>390</v>
      </c>
      <c r="AS71" s="5">
        <v>7.6999999999999999E-2</v>
      </c>
      <c r="AT71" s="5">
        <v>0.37</v>
      </c>
      <c r="AU71" s="5">
        <v>7</v>
      </c>
      <c r="AV71" s="5">
        <f>IFERROR(VLOOKUP(IFERROR(VLOOKUP(D71,Mapa_Similitud!$A$2:$B$2000,2,FALSE()),D71),Hoja1!$A$2:$K$1000,2,FALSE()),IFERROR(VLOOKUP(IFERROR(VLOOKUP(D71,Mapa_Similitud!$A$2:$B$2000,2,FALSE()),D71),Omega3_Referencia!$A$2:$E$100,3,FALSE()),0))</f>
        <v>0</v>
      </c>
      <c r="AW71" s="3" t="str">
        <f>IFERROR(VLOOKUP(IFERROR(VLOOKUP(D71,Mapa_Similitud!$A$2:$B$2000,2,FALSE()),D71),Hoja1!$A$2:$K$1000,3,FALSE()),IFERROR(VLOOKUP(IFERROR(VLOOKUP(D71,Mapa_Similitud!$A$2:$B$2000,2,FALSE()),D71),Omega3_Referencia!$A$2:$E$100,4,FALSE()),"N/A"))</f>
        <v>N/A</v>
      </c>
      <c r="AX71" s="5">
        <f>IFERROR(VLOOKUP(IFERROR(VLOOKUP(D71,Mapa_Similitud!$A$2:$B$2000,2,FALSE()),D71),Hoja1!$A$2:$K$1000,5,FALSE()),0)</f>
        <v>0</v>
      </c>
      <c r="AY71" s="5">
        <f>IFERROR(VLOOKUP(IFERROR(VLOOKUP(D71,Mapa_Similitud!$A$2:$B$2000,2,FALSE()),D71),Hoja1!$A$2:$K$1000,7,FALSE()),0)</f>
        <v>15</v>
      </c>
      <c r="AZ71" s="5">
        <f>IFERROR(VLOOKUP(IFERROR(VLOOKUP(D71,Mapa_Similitud!$A$2:$B$2000,2,FALSE()),D71),Hoja1!$A$2:$K$1000,9,FALSE()),0)</f>
        <v>0</v>
      </c>
      <c r="BA71" s="25">
        <f t="shared" si="29"/>
        <v>0.12647058823529411</v>
      </c>
      <c r="BB71" s="25">
        <f t="shared" si="30"/>
        <v>5.5882352941176466E-2</v>
      </c>
      <c r="BC71" s="25">
        <f t="shared" si="31"/>
        <v>0.31764705882352945</v>
      </c>
      <c r="BD71" s="25">
        <f t="shared" si="32"/>
        <v>2.9411764705882353E-2</v>
      </c>
      <c r="BE71" s="25">
        <f t="shared" si="33"/>
        <v>0.2323529411764706</v>
      </c>
      <c r="BF71" s="25">
        <f t="shared" si="34"/>
        <v>3.55</v>
      </c>
      <c r="BG71" s="25">
        <f t="shared" si="35"/>
        <v>8.6400000000000005E-2</v>
      </c>
      <c r="BH71" s="25">
        <f t="shared" si="36"/>
        <v>0.16666666666666669</v>
      </c>
      <c r="BI71" s="25">
        <f t="shared" si="37"/>
        <v>2.0256410256410257E-2</v>
      </c>
      <c r="BJ71" s="25">
        <f t="shared" si="38"/>
        <v>1</v>
      </c>
      <c r="BK71" s="25">
        <f t="shared" si="39"/>
        <v>3.5185185185185182</v>
      </c>
      <c r="BL71" s="25">
        <f t="shared" si="40"/>
        <v>0.31764705882352939</v>
      </c>
      <c r="BM71" s="25">
        <f t="shared" si="41"/>
        <v>0.35882352941176471</v>
      </c>
      <c r="BN71" s="18" t="str">
        <f t="shared" si="47"/>
        <v>Media fuente de proteína</v>
      </c>
      <c r="BO71" s="18" t="str">
        <f t="shared" si="48"/>
        <v>Alta fuente de fibra</v>
      </c>
      <c r="BP71" s="18" t="str">
        <f t="shared" si="49"/>
        <v>Baja fuente de calcio</v>
      </c>
      <c r="BQ71" s="18" t="str">
        <f t="shared" si="50"/>
        <v>Alta fuente de hierro</v>
      </c>
      <c r="BR71" s="18" t="str">
        <f t="shared" si="51"/>
        <v>Bajo en sodio</v>
      </c>
      <c r="BS71" s="6" t="str">
        <f t="shared" si="42"/>
        <v>Altamente antiinflamatorio</v>
      </c>
      <c r="BT71" s="6" t="str">
        <f t="shared" si="43"/>
        <v>Alto en grasas</v>
      </c>
      <c r="BU71" s="18" t="str">
        <f t="shared" si="52"/>
        <v>Equilibrio de líquidos ideal</v>
      </c>
      <c r="BV71" s="18" t="str">
        <f t="shared" si="53"/>
        <v>Media fuente de magnesio</v>
      </c>
      <c r="BW71" s="18" t="str">
        <f t="shared" si="54"/>
        <v>Sin aporte de Omega 3</v>
      </c>
      <c r="BX71" s="18" t="str">
        <f t="shared" si="55"/>
        <v>Libre de grasas trans</v>
      </c>
      <c r="BY71" s="18" t="str">
        <f t="shared" si="56"/>
        <v>Medio poder antioxidante</v>
      </c>
      <c r="BZ71" s="6" t="str">
        <f t="shared" si="44"/>
        <v>Sin probióticos</v>
      </c>
      <c r="CA71" s="18" t="str">
        <f t="shared" si="57"/>
        <v>Poco inflamatorio</v>
      </c>
      <c r="CB71" s="18" t="str">
        <f>IF(ISNUMBER(SEARCH("miel", D71)), "No irritante (Uso condicionado SII)", IF(OR(J71&gt;0, ISNUMBER(SEARCH("cacao", D71)), ISNUMBER(SEARCH("chocolate puro", D71))), "Altamente irritante", IF(OR(AND(O71&gt;15, BI71&gt;1), ISNUMBER(SEARCH("chocolate", D71))), "Moderadamente irritante", "No irritante")))</f>
        <v>No irritante</v>
      </c>
      <c r="CC71" s="6" t="str">
        <f t="shared" si="45"/>
        <v>Sin Omega 3 para evaluar</v>
      </c>
    </row>
    <row r="72" spans="1:81" ht="15" customHeight="1" x14ac:dyDescent="0.3">
      <c r="A72" s="2">
        <f t="shared" si="46"/>
        <v>71</v>
      </c>
      <c r="B72" s="3" t="s">
        <v>161</v>
      </c>
      <c r="C72" s="3" t="s">
        <v>166</v>
      </c>
      <c r="D72" s="3" t="s">
        <v>167</v>
      </c>
      <c r="E72" s="3"/>
      <c r="F72" s="4">
        <v>1</v>
      </c>
      <c r="G72" s="5">
        <v>0.84</v>
      </c>
      <c r="H72" s="5">
        <v>114</v>
      </c>
      <c r="I72" s="5">
        <v>70.5</v>
      </c>
      <c r="J72" s="5">
        <v>0</v>
      </c>
      <c r="K72" s="5">
        <v>1.6</v>
      </c>
      <c r="L72" s="5">
        <v>24.1</v>
      </c>
      <c r="M72" s="5">
        <v>19.5</v>
      </c>
      <c r="N72" s="5">
        <v>4.5999999999999996</v>
      </c>
      <c r="O72" s="5">
        <v>0</v>
      </c>
      <c r="P72" s="5">
        <v>3.1</v>
      </c>
      <c r="Q72" s="5">
        <v>0.6</v>
      </c>
      <c r="R72" s="5">
        <v>0.23</v>
      </c>
      <c r="S72" s="5">
        <v>0.04</v>
      </c>
      <c r="T72" s="5">
        <v>0.2</v>
      </c>
      <c r="U72" s="5">
        <v>0</v>
      </c>
      <c r="V72" s="5">
        <v>1581</v>
      </c>
      <c r="W72" s="5">
        <v>0</v>
      </c>
      <c r="X72" s="5">
        <v>9488</v>
      </c>
      <c r="Y72" s="5">
        <v>0</v>
      </c>
      <c r="Z72" s="5">
        <v>4.5999999999999996</v>
      </c>
      <c r="AA72" s="5">
        <v>1.8</v>
      </c>
      <c r="AB72" s="5">
        <v>0.17</v>
      </c>
      <c r="AC72" s="5">
        <v>0.06</v>
      </c>
      <c r="AD72" s="5">
        <v>0.97</v>
      </c>
      <c r="AE72" s="5">
        <v>0.27</v>
      </c>
      <c r="AF72" s="5">
        <v>17</v>
      </c>
      <c r="AG72" s="5">
        <v>0</v>
      </c>
      <c r="AH72" s="5">
        <v>0.59</v>
      </c>
      <c r="AI72" s="5">
        <v>4.3</v>
      </c>
      <c r="AJ72" s="5">
        <v>25</v>
      </c>
      <c r="AK72" s="5">
        <v>22</v>
      </c>
      <c r="AL72" s="5">
        <v>50</v>
      </c>
      <c r="AM72" s="5">
        <v>0.66</v>
      </c>
      <c r="AN72" s="5">
        <v>2.4</v>
      </c>
      <c r="AO72" s="5">
        <v>0.39</v>
      </c>
      <c r="AP72" s="5">
        <v>18</v>
      </c>
      <c r="AQ72" s="5">
        <v>19</v>
      </c>
      <c r="AR72" s="5">
        <v>300</v>
      </c>
      <c r="AS72" s="5">
        <v>0.24</v>
      </c>
      <c r="AT72" s="5">
        <v>0.13</v>
      </c>
      <c r="AU72" s="5">
        <v>1</v>
      </c>
      <c r="AV72" s="5">
        <f>IFERROR(VLOOKUP(IFERROR(VLOOKUP(D72,Mapa_Similitud!$A$2:$B$2000,2,FALSE()),D72),Hoja1!$A$2:$K$1000,2,FALSE()),IFERROR(VLOOKUP(IFERROR(VLOOKUP(D72,Mapa_Similitud!$A$2:$B$2000,2,FALSE()),D72),Omega3_Referencia!$A$2:$E$100,3,FALSE()),0))</f>
        <v>0.01</v>
      </c>
      <c r="AW72" s="3" t="str">
        <f>IFERROR(VLOOKUP(IFERROR(VLOOKUP(D72,Mapa_Similitud!$A$2:$B$2000,2,FALSE()),D72),Hoja1!$A$2:$K$1000,3,FALSE()),IFERROR(VLOOKUP(IFERROR(VLOOKUP(D72,Mapa_Similitud!$A$2:$B$2000,2,FALSE()),D72),Omega3_Referencia!$A$2:$E$100,4,FALSE()),"N/A"))</f>
        <v>ALA</v>
      </c>
      <c r="AX72" s="5">
        <f>IFERROR(VLOOKUP(IFERROR(VLOOKUP(D72,Mapa_Similitud!$A$2:$B$2000,2,FALSE()),D72),Hoja1!$A$2:$K$1000,5,FALSE()),0)</f>
        <v>0</v>
      </c>
      <c r="AY72" s="5">
        <f>IFERROR(VLOOKUP(IFERROR(VLOOKUP(D72,Mapa_Similitud!$A$2:$B$2000,2,FALSE()),D72),Hoja1!$A$2:$K$1000,7,FALSE()),0)</f>
        <v>440</v>
      </c>
      <c r="AZ72" s="5">
        <f>IFERROR(VLOOKUP(IFERROR(VLOOKUP(D72,Mapa_Similitud!$A$2:$B$2000,2,FALSE()),D72),Hoja1!$A$2:$K$1000,9,FALSE()),0)</f>
        <v>0</v>
      </c>
      <c r="BA72" s="25">
        <f t="shared" si="29"/>
        <v>1.4035087719298246E-2</v>
      </c>
      <c r="BB72" s="25">
        <f t="shared" si="30"/>
        <v>2.7192982456140352E-2</v>
      </c>
      <c r="BC72" s="25">
        <f t="shared" si="31"/>
        <v>0.19298245614035087</v>
      </c>
      <c r="BD72" s="25">
        <f t="shared" si="32"/>
        <v>5.7894736842105266E-3</v>
      </c>
      <c r="BE72" s="25">
        <f t="shared" si="33"/>
        <v>0.16666666666666666</v>
      </c>
      <c r="BF72" s="25">
        <f t="shared" si="34"/>
        <v>0.86956521739130432</v>
      </c>
      <c r="BG72" s="25">
        <f t="shared" si="35"/>
        <v>0.44</v>
      </c>
      <c r="BH72" s="25">
        <f t="shared" si="36"/>
        <v>0.38333333333333336</v>
      </c>
      <c r="BI72" s="25">
        <f t="shared" si="37"/>
        <v>6.3333333333333339E-2</v>
      </c>
      <c r="BJ72" s="25">
        <f t="shared" si="38"/>
        <v>0.19087136929460577</v>
      </c>
      <c r="BK72" s="25">
        <f t="shared" si="39"/>
        <v>0.12863070539419086</v>
      </c>
      <c r="BL72" s="25">
        <f t="shared" si="40"/>
        <v>4.7368421052631574E-2</v>
      </c>
      <c r="BM72" s="25">
        <f t="shared" si="41"/>
        <v>0.15789473684210525</v>
      </c>
      <c r="BN72" s="18" t="str">
        <f t="shared" si="47"/>
        <v>Baja fuente de proteína</v>
      </c>
      <c r="BO72" s="18" t="str">
        <f t="shared" si="48"/>
        <v>Media fuente de fibra</v>
      </c>
      <c r="BP72" s="18" t="str">
        <f t="shared" si="49"/>
        <v>Baja fuente de calcio</v>
      </c>
      <c r="BQ72" s="18" t="str">
        <f t="shared" si="50"/>
        <v>Baja fuente de hierro</v>
      </c>
      <c r="BR72" s="18" t="str">
        <f t="shared" si="51"/>
        <v>Bajo en sodio</v>
      </c>
      <c r="BS72" s="6" t="str">
        <f t="shared" si="42"/>
        <v>Neutro</v>
      </c>
      <c r="BT72" s="6" t="str">
        <f t="shared" si="43"/>
        <v>Bajo en grasas</v>
      </c>
      <c r="BU72" s="18" t="str">
        <f t="shared" si="52"/>
        <v>Equilibrio de líquidos ideal</v>
      </c>
      <c r="BV72" s="18" t="str">
        <f t="shared" si="53"/>
        <v>Baja fuente de magnesio</v>
      </c>
      <c r="BW72" s="18" t="str">
        <f t="shared" si="54"/>
        <v>Sin aporte de Omega 3</v>
      </c>
      <c r="BX72" s="18" t="str">
        <f t="shared" si="55"/>
        <v>Libre de grasas trans</v>
      </c>
      <c r="BY72" s="18" t="str">
        <f t="shared" si="56"/>
        <v>Alto poder antioxidante</v>
      </c>
      <c r="BZ72" s="6" t="str">
        <f t="shared" si="44"/>
        <v>Sin probióticos</v>
      </c>
      <c r="CA72" s="18" t="str">
        <f t="shared" si="57"/>
        <v>Antiinflamatorio</v>
      </c>
      <c r="CB72" s="18" t="str">
        <f>IF(ISNUMBER(SEARCH("miel", D72)), "No irritante (Uso condicionado SII)", IF(OR(J72&gt;0, ISNUMBER(SEARCH("cacao", D72)), ISNUMBER(SEARCH("chocolate puro", D72))), "Altamente irritante", IF(OR(AND(O72&gt;15, BI72&gt;1), ISNUMBER(SEARCH("chocolate", D72))), "Moderadamente irritante", "No irritante")))</f>
        <v>No irritante</v>
      </c>
      <c r="CC72" s="6" t="str">
        <f t="shared" si="45"/>
        <v>Exceso relativo de Omega 6</v>
      </c>
    </row>
    <row r="73" spans="1:81" ht="15" customHeight="1" x14ac:dyDescent="0.3">
      <c r="A73" s="2">
        <f t="shared" si="46"/>
        <v>72</v>
      </c>
      <c r="B73" s="3" t="s">
        <v>161</v>
      </c>
      <c r="C73" s="3" t="s">
        <v>166</v>
      </c>
      <c r="D73" s="3" t="s">
        <v>168</v>
      </c>
      <c r="E73" s="3" t="s">
        <v>169</v>
      </c>
      <c r="F73" s="4">
        <v>2</v>
      </c>
      <c r="G73" s="5">
        <v>1</v>
      </c>
      <c r="H73" s="5">
        <v>375</v>
      </c>
      <c r="I73" s="5">
        <v>3.8</v>
      </c>
      <c r="J73" s="5">
        <v>0</v>
      </c>
      <c r="K73" s="5">
        <v>6.9</v>
      </c>
      <c r="L73" s="5">
        <v>83.1</v>
      </c>
      <c r="M73" s="5">
        <v>79.599999999999994</v>
      </c>
      <c r="N73" s="5">
        <v>3.5</v>
      </c>
      <c r="O73" s="5">
        <v>0</v>
      </c>
      <c r="P73" s="5">
        <v>5.9</v>
      </c>
      <c r="Q73" s="5">
        <v>0.34</v>
      </c>
      <c r="R73" s="5">
        <v>0.09</v>
      </c>
      <c r="S73" s="5">
        <v>8.0000000000000002E-3</v>
      </c>
      <c r="T73" s="5">
        <v>0.15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0.25</v>
      </c>
      <c r="AA73" s="5">
        <v>0</v>
      </c>
      <c r="AB73" s="5">
        <v>0.23</v>
      </c>
      <c r="AC73" s="5">
        <v>5.0999999999999997E-2</v>
      </c>
      <c r="AD73" s="5">
        <v>3.5</v>
      </c>
      <c r="AE73" s="5">
        <v>0.77</v>
      </c>
      <c r="AF73" s="5">
        <v>25</v>
      </c>
      <c r="AG73" s="5">
        <v>0</v>
      </c>
      <c r="AH73" s="5">
        <v>0</v>
      </c>
      <c r="AI73" s="5">
        <v>0</v>
      </c>
      <c r="AJ73" s="5">
        <v>3.8</v>
      </c>
      <c r="AK73" s="5">
        <v>65</v>
      </c>
      <c r="AL73" s="5">
        <v>168</v>
      </c>
      <c r="AM73" s="5">
        <v>1.4</v>
      </c>
      <c r="AN73" s="5">
        <v>0</v>
      </c>
      <c r="AO73" s="5">
        <v>0.54</v>
      </c>
      <c r="AP73" s="5">
        <v>65</v>
      </c>
      <c r="AQ73" s="5">
        <v>55</v>
      </c>
      <c r="AR73" s="5">
        <v>1001</v>
      </c>
      <c r="AS73" s="5">
        <v>0</v>
      </c>
      <c r="AT73" s="5">
        <v>0</v>
      </c>
      <c r="AU73" s="5">
        <v>1.1000000000000001</v>
      </c>
      <c r="AV73" s="5">
        <f>IFERROR(VLOOKUP(IFERROR(VLOOKUP(D73,Mapa_Similitud!$A$2:$B$2000,2,FALSE()),D73),Hoja1!$A$2:$K$1000,2,FALSE()),IFERROR(VLOOKUP(IFERROR(VLOOKUP(D73,Mapa_Similitud!$A$2:$B$2000,2,FALSE()),D73),Omega3_Referencia!$A$2:$E$100,3,FALSE()),0))</f>
        <v>0</v>
      </c>
      <c r="AW73" s="3" t="str">
        <f>IFERROR(VLOOKUP(IFERROR(VLOOKUP(D73,Mapa_Similitud!$A$2:$B$2000,2,FALSE()),D73),Hoja1!$A$2:$K$1000,3,FALSE()),IFERROR(VLOOKUP(IFERROR(VLOOKUP(D73,Mapa_Similitud!$A$2:$B$2000,2,FALSE()),D73),Omega3_Referencia!$A$2:$E$100,4,FALSE()),"N/A"))</f>
        <v>N/A</v>
      </c>
      <c r="AX73" s="5">
        <f>IFERROR(VLOOKUP(IFERROR(VLOOKUP(D73,Mapa_Similitud!$A$2:$B$2000,2,FALSE()),D73),Hoja1!$A$2:$K$1000,5,FALSE()),0)</f>
        <v>0</v>
      </c>
      <c r="AY73" s="5">
        <f>IFERROR(VLOOKUP(IFERROR(VLOOKUP(D73,Mapa_Similitud!$A$2:$B$2000,2,FALSE()),D73),Hoja1!$A$2:$K$1000,7,FALSE()),0)</f>
        <v>0</v>
      </c>
      <c r="AZ73" s="5">
        <f>IFERROR(VLOOKUP(IFERROR(VLOOKUP(D73,Mapa_Similitud!$A$2:$B$2000,2,FALSE()),D73),Hoja1!$A$2:$K$1000,9,FALSE()),0)</f>
        <v>0</v>
      </c>
      <c r="BA73" s="25">
        <f t="shared" si="29"/>
        <v>1.84E-2</v>
      </c>
      <c r="BB73" s="25">
        <f t="shared" si="30"/>
        <v>1.5733333333333335E-2</v>
      </c>
      <c r="BC73" s="25">
        <f t="shared" si="31"/>
        <v>0.17333333333333334</v>
      </c>
      <c r="BD73" s="25">
        <f t="shared" si="32"/>
        <v>3.7333333333333333E-3</v>
      </c>
      <c r="BE73" s="25">
        <f t="shared" si="33"/>
        <v>0.14666666666666667</v>
      </c>
      <c r="BF73" s="25">
        <f t="shared" si="34"/>
        <v>1.6666666666666667</v>
      </c>
      <c r="BG73" s="25">
        <f t="shared" si="35"/>
        <v>0.38690476190476192</v>
      </c>
      <c r="BH73" s="25">
        <f t="shared" si="36"/>
        <v>0.26470588235294112</v>
      </c>
      <c r="BI73" s="25">
        <f t="shared" si="37"/>
        <v>5.4945054945054944E-2</v>
      </c>
      <c r="BJ73" s="25">
        <f t="shared" si="38"/>
        <v>4.2117930204572808E-2</v>
      </c>
      <c r="BK73" s="25">
        <f t="shared" si="39"/>
        <v>7.0998796630565589E-2</v>
      </c>
      <c r="BL73" s="25">
        <f t="shared" si="40"/>
        <v>8.1600000000000006E-3</v>
      </c>
      <c r="BM73" s="25">
        <f t="shared" si="41"/>
        <v>0.17333333333333334</v>
      </c>
      <c r="BN73" s="18" t="str">
        <f t="shared" si="47"/>
        <v>Baja fuente de proteína</v>
      </c>
      <c r="BO73" s="18" t="str">
        <f t="shared" si="48"/>
        <v>Media fuente de fibra</v>
      </c>
      <c r="BP73" s="18" t="str">
        <f t="shared" si="49"/>
        <v>Baja fuente de calcio</v>
      </c>
      <c r="BQ73" s="18" t="str">
        <f t="shared" si="50"/>
        <v>Baja fuente de hierro</v>
      </c>
      <c r="BR73" s="18" t="str">
        <f t="shared" si="51"/>
        <v>Bajo en sodio</v>
      </c>
      <c r="BS73" s="6" t="str">
        <f t="shared" si="42"/>
        <v>Ligeramente antiinflamatorio</v>
      </c>
      <c r="BT73" s="6" t="str">
        <f t="shared" si="43"/>
        <v>Bajo en grasas</v>
      </c>
      <c r="BU73" s="18" t="str">
        <f t="shared" si="52"/>
        <v>Equilibrio de líquidos ideal</v>
      </c>
      <c r="BV73" s="18" t="str">
        <f t="shared" si="53"/>
        <v>Baja fuente de magnesio</v>
      </c>
      <c r="BW73" s="18" t="str">
        <f t="shared" si="54"/>
        <v>Sin aporte de Omega 3</v>
      </c>
      <c r="BX73" s="18" t="str">
        <f t="shared" si="55"/>
        <v>Libre de grasas trans</v>
      </c>
      <c r="BY73" s="18" t="str">
        <f t="shared" si="56"/>
        <v>Bajo poder antioxidante</v>
      </c>
      <c r="BZ73" s="6" t="str">
        <f t="shared" si="44"/>
        <v>Sin probióticos</v>
      </c>
      <c r="CA73" s="18" t="str">
        <f t="shared" si="57"/>
        <v>Poco inflamatorio</v>
      </c>
      <c r="CB73" s="18" t="str">
        <f>IF(ISNUMBER(SEARCH("miel", D73)), "No irritante (Uso condicionado SII)", IF(OR(J73&gt;0, ISNUMBER(SEARCH("cacao", D73)), ISNUMBER(SEARCH("chocolate puro", D73))), "Altamente irritante", IF(OR(AND(O73&gt;15, BI73&gt;1), ISNUMBER(SEARCH("chocolate", D73))), "Moderadamente irritante", "No irritante")))</f>
        <v>No irritante</v>
      </c>
      <c r="CC73" s="6" t="str">
        <f t="shared" si="45"/>
        <v>Sin Omega 3 para evaluar</v>
      </c>
    </row>
    <row r="74" spans="1:81" ht="15" customHeight="1" x14ac:dyDescent="0.3">
      <c r="A74" s="2">
        <f t="shared" si="46"/>
        <v>73</v>
      </c>
      <c r="B74" s="3" t="s">
        <v>161</v>
      </c>
      <c r="C74" s="3" t="s">
        <v>166</v>
      </c>
      <c r="D74" s="3" t="s">
        <v>170</v>
      </c>
      <c r="E74" s="3"/>
      <c r="F74" s="4">
        <v>1.5</v>
      </c>
      <c r="G74" s="5">
        <v>1</v>
      </c>
      <c r="H74" s="5">
        <v>382</v>
      </c>
      <c r="I74" s="5">
        <v>4.5999999999999996</v>
      </c>
      <c r="J74" s="5">
        <v>0</v>
      </c>
      <c r="K74" s="5">
        <v>0.5</v>
      </c>
      <c r="L74" s="5">
        <v>94.3</v>
      </c>
      <c r="M74" s="5">
        <v>94.3</v>
      </c>
      <c r="N74" s="5">
        <v>0</v>
      </c>
      <c r="O74" s="5">
        <v>0</v>
      </c>
      <c r="P74" s="5">
        <v>0.4</v>
      </c>
      <c r="Q74" s="5">
        <v>0.2</v>
      </c>
      <c r="R74" s="5">
        <v>0.05</v>
      </c>
      <c r="S74" s="5">
        <v>0.05</v>
      </c>
      <c r="T74" s="5">
        <v>0.03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0.01</v>
      </c>
      <c r="AC74" s="5">
        <v>0.01</v>
      </c>
      <c r="AD74" s="5">
        <v>0.01</v>
      </c>
      <c r="AE74" s="5">
        <v>0.01</v>
      </c>
      <c r="AF74" s="5">
        <v>0.01</v>
      </c>
      <c r="AG74" s="5">
        <v>0</v>
      </c>
      <c r="AH74" s="5">
        <v>0</v>
      </c>
      <c r="AI74" s="5">
        <v>0</v>
      </c>
      <c r="AJ74" s="5">
        <v>0</v>
      </c>
      <c r="AK74" s="5">
        <v>11</v>
      </c>
      <c r="AL74" s="5">
        <v>20</v>
      </c>
      <c r="AM74" s="5">
        <v>1</v>
      </c>
      <c r="AN74" s="5">
        <v>0</v>
      </c>
      <c r="AO74" s="5">
        <v>0</v>
      </c>
      <c r="AP74" s="5">
        <v>3</v>
      </c>
      <c r="AQ74" s="5">
        <v>4</v>
      </c>
      <c r="AR74" s="5">
        <v>20</v>
      </c>
      <c r="AS74" s="5">
        <v>0</v>
      </c>
      <c r="AT74" s="5">
        <v>0</v>
      </c>
      <c r="AU74" s="5">
        <v>0.8</v>
      </c>
      <c r="AV74" s="5">
        <f>IFERROR(VLOOKUP(IFERROR(VLOOKUP(D74,Mapa_Similitud!$A$2:$B$2000,2,FALSE()),D74),Hoja1!$A$2:$K$1000,2,FALSE()),IFERROR(VLOOKUP(IFERROR(VLOOKUP(D74,Mapa_Similitud!$A$2:$B$2000,2,FALSE()),D74),Omega3_Referencia!$A$2:$E$100,3,FALSE()),0))</f>
        <v>0</v>
      </c>
      <c r="AW74" s="3" t="str">
        <f>IFERROR(VLOOKUP(IFERROR(VLOOKUP(D74,Mapa_Similitud!$A$2:$B$2000,2,FALSE()),D74),Hoja1!$A$2:$K$1000,3,FALSE()),IFERROR(VLOOKUP(IFERROR(VLOOKUP(D74,Mapa_Similitud!$A$2:$B$2000,2,FALSE()),D74),Omega3_Referencia!$A$2:$E$100,4,FALSE()),"N/A"))</f>
        <v>N/A</v>
      </c>
      <c r="AX74" s="5">
        <f>IFERROR(VLOOKUP(IFERROR(VLOOKUP(D74,Mapa_Similitud!$A$2:$B$2000,2,FALSE()),D74),Hoja1!$A$2:$K$1000,5,FALSE()),0)</f>
        <v>0</v>
      </c>
      <c r="AY74" s="5">
        <f>IFERROR(VLOOKUP(IFERROR(VLOOKUP(D74,Mapa_Similitud!$A$2:$B$2000,2,FALSE()),D74),Hoja1!$A$2:$K$1000,7,FALSE()),0)</f>
        <v>0</v>
      </c>
      <c r="AZ74" s="5">
        <f>IFERROR(VLOOKUP(IFERROR(VLOOKUP(D74,Mapa_Similitud!$A$2:$B$2000,2,FALSE()),D74),Hoja1!$A$2:$K$1000,9,FALSE()),0)</f>
        <v>0</v>
      </c>
      <c r="BA74" s="25">
        <f t="shared" si="29"/>
        <v>1.3089005235602095E-3</v>
      </c>
      <c r="BB74" s="25">
        <f t="shared" si="30"/>
        <v>1.0471204188481676E-3</v>
      </c>
      <c r="BC74" s="25">
        <f t="shared" si="31"/>
        <v>2.8795811518324606E-2</v>
      </c>
      <c r="BD74" s="25">
        <f t="shared" si="32"/>
        <v>2.617801047120419E-3</v>
      </c>
      <c r="BE74" s="25">
        <f t="shared" si="33"/>
        <v>1.0471204188481676E-2</v>
      </c>
      <c r="BF74" s="25">
        <f t="shared" si="34"/>
        <v>0.6</v>
      </c>
      <c r="BG74" s="25">
        <f t="shared" si="35"/>
        <v>0.55000000000000004</v>
      </c>
      <c r="BH74" s="25">
        <f t="shared" si="36"/>
        <v>0.25</v>
      </c>
      <c r="BI74" s="25">
        <f t="shared" si="37"/>
        <v>0.2</v>
      </c>
      <c r="BJ74" s="25">
        <f t="shared" si="38"/>
        <v>0</v>
      </c>
      <c r="BK74" s="25">
        <f t="shared" si="39"/>
        <v>4.2417815482502655E-3</v>
      </c>
      <c r="BL74" s="25">
        <f t="shared" si="40"/>
        <v>4.7120418848167539E-3</v>
      </c>
      <c r="BM74" s="25">
        <f t="shared" si="41"/>
        <v>7.8534031413612562E-3</v>
      </c>
      <c r="BN74" s="18" t="str">
        <f t="shared" si="47"/>
        <v>Baja fuente de proteína</v>
      </c>
      <c r="BO74" s="18" t="str">
        <f t="shared" si="48"/>
        <v>Baja fuente de fibra</v>
      </c>
      <c r="BP74" s="18" t="str">
        <f t="shared" si="49"/>
        <v>Baja fuente de calcio</v>
      </c>
      <c r="BQ74" s="18" t="str">
        <f t="shared" si="50"/>
        <v>Baja fuente de hierro</v>
      </c>
      <c r="BR74" s="18" t="str">
        <f t="shared" si="51"/>
        <v>Bajo en sodio</v>
      </c>
      <c r="BS74" s="6" t="str">
        <f t="shared" si="42"/>
        <v>Neutro</v>
      </c>
      <c r="BT74" s="6" t="str">
        <f t="shared" si="43"/>
        <v>Bajo en grasas</v>
      </c>
      <c r="BU74" s="18" t="str">
        <f t="shared" si="52"/>
        <v>Equilibrio de líquidos ideal</v>
      </c>
      <c r="BV74" s="18" t="str">
        <f t="shared" si="53"/>
        <v>Baja fuente de magnesio</v>
      </c>
      <c r="BW74" s="18" t="str">
        <f t="shared" si="54"/>
        <v>Sin aporte de Omega 3</v>
      </c>
      <c r="BX74" s="18" t="str">
        <f t="shared" si="55"/>
        <v>Libre de grasas trans</v>
      </c>
      <c r="BY74" s="18" t="str">
        <f t="shared" si="56"/>
        <v>Bajo poder antioxidante</v>
      </c>
      <c r="BZ74" s="6" t="str">
        <f t="shared" si="44"/>
        <v>Sin probióticos</v>
      </c>
      <c r="CA74" s="18" t="str">
        <f t="shared" si="57"/>
        <v>Poco inflamatorio</v>
      </c>
      <c r="CB74" s="18" t="str">
        <f>IF(ISNUMBER(SEARCH("miel", D74)), "No irritante (Uso condicionado SII)", IF(OR(J74&gt;0, ISNUMBER(SEARCH("cacao", D74)), ISNUMBER(SEARCH("chocolate puro", D74))), "Altamente irritante", IF(OR(AND(O74&gt;15, BI74&gt;1), ISNUMBER(SEARCH("chocolate", D74))), "Moderadamente irritante", "No irritante")))</f>
        <v>No irritante</v>
      </c>
      <c r="CC74" s="6" t="str">
        <f t="shared" si="45"/>
        <v>Sin Omega 3 para evaluar</v>
      </c>
    </row>
    <row r="75" spans="1:81" ht="15" customHeight="1" x14ac:dyDescent="0.3">
      <c r="A75" s="2">
        <f t="shared" si="46"/>
        <v>74</v>
      </c>
      <c r="B75" s="3" t="s">
        <v>161</v>
      </c>
      <c r="C75" s="3" t="s">
        <v>166</v>
      </c>
      <c r="D75" s="3" t="s">
        <v>171</v>
      </c>
      <c r="E75" s="3"/>
      <c r="F75" s="4">
        <v>0.5</v>
      </c>
      <c r="G75" s="5">
        <v>0.75</v>
      </c>
      <c r="H75" s="5">
        <v>31.8</v>
      </c>
      <c r="I75" s="5">
        <v>90.6</v>
      </c>
      <c r="J75" s="5">
        <v>0</v>
      </c>
      <c r="K75" s="5">
        <v>1</v>
      </c>
      <c r="L75" s="5">
        <v>4.7</v>
      </c>
      <c r="M75" s="5">
        <v>0.69</v>
      </c>
      <c r="N75" s="5">
        <v>4</v>
      </c>
      <c r="O75" s="5">
        <v>0</v>
      </c>
      <c r="P75" s="5">
        <v>3.5</v>
      </c>
      <c r="Q75" s="5">
        <v>0.22</v>
      </c>
      <c r="R75" s="5">
        <v>5.1999999999999998E-2</v>
      </c>
      <c r="S75" s="5">
        <v>1.4999999999999999E-2</v>
      </c>
      <c r="T75" s="5">
        <v>8.7999999999999995E-2</v>
      </c>
      <c r="U75" s="5">
        <v>0</v>
      </c>
      <c r="V75" s="5">
        <v>12</v>
      </c>
      <c r="W75" s="5">
        <v>0</v>
      </c>
      <c r="X75" s="5">
        <v>72</v>
      </c>
      <c r="Y75" s="5">
        <v>0</v>
      </c>
      <c r="Z75" s="5">
        <v>0</v>
      </c>
      <c r="AA75" s="5">
        <v>0.1</v>
      </c>
      <c r="AB75" s="5">
        <v>0.04</v>
      </c>
      <c r="AC75" s="5">
        <v>5.0999999999999997E-2</v>
      </c>
      <c r="AD75" s="5">
        <v>0.68</v>
      </c>
      <c r="AE75" s="5">
        <v>0.08</v>
      </c>
      <c r="AF75" s="5">
        <v>20</v>
      </c>
      <c r="AG75" s="5">
        <v>0</v>
      </c>
      <c r="AH75" s="5">
        <v>0.2</v>
      </c>
      <c r="AI75" s="5">
        <v>2</v>
      </c>
      <c r="AJ75" s="5">
        <v>20</v>
      </c>
      <c r="AK75" s="5">
        <v>45</v>
      </c>
      <c r="AL75" s="5">
        <v>41</v>
      </c>
      <c r="AM75" s="5">
        <v>0.38</v>
      </c>
      <c r="AN75" s="5">
        <v>2</v>
      </c>
      <c r="AO75" s="5">
        <v>0.23</v>
      </c>
      <c r="AP75" s="5">
        <v>14</v>
      </c>
      <c r="AQ75" s="5">
        <v>58</v>
      </c>
      <c r="AR75" s="5">
        <v>269</v>
      </c>
      <c r="AS75" s="5">
        <v>6.8000000000000005E-2</v>
      </c>
      <c r="AT75" s="5">
        <v>5.6000000000000001E-2</v>
      </c>
      <c r="AU75" s="5">
        <v>1</v>
      </c>
      <c r="AV75" s="5">
        <f>IFERROR(VLOOKUP(IFERROR(VLOOKUP(D75,Mapa_Similitud!$A$2:$B$2000,2,FALSE()),D75),Hoja1!$A$2:$K$1000,2,FALSE()),IFERROR(VLOOKUP(IFERROR(VLOOKUP(D75,Mapa_Similitud!$A$2:$B$2000,2,FALSE()),D75),Omega3_Referencia!$A$2:$E$100,3,FALSE()),0))</f>
        <v>0.01</v>
      </c>
      <c r="AW75" s="3" t="str">
        <f>IFERROR(VLOOKUP(IFERROR(VLOOKUP(D75,Mapa_Similitud!$A$2:$B$2000,2,FALSE()),D75),Hoja1!$A$2:$K$1000,3,FALSE()),IFERROR(VLOOKUP(IFERROR(VLOOKUP(D75,Mapa_Similitud!$A$2:$B$2000,2,FALSE()),D75),Omega3_Referencia!$A$2:$E$100,4,FALSE()),"N/A"))</f>
        <v>ALA</v>
      </c>
      <c r="AX75" s="5">
        <f>IFERROR(VLOOKUP(IFERROR(VLOOKUP(D75,Mapa_Similitud!$A$2:$B$2000,2,FALSE()),D75),Hoja1!$A$2:$K$1000,5,FALSE()),0)</f>
        <v>0</v>
      </c>
      <c r="AY75" s="5">
        <f>IFERROR(VLOOKUP(IFERROR(VLOOKUP(D75,Mapa_Similitud!$A$2:$B$2000,2,FALSE()),D75),Hoja1!$A$2:$K$1000,7,FALSE()),0)</f>
        <v>45</v>
      </c>
      <c r="AZ75" s="5">
        <f>IFERROR(VLOOKUP(IFERROR(VLOOKUP(D75,Mapa_Similitud!$A$2:$B$2000,2,FALSE()),D75),Hoja1!$A$2:$K$1000,9,FALSE()),0)</f>
        <v>0</v>
      </c>
      <c r="BA75" s="25">
        <f t="shared" si="29"/>
        <v>3.1446540880503145E-2</v>
      </c>
      <c r="BB75" s="25">
        <f t="shared" si="30"/>
        <v>0.11006289308176101</v>
      </c>
      <c r="BC75" s="25">
        <f t="shared" si="31"/>
        <v>1.4150943396226414</v>
      </c>
      <c r="BD75" s="25">
        <f t="shared" si="32"/>
        <v>1.1949685534591194E-2</v>
      </c>
      <c r="BE75" s="25">
        <f t="shared" si="33"/>
        <v>1.8238993710691824</v>
      </c>
      <c r="BF75" s="25">
        <f t="shared" si="34"/>
        <v>1.6923076923076923</v>
      </c>
      <c r="BG75" s="25">
        <f t="shared" si="35"/>
        <v>1.0975609756097562</v>
      </c>
      <c r="BH75" s="25">
        <f t="shared" si="36"/>
        <v>0.23636363636363636</v>
      </c>
      <c r="BI75" s="25">
        <f t="shared" si="37"/>
        <v>0.21561338289962825</v>
      </c>
      <c r="BJ75" s="25">
        <f t="shared" si="38"/>
        <v>0.85106382978723405</v>
      </c>
      <c r="BK75" s="25">
        <f t="shared" si="39"/>
        <v>0.74468085106382975</v>
      </c>
      <c r="BL75" s="25">
        <f t="shared" si="40"/>
        <v>6.2264150943396226E-2</v>
      </c>
      <c r="BM75" s="25">
        <f t="shared" si="41"/>
        <v>0.44025157232704404</v>
      </c>
      <c r="BN75" s="18" t="str">
        <f t="shared" si="47"/>
        <v>Baja fuente de proteína</v>
      </c>
      <c r="BO75" s="18" t="str">
        <f t="shared" si="48"/>
        <v>Alta fuente de fibra</v>
      </c>
      <c r="BP75" s="18" t="str">
        <f t="shared" si="49"/>
        <v>Media fuente de calcio</v>
      </c>
      <c r="BQ75" s="18" t="str">
        <f t="shared" si="50"/>
        <v>Media fuente de hierro</v>
      </c>
      <c r="BR75" s="18" t="str">
        <f t="shared" si="51"/>
        <v>Alto en sodio</v>
      </c>
      <c r="BS75" s="6" t="str">
        <f t="shared" si="42"/>
        <v>Ligeramente antiinflamatorio</v>
      </c>
      <c r="BT75" s="6" t="str">
        <f t="shared" si="43"/>
        <v>Bajo en grasas</v>
      </c>
      <c r="BU75" s="18" t="str">
        <f t="shared" si="52"/>
        <v>Equilibrio de líquidos ideal</v>
      </c>
      <c r="BV75" s="18" t="str">
        <f t="shared" si="53"/>
        <v>Media fuente de magnesio</v>
      </c>
      <c r="BW75" s="18" t="str">
        <f t="shared" si="54"/>
        <v>Sin aporte de Omega 3</v>
      </c>
      <c r="BX75" s="18" t="str">
        <f t="shared" si="55"/>
        <v>Libre de grasas trans</v>
      </c>
      <c r="BY75" s="18" t="str">
        <f t="shared" si="56"/>
        <v>Medio poder antioxidante</v>
      </c>
      <c r="BZ75" s="6" t="str">
        <f t="shared" si="44"/>
        <v>Sin probióticos</v>
      </c>
      <c r="CA75" s="18" t="str">
        <f t="shared" si="57"/>
        <v>Poco inflamatorio</v>
      </c>
      <c r="CB75" s="18" t="str">
        <f>IF(ISNUMBER(SEARCH("miel", D75)), "No irritante (Uso condicionado SII)", IF(OR(J75&gt;0, ISNUMBER(SEARCH("cacao", D75)), ISNUMBER(SEARCH("chocolate puro", D75))), "Altamente irritante", IF(OR(AND(O75&gt;15, BI75&gt;1), ISNUMBER(SEARCH("chocolate", D75))), "Moderadamente irritante", "No irritante")))</f>
        <v>No irritante</v>
      </c>
      <c r="CC75" s="6" t="str">
        <f t="shared" si="45"/>
        <v>Exceso relativo de Omega 6</v>
      </c>
    </row>
    <row r="76" spans="1:81" ht="15" customHeight="1" x14ac:dyDescent="0.3">
      <c r="A76" s="2">
        <f t="shared" si="46"/>
        <v>75</v>
      </c>
      <c r="B76" s="3" t="s">
        <v>161</v>
      </c>
      <c r="C76" s="3" t="s">
        <v>166</v>
      </c>
      <c r="D76" s="3" t="s">
        <v>172</v>
      </c>
      <c r="E76" s="3"/>
      <c r="F76" s="4">
        <v>0.35</v>
      </c>
      <c r="G76" s="5">
        <v>0.8</v>
      </c>
      <c r="H76" s="5">
        <v>73.599999999999994</v>
      </c>
      <c r="I76" s="5">
        <v>80.7</v>
      </c>
      <c r="J76" s="5">
        <v>0</v>
      </c>
      <c r="K76" s="5">
        <v>2.2999999999999998</v>
      </c>
      <c r="L76" s="5">
        <v>14.8</v>
      </c>
      <c r="M76" s="5">
        <v>14.1</v>
      </c>
      <c r="N76" s="5">
        <v>0.7</v>
      </c>
      <c r="O76" s="5">
        <v>0</v>
      </c>
      <c r="P76" s="5">
        <v>2.1</v>
      </c>
      <c r="Q76" s="5">
        <v>0.11</v>
      </c>
      <c r="R76" s="5">
        <v>2.5999999999999999E-2</v>
      </c>
      <c r="S76" s="5">
        <v>2E-3</v>
      </c>
      <c r="T76" s="5">
        <v>5.6000000000000001E-2</v>
      </c>
      <c r="U76" s="5">
        <v>0</v>
      </c>
      <c r="V76" s="5">
        <v>0.17</v>
      </c>
      <c r="W76" s="5">
        <v>0</v>
      </c>
      <c r="X76" s="5">
        <v>1</v>
      </c>
      <c r="Y76" s="5">
        <v>0</v>
      </c>
      <c r="Z76" s="5">
        <v>5.2999999999999999E-2</v>
      </c>
      <c r="AA76" s="5">
        <v>2.1</v>
      </c>
      <c r="AB76" s="5">
        <v>0.11</v>
      </c>
      <c r="AC76" s="5">
        <v>4.7E-2</v>
      </c>
      <c r="AD76" s="5">
        <v>1.7</v>
      </c>
      <c r="AE76" s="5">
        <v>0.31</v>
      </c>
      <c r="AF76" s="5">
        <v>22</v>
      </c>
      <c r="AG76" s="5">
        <v>0</v>
      </c>
      <c r="AH76" s="5">
        <v>0.4</v>
      </c>
      <c r="AI76" s="5">
        <v>0.4</v>
      </c>
      <c r="AJ76" s="5">
        <v>17</v>
      </c>
      <c r="AK76" s="5">
        <v>6.4</v>
      </c>
      <c r="AL76" s="5">
        <v>50</v>
      </c>
      <c r="AM76" s="5">
        <v>0.43</v>
      </c>
      <c r="AN76" s="5">
        <v>2.6</v>
      </c>
      <c r="AO76" s="5">
        <v>0.34</v>
      </c>
      <c r="AP76" s="5">
        <v>21</v>
      </c>
      <c r="AQ76" s="5">
        <v>2.7</v>
      </c>
      <c r="AR76" s="5">
        <v>418</v>
      </c>
      <c r="AS76" s="5">
        <v>0.15</v>
      </c>
      <c r="AT76" s="5">
        <v>9.0999999999999998E-2</v>
      </c>
      <c r="AU76" s="5">
        <v>1.5</v>
      </c>
      <c r="AV76" s="5">
        <f>IFERROR(VLOOKUP(IFERROR(VLOOKUP(D76,Mapa_Similitud!$A$2:$B$2000,2,FALSE()),D76),Hoja1!$A$2:$K$1000,2,FALSE()),IFERROR(VLOOKUP(IFERROR(VLOOKUP(D76,Mapa_Similitud!$A$2:$B$2000,2,FALSE()),D76),Omega3_Referencia!$A$2:$E$100,3,FALSE()),0))</f>
        <v>0.01</v>
      </c>
      <c r="AW76" s="3" t="str">
        <f>IFERROR(VLOOKUP(IFERROR(VLOOKUP(D76,Mapa_Similitud!$A$2:$B$2000,2,FALSE()),D76),Hoja1!$A$2:$K$1000,3,FALSE()),IFERROR(VLOOKUP(IFERROR(VLOOKUP(D76,Mapa_Similitud!$A$2:$B$2000,2,FALSE()),D76),Omega3_Referencia!$A$2:$E$100,4,FALSE()),"N/A"))</f>
        <v>ALA</v>
      </c>
      <c r="AX76" s="5">
        <f>IFERROR(VLOOKUP(IFERROR(VLOOKUP(D76,Mapa_Similitud!$A$2:$B$2000,2,FALSE()),D76),Hoja1!$A$2:$K$1000,5,FALSE()),0)</f>
        <v>0</v>
      </c>
      <c r="AY76" s="5">
        <f>IFERROR(VLOOKUP(IFERROR(VLOOKUP(D76,Mapa_Similitud!$A$2:$B$2000,2,FALSE()),D76),Hoja1!$A$2:$K$1000,7,FALSE()),0)</f>
        <v>25</v>
      </c>
      <c r="AZ76" s="5">
        <f>IFERROR(VLOOKUP(IFERROR(VLOOKUP(D76,Mapa_Similitud!$A$2:$B$2000,2,FALSE()),D76),Hoja1!$A$2:$K$1000,9,FALSE()),0)</f>
        <v>0</v>
      </c>
      <c r="BA76" s="25">
        <f t="shared" si="29"/>
        <v>3.125E-2</v>
      </c>
      <c r="BB76" s="25">
        <f t="shared" si="30"/>
        <v>2.8532608695652176E-2</v>
      </c>
      <c r="BC76" s="25">
        <f t="shared" si="31"/>
        <v>8.6956521739130446E-2</v>
      </c>
      <c r="BD76" s="25">
        <f t="shared" si="32"/>
        <v>5.8423913043478262E-3</v>
      </c>
      <c r="BE76" s="25">
        <f t="shared" si="33"/>
        <v>3.6684782608695655E-2</v>
      </c>
      <c r="BF76" s="25">
        <f t="shared" si="34"/>
        <v>2.1538461538461542</v>
      </c>
      <c r="BG76" s="25">
        <f t="shared" si="35"/>
        <v>0.128</v>
      </c>
      <c r="BH76" s="25">
        <f t="shared" si="36"/>
        <v>0.23636363636363636</v>
      </c>
      <c r="BI76" s="25">
        <f t="shared" si="37"/>
        <v>6.4593301435406699E-3</v>
      </c>
      <c r="BJ76" s="25">
        <f t="shared" si="38"/>
        <v>4.7297297297297293E-2</v>
      </c>
      <c r="BK76" s="25">
        <f t="shared" si="39"/>
        <v>0.14189189189189189</v>
      </c>
      <c r="BL76" s="25">
        <f t="shared" si="40"/>
        <v>1.345108695652174E-2</v>
      </c>
      <c r="BM76" s="25">
        <f t="shared" si="41"/>
        <v>0.28532608695652178</v>
      </c>
      <c r="BN76" s="18" t="str">
        <f t="shared" si="47"/>
        <v>Baja fuente de proteína</v>
      </c>
      <c r="BO76" s="18" t="str">
        <f t="shared" si="48"/>
        <v>Media fuente de fibra</v>
      </c>
      <c r="BP76" s="18" t="str">
        <f t="shared" si="49"/>
        <v>Baja fuente de calcio</v>
      </c>
      <c r="BQ76" s="18" t="str">
        <f t="shared" si="50"/>
        <v>Baja fuente de hierro</v>
      </c>
      <c r="BR76" s="18" t="str">
        <f t="shared" si="51"/>
        <v>Bajo en sodio</v>
      </c>
      <c r="BS76" s="6" t="str">
        <f t="shared" si="42"/>
        <v>Altamente antiinflamatorio</v>
      </c>
      <c r="BT76" s="6" t="str">
        <f t="shared" si="43"/>
        <v>Bajo en grasas</v>
      </c>
      <c r="BU76" s="18" t="str">
        <f t="shared" si="52"/>
        <v>Equilibrio de líquidos ideal</v>
      </c>
      <c r="BV76" s="18" t="str">
        <f t="shared" si="53"/>
        <v>Media fuente de magnesio</v>
      </c>
      <c r="BW76" s="18" t="str">
        <f t="shared" si="54"/>
        <v>Sin aporte de Omega 3</v>
      </c>
      <c r="BX76" s="18" t="str">
        <f t="shared" si="55"/>
        <v>Libre de grasas trans</v>
      </c>
      <c r="BY76" s="18" t="str">
        <f t="shared" si="56"/>
        <v>Medio poder antioxidante</v>
      </c>
      <c r="BZ76" s="6" t="str">
        <f t="shared" si="44"/>
        <v>Sin probióticos</v>
      </c>
      <c r="CA76" s="18" t="str">
        <f t="shared" si="57"/>
        <v>Poco inflamatorio</v>
      </c>
      <c r="CB76" s="18" t="str">
        <f>IF(ISNUMBER(SEARCH("miel", D76)), "No irritante (Uso condicionado SII)", IF(OR(J76&gt;0, ISNUMBER(SEARCH("cacao", D76)), ISNUMBER(SEARCH("chocolate puro", D76))), "Altamente irritante", IF(OR(AND(O76&gt;15, BI76&gt;1), ISNUMBER(SEARCH("chocolate", D76))), "Moderadamente irritante", "No irritante")))</f>
        <v>No irritante</v>
      </c>
      <c r="CC76" s="6" t="str">
        <f t="shared" si="45"/>
        <v>Exceso relativo de Omega 6</v>
      </c>
    </row>
    <row r="77" spans="1:81" ht="15" customHeight="1" x14ac:dyDescent="0.3">
      <c r="A77" s="2">
        <f t="shared" si="46"/>
        <v>76</v>
      </c>
      <c r="B77" s="3" t="s">
        <v>161</v>
      </c>
      <c r="C77" s="3" t="s">
        <v>166</v>
      </c>
      <c r="D77" s="3" t="s">
        <v>173</v>
      </c>
      <c r="E77" s="3"/>
      <c r="F77" s="4">
        <v>0.6</v>
      </c>
      <c r="G77" s="5">
        <v>0.81</v>
      </c>
      <c r="H77" s="5">
        <v>17.3</v>
      </c>
      <c r="I77" s="5">
        <v>95</v>
      </c>
      <c r="J77" s="5">
        <v>0</v>
      </c>
      <c r="K77" s="5">
        <v>1.1000000000000001</v>
      </c>
      <c r="L77" s="5">
        <v>2.1</v>
      </c>
      <c r="M77" s="5">
        <v>0</v>
      </c>
      <c r="N77" s="5">
        <v>2.1</v>
      </c>
      <c r="O77" s="5">
        <v>0</v>
      </c>
      <c r="P77" s="5">
        <v>1.6</v>
      </c>
      <c r="Q77" s="5">
        <v>0.14000000000000001</v>
      </c>
      <c r="R77" s="5">
        <v>3.3000000000000002E-2</v>
      </c>
      <c r="S77" s="5">
        <v>1.7000000000000001E-2</v>
      </c>
      <c r="T77" s="5">
        <v>5.5E-2</v>
      </c>
      <c r="U77" s="5">
        <v>0</v>
      </c>
      <c r="V77" s="5">
        <v>3.8</v>
      </c>
      <c r="W77" s="5">
        <v>0</v>
      </c>
      <c r="X77" s="5">
        <v>23</v>
      </c>
      <c r="Y77" s="5">
        <v>0</v>
      </c>
      <c r="Z77" s="5">
        <v>1E-3</v>
      </c>
      <c r="AA77" s="5">
        <v>1.3</v>
      </c>
      <c r="AB77" s="5">
        <v>3.3000000000000002E-2</v>
      </c>
      <c r="AC77" s="5">
        <v>0.03</v>
      </c>
      <c r="AD77" s="5">
        <v>0.52</v>
      </c>
      <c r="AE77" s="5">
        <v>0.06</v>
      </c>
      <c r="AF77" s="5">
        <v>24</v>
      </c>
      <c r="AG77" s="5">
        <v>0</v>
      </c>
      <c r="AH77" s="5">
        <v>0.18</v>
      </c>
      <c r="AI77" s="5">
        <v>0</v>
      </c>
      <c r="AJ77" s="5">
        <v>29</v>
      </c>
      <c r="AK77" s="5">
        <v>26</v>
      </c>
      <c r="AL77" s="5">
        <v>18</v>
      </c>
      <c r="AM77" s="5">
        <v>0.44</v>
      </c>
      <c r="AN77" s="5">
        <v>1.2</v>
      </c>
      <c r="AO77" s="5">
        <v>0.19</v>
      </c>
      <c r="AP77" s="5">
        <v>9.4</v>
      </c>
      <c r="AQ77" s="5">
        <v>21</v>
      </c>
      <c r="AR77" s="5">
        <v>241</v>
      </c>
      <c r="AS77" s="5">
        <v>4.9000000000000002E-2</v>
      </c>
      <c r="AT77" s="5">
        <v>2.5999999999999999E-2</v>
      </c>
      <c r="AU77" s="5">
        <v>2</v>
      </c>
      <c r="AV77" s="5">
        <f>IFERROR(VLOOKUP(IFERROR(VLOOKUP(D77,Mapa_Similitud!$A$2:$B$2000,2,FALSE()),D77),Hoja1!$A$2:$K$1000,2,FALSE()),IFERROR(VLOOKUP(IFERROR(VLOOKUP(D77,Mapa_Similitud!$A$2:$B$2000,2,FALSE()),D77),Omega3_Referencia!$A$2:$E$100,3,FALSE()),0))</f>
        <v>0.01</v>
      </c>
      <c r="AW77" s="3" t="str">
        <f>IFERROR(VLOOKUP(IFERROR(VLOOKUP(D77,Mapa_Similitud!$A$2:$B$2000,2,FALSE()),D77),Hoja1!$A$2:$K$1000,3,FALSE()),IFERROR(VLOOKUP(IFERROR(VLOOKUP(D77,Mapa_Similitud!$A$2:$B$2000,2,FALSE()),D77),Omega3_Referencia!$A$2:$E$100,4,FALSE()),"N/A"))</f>
        <v>ALA</v>
      </c>
      <c r="AX77" s="5">
        <f>IFERROR(VLOOKUP(IFERROR(VLOOKUP(D77,Mapa_Similitud!$A$2:$B$2000,2,FALSE()),D77),Hoja1!$A$2:$K$1000,5,FALSE()),0)</f>
        <v>0</v>
      </c>
      <c r="AY77" s="5">
        <f>IFERROR(VLOOKUP(IFERROR(VLOOKUP(D77,Mapa_Similitud!$A$2:$B$2000,2,FALSE()),D77),Hoja1!$A$2:$K$1000,7,FALSE()),0)</f>
        <v>35</v>
      </c>
      <c r="AZ77" s="5">
        <f>IFERROR(VLOOKUP(IFERROR(VLOOKUP(D77,Mapa_Similitud!$A$2:$B$2000,2,FALSE()),D77),Hoja1!$A$2:$K$1000,9,FALSE()),0)</f>
        <v>0</v>
      </c>
      <c r="BA77" s="25">
        <f t="shared" si="29"/>
        <v>6.358381502890173E-2</v>
      </c>
      <c r="BB77" s="25">
        <f t="shared" si="30"/>
        <v>9.2485549132947972E-2</v>
      </c>
      <c r="BC77" s="25">
        <f t="shared" si="31"/>
        <v>1.5028901734104045</v>
      </c>
      <c r="BD77" s="25">
        <f t="shared" si="32"/>
        <v>2.5433526011560691E-2</v>
      </c>
      <c r="BE77" s="25">
        <f t="shared" si="33"/>
        <v>1.2138728323699421</v>
      </c>
      <c r="BF77" s="25">
        <f t="shared" si="34"/>
        <v>1.6666666666666665</v>
      </c>
      <c r="BG77" s="25">
        <f t="shared" si="35"/>
        <v>1.4444444444444444</v>
      </c>
      <c r="BH77" s="25">
        <f t="shared" si="36"/>
        <v>0.23571428571428571</v>
      </c>
      <c r="BI77" s="25">
        <f t="shared" si="37"/>
        <v>8.7136929460580909E-2</v>
      </c>
      <c r="BJ77" s="25">
        <f t="shared" si="38"/>
        <v>1</v>
      </c>
      <c r="BK77" s="25">
        <f t="shared" si="39"/>
        <v>0.76190476190476186</v>
      </c>
      <c r="BL77" s="25">
        <f t="shared" si="40"/>
        <v>7.2832369942196537E-2</v>
      </c>
      <c r="BM77" s="25">
        <f t="shared" si="41"/>
        <v>0.54335260115606931</v>
      </c>
      <c r="BN77" s="18" t="str">
        <f t="shared" si="47"/>
        <v>Baja fuente de proteína</v>
      </c>
      <c r="BO77" s="18" t="str">
        <f t="shared" si="48"/>
        <v>Alta fuente de fibra</v>
      </c>
      <c r="BP77" s="18" t="str">
        <f t="shared" si="49"/>
        <v>Alta fuente de calcio</v>
      </c>
      <c r="BQ77" s="18" t="str">
        <f t="shared" si="50"/>
        <v>Alta fuente de hierro</v>
      </c>
      <c r="BR77" s="18" t="str">
        <f t="shared" si="51"/>
        <v>Alto en sodio</v>
      </c>
      <c r="BS77" s="6" t="str">
        <f t="shared" si="42"/>
        <v>Ligeramente antiinflamatorio</v>
      </c>
      <c r="BT77" s="6" t="str">
        <f t="shared" si="43"/>
        <v>Bajo en grasas</v>
      </c>
      <c r="BU77" s="18" t="str">
        <f t="shared" si="52"/>
        <v>Equilibrio de líquidos ideal</v>
      </c>
      <c r="BV77" s="18" t="str">
        <f t="shared" si="53"/>
        <v>Alta fuente de magnesio</v>
      </c>
      <c r="BW77" s="18" t="str">
        <f t="shared" si="54"/>
        <v>Sin aporte de Omega 3</v>
      </c>
      <c r="BX77" s="18" t="str">
        <f t="shared" si="55"/>
        <v>Libre de grasas trans</v>
      </c>
      <c r="BY77" s="18" t="str">
        <f t="shared" si="56"/>
        <v>Medio poder antioxidante</v>
      </c>
      <c r="BZ77" s="6" t="str">
        <f t="shared" si="44"/>
        <v>Sin probióticos</v>
      </c>
      <c r="CA77" s="18" t="str">
        <f t="shared" si="57"/>
        <v>Poco inflamatorio</v>
      </c>
      <c r="CB77" s="18" t="str">
        <f>IF(ISNUMBER(SEARCH("miel", D77)), "No irritante (Uso condicionado SII)", IF(OR(J77&gt;0, ISNUMBER(SEARCH("cacao", D77)), ISNUMBER(SEARCH("chocolate puro", D77))), "Altamente irritante", IF(OR(AND(O77&gt;15, BI77&gt;1), ISNUMBER(SEARCH("chocolate", D77))), "Moderadamente irritante", "No irritante")))</f>
        <v>No irritante</v>
      </c>
      <c r="CC77" s="6" t="str">
        <f t="shared" si="45"/>
        <v>Exceso relativo de Omega 6</v>
      </c>
    </row>
    <row r="78" spans="1:81" ht="15" customHeight="1" x14ac:dyDescent="0.3">
      <c r="A78" s="2">
        <f t="shared" si="46"/>
        <v>77</v>
      </c>
      <c r="B78" s="3" t="s">
        <v>161</v>
      </c>
      <c r="C78" s="3" t="s">
        <v>166</v>
      </c>
      <c r="D78" s="3" t="s">
        <v>174</v>
      </c>
      <c r="E78" s="3"/>
      <c r="F78" s="4">
        <v>0.5</v>
      </c>
      <c r="G78" s="5">
        <v>0.8</v>
      </c>
      <c r="H78" s="5">
        <v>46.1</v>
      </c>
      <c r="I78" s="5">
        <v>87.3</v>
      </c>
      <c r="J78" s="5">
        <v>0</v>
      </c>
      <c r="K78" s="5">
        <v>1.6</v>
      </c>
      <c r="L78" s="5">
        <v>8.4</v>
      </c>
      <c r="M78" s="5">
        <v>0</v>
      </c>
      <c r="N78" s="5">
        <v>8.4</v>
      </c>
      <c r="O78" s="5">
        <v>0</v>
      </c>
      <c r="P78" s="5">
        <v>2.6</v>
      </c>
      <c r="Q78" s="5">
        <v>0.1</v>
      </c>
      <c r="R78" s="5">
        <v>1.7999999999999999E-2</v>
      </c>
      <c r="S78" s="5">
        <v>9.9000000000000008E-3</v>
      </c>
      <c r="T78" s="5">
        <v>4.9000000000000002E-2</v>
      </c>
      <c r="U78" s="5">
        <v>0</v>
      </c>
      <c r="V78" s="5">
        <v>1.8</v>
      </c>
      <c r="W78" s="5">
        <v>0</v>
      </c>
      <c r="X78" s="5">
        <v>11</v>
      </c>
      <c r="Y78" s="5">
        <v>0</v>
      </c>
      <c r="Z78" s="5">
        <v>4.7E-2</v>
      </c>
      <c r="AA78" s="5">
        <v>0.2</v>
      </c>
      <c r="AB78" s="5">
        <v>2.1999999999999999E-2</v>
      </c>
      <c r="AC78" s="5">
        <v>4.2000000000000003E-2</v>
      </c>
      <c r="AD78" s="5">
        <v>0.32</v>
      </c>
      <c r="AE78" s="5">
        <v>0.05</v>
      </c>
      <c r="AF78" s="5">
        <v>83</v>
      </c>
      <c r="AG78" s="5">
        <v>0</v>
      </c>
      <c r="AH78" s="5">
        <v>0.13</v>
      </c>
      <c r="AI78" s="5">
        <v>0</v>
      </c>
      <c r="AJ78" s="5">
        <v>10</v>
      </c>
      <c r="AK78" s="5">
        <v>17</v>
      </c>
      <c r="AL78" s="5">
        <v>45</v>
      </c>
      <c r="AM78" s="5">
        <v>0.91</v>
      </c>
      <c r="AN78" s="5">
        <v>0.4</v>
      </c>
      <c r="AO78" s="5">
        <v>0.36</v>
      </c>
      <c r="AP78" s="5">
        <v>21</v>
      </c>
      <c r="AQ78" s="5">
        <v>58</v>
      </c>
      <c r="AR78" s="5">
        <v>407</v>
      </c>
      <c r="AS78" s="5">
        <v>0.24</v>
      </c>
      <c r="AT78" s="5">
        <v>8.4000000000000005E-2</v>
      </c>
      <c r="AU78" s="5">
        <v>0.62</v>
      </c>
      <c r="AV78" s="5">
        <f>IFERROR(VLOOKUP(IFERROR(VLOOKUP(D78,Mapa_Similitud!$A$2:$B$2000,2,FALSE()),D78),Hoja1!$A$2:$K$1000,2,FALSE()),IFERROR(VLOOKUP(IFERROR(VLOOKUP(D78,Mapa_Similitud!$A$2:$B$2000,2,FALSE()),D78),Omega3_Referencia!$A$2:$E$100,3,FALSE()),0))</f>
        <v>0.02</v>
      </c>
      <c r="AW78" s="3" t="str">
        <f>IFERROR(VLOOKUP(IFERROR(VLOOKUP(D78,Mapa_Similitud!$A$2:$B$2000,2,FALSE()),D78),Hoja1!$A$2:$K$1000,3,FALSE()),IFERROR(VLOOKUP(IFERROR(VLOOKUP(D78,Mapa_Similitud!$A$2:$B$2000,2,FALSE()),D78),Omega3_Referencia!$A$2:$E$100,4,FALSE()),"N/A"))</f>
        <v>ALA</v>
      </c>
      <c r="AX78" s="5">
        <f>IFERROR(VLOOKUP(IFERROR(VLOOKUP(D78,Mapa_Similitud!$A$2:$B$2000,2,FALSE()),D78),Hoja1!$A$2:$K$1000,5,FALSE()),0)</f>
        <v>0</v>
      </c>
      <c r="AY78" s="5">
        <f>IFERROR(VLOOKUP(IFERROR(VLOOKUP(D78,Mapa_Similitud!$A$2:$B$2000,2,FALSE()),D78),Hoja1!$A$2:$K$1000,7,FALSE()),0)</f>
        <v>150</v>
      </c>
      <c r="AZ78" s="5">
        <f>IFERROR(VLOOKUP(IFERROR(VLOOKUP(D78,Mapa_Similitud!$A$2:$B$2000,2,FALSE()),D78),Hoja1!$A$2:$K$1000,9,FALSE()),0)</f>
        <v>0</v>
      </c>
      <c r="BA78" s="25">
        <f t="shared" si="29"/>
        <v>3.4707158351409979E-2</v>
      </c>
      <c r="BB78" s="25">
        <f t="shared" si="30"/>
        <v>5.6399132321041212E-2</v>
      </c>
      <c r="BC78" s="25">
        <f t="shared" si="31"/>
        <v>0.36876355748373102</v>
      </c>
      <c r="BD78" s="25">
        <f t="shared" si="32"/>
        <v>1.9739696312364424E-2</v>
      </c>
      <c r="BE78" s="25">
        <f t="shared" si="33"/>
        <v>1.2581344902386116</v>
      </c>
      <c r="BF78" s="25">
        <f t="shared" si="34"/>
        <v>2.7222222222222223</v>
      </c>
      <c r="BG78" s="25">
        <f t="shared" si="35"/>
        <v>0.37777777777777777</v>
      </c>
      <c r="BH78" s="25">
        <f t="shared" si="36"/>
        <v>0.17999999999999997</v>
      </c>
      <c r="BI78" s="25">
        <f t="shared" si="37"/>
        <v>0.14250614250614252</v>
      </c>
      <c r="BJ78" s="25">
        <f t="shared" si="38"/>
        <v>1</v>
      </c>
      <c r="BK78" s="25">
        <f t="shared" si="39"/>
        <v>0.30952380952380953</v>
      </c>
      <c r="BL78" s="25">
        <f t="shared" si="40"/>
        <v>1.9522776572668113E-2</v>
      </c>
      <c r="BM78" s="25">
        <f t="shared" si="41"/>
        <v>0.45553145336225598</v>
      </c>
      <c r="BN78" s="18" t="str">
        <f t="shared" si="47"/>
        <v>Baja fuente de proteína</v>
      </c>
      <c r="BO78" s="18" t="str">
        <f t="shared" si="48"/>
        <v>Alta fuente de fibra</v>
      </c>
      <c r="BP78" s="18" t="str">
        <f t="shared" si="49"/>
        <v>Baja fuente de calcio</v>
      </c>
      <c r="BQ78" s="18" t="str">
        <f t="shared" si="50"/>
        <v>Alta fuente de hierro</v>
      </c>
      <c r="BR78" s="18" t="str">
        <f t="shared" si="51"/>
        <v>Alto en sodio</v>
      </c>
      <c r="BS78" s="6" t="str">
        <f t="shared" si="42"/>
        <v>Altamente antiinflamatorio</v>
      </c>
      <c r="BT78" s="6" t="str">
        <f t="shared" si="43"/>
        <v>Bajo en grasas</v>
      </c>
      <c r="BU78" s="18" t="str">
        <f t="shared" si="52"/>
        <v>Equilibrio de líquidos ideal</v>
      </c>
      <c r="BV78" s="18" t="str">
        <f t="shared" si="53"/>
        <v>Media fuente de magnesio</v>
      </c>
      <c r="BW78" s="18" t="str">
        <f t="shared" si="54"/>
        <v>Sin aporte de Omega 3</v>
      </c>
      <c r="BX78" s="18" t="str">
        <f t="shared" si="55"/>
        <v>Libre de grasas trans</v>
      </c>
      <c r="BY78" s="18" t="str">
        <f t="shared" si="56"/>
        <v>Alto poder antioxidante</v>
      </c>
      <c r="BZ78" s="6" t="str">
        <f t="shared" si="44"/>
        <v>Sin probióticos</v>
      </c>
      <c r="CA78" s="18" t="str">
        <f t="shared" si="57"/>
        <v>Antiinflamatorio</v>
      </c>
      <c r="CB78" s="18" t="str">
        <f>IF(ISNUMBER(SEARCH("miel", D78)), "No irritante (Uso condicionado SII)", IF(OR(J78&gt;0, ISNUMBER(SEARCH("cacao", D78)), ISNUMBER(SEARCH("chocolate puro", D78))), "Altamente irritante", IF(OR(AND(O78&gt;15, BI78&gt;1), ISNUMBER(SEARCH("chocolate", D78))), "Moderadamente irritante", "No irritante")))</f>
        <v>No irritante</v>
      </c>
      <c r="CC78" s="6" t="str">
        <f t="shared" si="45"/>
        <v>Balance de omegas favorable</v>
      </c>
    </row>
    <row r="79" spans="1:81" ht="15" customHeight="1" x14ac:dyDescent="0.3">
      <c r="A79" s="2">
        <f t="shared" si="46"/>
        <v>78</v>
      </c>
      <c r="B79" s="3" t="s">
        <v>161</v>
      </c>
      <c r="C79" s="3" t="s">
        <v>166</v>
      </c>
      <c r="D79" s="3" t="s">
        <v>175</v>
      </c>
      <c r="E79" s="3"/>
      <c r="F79" s="4">
        <v>1.5</v>
      </c>
      <c r="G79" s="5">
        <v>1</v>
      </c>
      <c r="H79" s="5">
        <v>345</v>
      </c>
      <c r="I79" s="5">
        <v>13.9</v>
      </c>
      <c r="J79" s="5">
        <v>0</v>
      </c>
      <c r="K79" s="5">
        <v>0.57999999999999996</v>
      </c>
      <c r="L79" s="5">
        <v>84.9</v>
      </c>
      <c r="M79" s="5">
        <v>84.9</v>
      </c>
      <c r="N79" s="5">
        <v>0</v>
      </c>
      <c r="O79" s="5">
        <v>0</v>
      </c>
      <c r="P79" s="5">
        <v>0.4</v>
      </c>
      <c r="Q79" s="5">
        <v>0.2</v>
      </c>
      <c r="R79" s="5">
        <v>0.05</v>
      </c>
      <c r="S79" s="5">
        <v>0.05</v>
      </c>
      <c r="T79" s="5">
        <v>0.03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4.0000000000000001E-3</v>
      </c>
      <c r="AC79" s="5">
        <v>0.1</v>
      </c>
      <c r="AD79" s="5">
        <v>0.15</v>
      </c>
      <c r="AE79" s="5">
        <v>8.0000000000000002E-3</v>
      </c>
      <c r="AF79" s="5">
        <v>0</v>
      </c>
      <c r="AG79" s="5">
        <v>0</v>
      </c>
      <c r="AH79" s="5">
        <v>0.14000000000000001</v>
      </c>
      <c r="AI79" s="5">
        <v>0</v>
      </c>
      <c r="AJ79" s="5">
        <v>0</v>
      </c>
      <c r="AK79" s="5">
        <v>12</v>
      </c>
      <c r="AL79" s="5">
        <v>12</v>
      </c>
      <c r="AM79" s="5">
        <v>1</v>
      </c>
      <c r="AN79" s="5">
        <v>0</v>
      </c>
      <c r="AO79" s="5">
        <v>0.12</v>
      </c>
      <c r="AP79" s="5">
        <v>3</v>
      </c>
      <c r="AQ79" s="5">
        <v>4</v>
      </c>
      <c r="AR79" s="5">
        <v>20</v>
      </c>
      <c r="AS79" s="5">
        <v>0.11</v>
      </c>
      <c r="AT79" s="5">
        <v>7.0000000000000007E-2</v>
      </c>
      <c r="AU79" s="5">
        <v>0.8</v>
      </c>
      <c r="AV79" s="5">
        <f>IFERROR(VLOOKUP(IFERROR(VLOOKUP(D79,Mapa_Similitud!$A$2:$B$2000,2,FALSE()),D79),Hoja1!$A$2:$K$1000,2,FALSE()),IFERROR(VLOOKUP(IFERROR(VLOOKUP(D79,Mapa_Similitud!$A$2:$B$2000,2,FALSE()),D79),Omega3_Referencia!$A$2:$E$100,3,FALSE()),0))</f>
        <v>0</v>
      </c>
      <c r="AW79" s="3" t="str">
        <f>IFERROR(VLOOKUP(IFERROR(VLOOKUP(D79,Mapa_Similitud!$A$2:$B$2000,2,FALSE()),D79),Hoja1!$A$2:$K$1000,3,FALSE()),IFERROR(VLOOKUP(IFERROR(VLOOKUP(D79,Mapa_Similitud!$A$2:$B$2000,2,FALSE()),D79),Omega3_Referencia!$A$2:$E$100,4,FALSE()),"N/A"))</f>
        <v>N/A</v>
      </c>
      <c r="AX79" s="5">
        <f>IFERROR(VLOOKUP(IFERROR(VLOOKUP(D79,Mapa_Similitud!$A$2:$B$2000,2,FALSE()),D79),Hoja1!$A$2:$K$1000,5,FALSE()),0)</f>
        <v>0</v>
      </c>
      <c r="AY79" s="5">
        <f>IFERROR(VLOOKUP(IFERROR(VLOOKUP(D79,Mapa_Similitud!$A$2:$B$2000,2,FALSE()),D79),Hoja1!$A$2:$K$1000,7,FALSE()),0)</f>
        <v>0</v>
      </c>
      <c r="AZ79" s="5">
        <f>IFERROR(VLOOKUP(IFERROR(VLOOKUP(D79,Mapa_Similitud!$A$2:$B$2000,2,FALSE()),D79),Hoja1!$A$2:$K$1000,9,FALSE()),0)</f>
        <v>0</v>
      </c>
      <c r="BA79" s="25">
        <f t="shared" si="29"/>
        <v>1.681159420289855E-3</v>
      </c>
      <c r="BB79" s="25">
        <f t="shared" si="30"/>
        <v>1.1594202898550724E-3</v>
      </c>
      <c r="BC79" s="25">
        <f t="shared" si="31"/>
        <v>3.4782608695652174E-2</v>
      </c>
      <c r="BD79" s="25">
        <f t="shared" si="32"/>
        <v>2.8985507246376812E-3</v>
      </c>
      <c r="BE79" s="25">
        <f t="shared" si="33"/>
        <v>1.1594202898550725E-2</v>
      </c>
      <c r="BF79" s="25">
        <f t="shared" si="34"/>
        <v>0.6</v>
      </c>
      <c r="BG79" s="25">
        <f t="shared" si="35"/>
        <v>1</v>
      </c>
      <c r="BH79" s="25">
        <f t="shared" si="36"/>
        <v>0.25</v>
      </c>
      <c r="BI79" s="25">
        <f t="shared" si="37"/>
        <v>0.2</v>
      </c>
      <c r="BJ79" s="25">
        <f t="shared" si="38"/>
        <v>0</v>
      </c>
      <c r="BK79" s="25">
        <f t="shared" si="39"/>
        <v>4.7114252061248524E-3</v>
      </c>
      <c r="BL79" s="25">
        <f t="shared" si="40"/>
        <v>5.2173913043478265E-3</v>
      </c>
      <c r="BM79" s="25">
        <f t="shared" si="41"/>
        <v>8.6956521739130436E-3</v>
      </c>
      <c r="BN79" s="18" t="str">
        <f t="shared" si="47"/>
        <v>Baja fuente de proteína</v>
      </c>
      <c r="BO79" s="18" t="str">
        <f t="shared" si="48"/>
        <v>Baja fuente de fibra</v>
      </c>
      <c r="BP79" s="18" t="str">
        <f t="shared" si="49"/>
        <v>Baja fuente de calcio</v>
      </c>
      <c r="BQ79" s="18" t="str">
        <f t="shared" si="50"/>
        <v>Baja fuente de hierro</v>
      </c>
      <c r="BR79" s="18" t="str">
        <f t="shared" si="51"/>
        <v>Bajo en sodio</v>
      </c>
      <c r="BS79" s="6" t="str">
        <f t="shared" si="42"/>
        <v>Neutro</v>
      </c>
      <c r="BT79" s="6" t="str">
        <f t="shared" si="43"/>
        <v>Bajo en grasas</v>
      </c>
      <c r="BU79" s="18" t="str">
        <f t="shared" si="52"/>
        <v>Equilibrio de líquidos ideal</v>
      </c>
      <c r="BV79" s="18" t="str">
        <f t="shared" si="53"/>
        <v>Baja fuente de magnesio</v>
      </c>
      <c r="BW79" s="18" t="str">
        <f t="shared" si="54"/>
        <v>Sin aporte de Omega 3</v>
      </c>
      <c r="BX79" s="18" t="str">
        <f t="shared" si="55"/>
        <v>Libre de grasas trans</v>
      </c>
      <c r="BY79" s="18" t="str">
        <f t="shared" si="56"/>
        <v>Bajo poder antioxidante</v>
      </c>
      <c r="BZ79" s="6" t="str">
        <f t="shared" si="44"/>
        <v>Sin probióticos</v>
      </c>
      <c r="CA79" s="18" t="str">
        <f t="shared" si="57"/>
        <v>Poco inflamatorio</v>
      </c>
      <c r="CB79" s="18" t="str">
        <f>IF(ISNUMBER(SEARCH("miel", D79)), "No irritante (Uso condicionado SII)", IF(OR(J79&gt;0, ISNUMBER(SEARCH("cacao", D79)), ISNUMBER(SEARCH("chocolate puro", D79))), "Altamente irritante", IF(OR(AND(O79&gt;15, BI79&gt;1), ISNUMBER(SEARCH("chocolate", D79))), "Moderadamente irritante", "No irritante")))</f>
        <v>No irritante</v>
      </c>
      <c r="CC79" s="6" t="str">
        <f t="shared" si="45"/>
        <v>Sin Omega 3 para evaluar</v>
      </c>
    </row>
    <row r="80" spans="1:81" ht="15" customHeight="1" x14ac:dyDescent="0.3">
      <c r="A80" s="2">
        <f t="shared" si="46"/>
        <v>79</v>
      </c>
      <c r="B80" s="3" t="s">
        <v>161</v>
      </c>
      <c r="C80" s="3" t="s">
        <v>166</v>
      </c>
      <c r="D80" s="3" t="s">
        <v>176</v>
      </c>
      <c r="E80" s="3" t="s">
        <v>177</v>
      </c>
      <c r="F80" s="4">
        <v>0.4</v>
      </c>
      <c r="G80" s="5">
        <v>1</v>
      </c>
      <c r="H80" s="5">
        <v>164</v>
      </c>
      <c r="I80" s="5">
        <v>58.4</v>
      </c>
      <c r="J80" s="5">
        <v>0</v>
      </c>
      <c r="K80" s="5">
        <v>1.4</v>
      </c>
      <c r="L80" s="5">
        <v>38.1</v>
      </c>
      <c r="M80" s="5">
        <v>36.4</v>
      </c>
      <c r="N80" s="5">
        <v>1.7</v>
      </c>
      <c r="O80" s="5">
        <v>0</v>
      </c>
      <c r="P80" s="5">
        <v>1.8</v>
      </c>
      <c r="Q80" s="5">
        <v>0.3</v>
      </c>
      <c r="R80" s="5">
        <v>7.0000000000000007E-2</v>
      </c>
      <c r="S80" s="5">
        <v>0.08</v>
      </c>
      <c r="T80" s="5">
        <v>0.05</v>
      </c>
      <c r="U80" s="5">
        <v>0</v>
      </c>
      <c r="V80" s="5">
        <v>1.3</v>
      </c>
      <c r="W80" s="5">
        <v>0</v>
      </c>
      <c r="X80" s="5">
        <v>8</v>
      </c>
      <c r="Y80" s="5">
        <v>0</v>
      </c>
      <c r="Z80" s="5">
        <v>0.19</v>
      </c>
      <c r="AA80" s="5">
        <v>0</v>
      </c>
      <c r="AB80" s="5">
        <v>0.09</v>
      </c>
      <c r="AC80" s="5">
        <v>0.05</v>
      </c>
      <c r="AD80" s="5">
        <v>0.85</v>
      </c>
      <c r="AE80" s="5">
        <v>0.09</v>
      </c>
      <c r="AF80" s="5">
        <v>27</v>
      </c>
      <c r="AG80" s="5">
        <v>0</v>
      </c>
      <c r="AH80" s="5">
        <v>0</v>
      </c>
      <c r="AI80" s="5">
        <v>0</v>
      </c>
      <c r="AJ80" s="5">
        <v>21</v>
      </c>
      <c r="AK80" s="5">
        <v>16</v>
      </c>
      <c r="AL80" s="5">
        <v>27</v>
      </c>
      <c r="AM80" s="5">
        <v>0.3</v>
      </c>
      <c r="AN80" s="5">
        <v>0</v>
      </c>
      <c r="AO80" s="5">
        <v>0.3</v>
      </c>
      <c r="AP80" s="5">
        <v>21</v>
      </c>
      <c r="AQ80" s="5">
        <v>14</v>
      </c>
      <c r="AR80" s="5">
        <v>271</v>
      </c>
      <c r="AS80" s="5">
        <v>0</v>
      </c>
      <c r="AT80" s="5">
        <v>0</v>
      </c>
      <c r="AU80" s="5">
        <v>0.7</v>
      </c>
      <c r="AV80" s="5">
        <f>IFERROR(VLOOKUP(IFERROR(VLOOKUP(D80,Mapa_Similitud!$A$2:$B$2000,2,FALSE()),D80),Hoja1!$A$2:$K$1000,2,FALSE()),IFERROR(VLOOKUP(IFERROR(VLOOKUP(D80,Mapa_Similitud!$A$2:$B$2000,2,FALSE()),D80),Omega3_Referencia!$A$2:$E$100,3,FALSE()),0))</f>
        <v>0.01</v>
      </c>
      <c r="AW80" s="3" t="str">
        <f>IFERROR(VLOOKUP(IFERROR(VLOOKUP(D80,Mapa_Similitud!$A$2:$B$2000,2,FALSE()),D80),Hoja1!$A$2:$K$1000,3,FALSE()),IFERROR(VLOOKUP(IFERROR(VLOOKUP(D80,Mapa_Similitud!$A$2:$B$2000,2,FALSE()),D80),Omega3_Referencia!$A$2:$E$100,4,FALSE()),"N/A"))</f>
        <v>ALA</v>
      </c>
      <c r="AX80" s="5">
        <f>IFERROR(VLOOKUP(IFERROR(VLOOKUP(D80,Mapa_Similitud!$A$2:$B$2000,2,FALSE()),D80),Hoja1!$A$2:$K$1000,5,FALSE()),0)</f>
        <v>0</v>
      </c>
      <c r="AY80" s="5">
        <f>IFERROR(VLOOKUP(IFERROR(VLOOKUP(D80,Mapa_Similitud!$A$2:$B$2000,2,FALSE()),D80),Hoja1!$A$2:$K$1000,7,FALSE()),0)</f>
        <v>15</v>
      </c>
      <c r="AZ80" s="5">
        <f>IFERROR(VLOOKUP(IFERROR(VLOOKUP(D80,Mapa_Similitud!$A$2:$B$2000,2,FALSE()),D80),Hoja1!$A$2:$K$1000,9,FALSE()),0)</f>
        <v>0</v>
      </c>
      <c r="BA80" s="25">
        <f t="shared" si="29"/>
        <v>8.5365853658536574E-3</v>
      </c>
      <c r="BB80" s="25">
        <f t="shared" si="30"/>
        <v>1.0975609756097562E-2</v>
      </c>
      <c r="BC80" s="25">
        <f t="shared" si="31"/>
        <v>9.7560975609756101E-2</v>
      </c>
      <c r="BD80" s="25">
        <f t="shared" si="32"/>
        <v>1.8292682926829267E-3</v>
      </c>
      <c r="BE80" s="25">
        <f t="shared" si="33"/>
        <v>8.5365853658536592E-2</v>
      </c>
      <c r="BF80" s="25">
        <f t="shared" si="34"/>
        <v>0.7142857142857143</v>
      </c>
      <c r="BG80" s="25">
        <f t="shared" si="35"/>
        <v>0.59259259259259256</v>
      </c>
      <c r="BH80" s="25">
        <f t="shared" si="36"/>
        <v>0.23333333333333336</v>
      </c>
      <c r="BI80" s="25">
        <f t="shared" si="37"/>
        <v>5.1660516605166053E-2</v>
      </c>
      <c r="BJ80" s="25">
        <f t="shared" si="38"/>
        <v>4.4619422572178477E-2</v>
      </c>
      <c r="BK80" s="25">
        <f t="shared" si="39"/>
        <v>4.7244094488188976E-2</v>
      </c>
      <c r="BL80" s="25">
        <f t="shared" si="40"/>
        <v>1.6463414634146339E-2</v>
      </c>
      <c r="BM80" s="25">
        <f t="shared" si="41"/>
        <v>0.12804878048780488</v>
      </c>
      <c r="BN80" s="18" t="str">
        <f t="shared" si="47"/>
        <v>Baja fuente de proteína</v>
      </c>
      <c r="BO80" s="18" t="str">
        <f t="shared" si="48"/>
        <v>Baja fuente de fibra</v>
      </c>
      <c r="BP80" s="18" t="str">
        <f t="shared" si="49"/>
        <v>Baja fuente de calcio</v>
      </c>
      <c r="BQ80" s="18" t="str">
        <f t="shared" si="50"/>
        <v>Baja fuente de hierro</v>
      </c>
      <c r="BR80" s="18" t="str">
        <f t="shared" si="51"/>
        <v>Bajo en sodio</v>
      </c>
      <c r="BS80" s="6" t="str">
        <f t="shared" si="42"/>
        <v>Neutro</v>
      </c>
      <c r="BT80" s="6" t="str">
        <f t="shared" si="43"/>
        <v>Bajo en grasas</v>
      </c>
      <c r="BU80" s="18" t="str">
        <f t="shared" si="52"/>
        <v>Equilibrio de líquidos ideal</v>
      </c>
      <c r="BV80" s="18" t="str">
        <f t="shared" si="53"/>
        <v>Baja fuente de magnesio</v>
      </c>
      <c r="BW80" s="18" t="str">
        <f t="shared" si="54"/>
        <v>Sin aporte de Omega 3</v>
      </c>
      <c r="BX80" s="18" t="str">
        <f t="shared" si="55"/>
        <v>Libre de grasas trans</v>
      </c>
      <c r="BY80" s="18" t="str">
        <f t="shared" si="56"/>
        <v>Medio poder antioxidante</v>
      </c>
      <c r="BZ80" s="6" t="str">
        <f t="shared" si="44"/>
        <v>Sin probióticos</v>
      </c>
      <c r="CA80" s="18" t="str">
        <f t="shared" si="57"/>
        <v>Poco inflamatorio</v>
      </c>
      <c r="CB80" s="18" t="str">
        <f>IF(ISNUMBER(SEARCH("miel", D80)), "No irritante (Uso condicionado SII)", IF(OR(J80&gt;0, ISNUMBER(SEARCH("cacao", D80)), ISNUMBER(SEARCH("chocolate puro", D80))), "Altamente irritante", IF(OR(AND(O80&gt;15, BI80&gt;1), ISNUMBER(SEARCH("chocolate", D80))), "Moderadamente irritante", "No irritante")))</f>
        <v>No irritante</v>
      </c>
      <c r="CC80" s="6" t="str">
        <f t="shared" si="45"/>
        <v>Balance de omegas favorable</v>
      </c>
    </row>
    <row r="81" spans="1:81" ht="15" customHeight="1" x14ac:dyDescent="0.3">
      <c r="A81" s="2">
        <f t="shared" si="46"/>
        <v>80</v>
      </c>
      <c r="B81" s="3" t="s">
        <v>161</v>
      </c>
      <c r="C81" s="3" t="s">
        <v>166</v>
      </c>
      <c r="D81" s="3" t="s">
        <v>178</v>
      </c>
      <c r="E81" s="3"/>
      <c r="F81" s="4">
        <v>0.45</v>
      </c>
      <c r="G81" s="5">
        <v>0.87</v>
      </c>
      <c r="H81" s="5">
        <v>39.799999999999997</v>
      </c>
      <c r="I81" s="5">
        <v>89.1</v>
      </c>
      <c r="J81" s="5">
        <v>0</v>
      </c>
      <c r="K81" s="5">
        <v>1.3</v>
      </c>
      <c r="L81" s="5">
        <v>6.9</v>
      </c>
      <c r="M81" s="5">
        <v>0</v>
      </c>
      <c r="N81" s="5">
        <v>6.9</v>
      </c>
      <c r="O81" s="5">
        <v>0</v>
      </c>
      <c r="P81" s="5">
        <v>2.6</v>
      </c>
      <c r="Q81" s="5">
        <v>0.2</v>
      </c>
      <c r="R81" s="5">
        <v>3.9E-2</v>
      </c>
      <c r="S81" s="5">
        <v>3.2000000000000002E-3</v>
      </c>
      <c r="T81" s="5">
        <v>0.12</v>
      </c>
      <c r="U81" s="5">
        <v>0</v>
      </c>
      <c r="V81" s="5">
        <v>1455</v>
      </c>
      <c r="W81" s="5">
        <v>0</v>
      </c>
      <c r="X81" s="5">
        <v>8731</v>
      </c>
      <c r="Y81" s="5">
        <v>0</v>
      </c>
      <c r="Z81" s="5">
        <v>0.55000000000000004</v>
      </c>
      <c r="AA81" s="5">
        <v>15</v>
      </c>
      <c r="AB81" s="5">
        <v>0.06</v>
      </c>
      <c r="AC81" s="5">
        <v>0.05</v>
      </c>
      <c r="AD81" s="5">
        <v>0.77</v>
      </c>
      <c r="AE81" s="5">
        <v>0.14000000000000001</v>
      </c>
      <c r="AF81" s="5">
        <v>13.9</v>
      </c>
      <c r="AG81" s="5">
        <v>0</v>
      </c>
      <c r="AH81" s="5">
        <v>0.27</v>
      </c>
      <c r="AI81" s="5">
        <v>5</v>
      </c>
      <c r="AJ81" s="5">
        <v>6.5</v>
      </c>
      <c r="AK81" s="5">
        <v>27.2</v>
      </c>
      <c r="AL81" s="5">
        <v>35</v>
      </c>
      <c r="AM81" s="5">
        <v>0.47</v>
      </c>
      <c r="AN81" s="5">
        <v>6.5</v>
      </c>
      <c r="AO81" s="5">
        <v>0.28000000000000003</v>
      </c>
      <c r="AP81" s="5">
        <v>11.2</v>
      </c>
      <c r="AQ81" s="5">
        <v>61</v>
      </c>
      <c r="AR81" s="5">
        <v>321</v>
      </c>
      <c r="AS81" s="5">
        <v>0.18</v>
      </c>
      <c r="AT81" s="5">
        <v>0.05</v>
      </c>
      <c r="AU81" s="5">
        <v>1.3</v>
      </c>
      <c r="AV81" s="5">
        <f>IFERROR(VLOOKUP(IFERROR(VLOOKUP(D81,Mapa_Similitud!$A$2:$B$2000,2,FALSE()),D81),Hoja1!$A$2:$K$1000,2,FALSE()),IFERROR(VLOOKUP(IFERROR(VLOOKUP(D81,Mapa_Similitud!$A$2:$B$2000,2,FALSE()),D81),Omega3_Referencia!$A$2:$E$100,3,FALSE()),0))</f>
        <v>0</v>
      </c>
      <c r="AW81" s="3" t="str">
        <f>IFERROR(VLOOKUP(IFERROR(VLOOKUP(D81,Mapa_Similitud!$A$2:$B$2000,2,FALSE()),D81),Hoja1!$A$2:$K$1000,3,FALSE()),IFERROR(VLOOKUP(IFERROR(VLOOKUP(D81,Mapa_Similitud!$A$2:$B$2000,2,FALSE()),D81),Omega3_Referencia!$A$2:$E$100,4,FALSE()),"N/A"))</f>
        <v>N/A</v>
      </c>
      <c r="AX81" s="5">
        <f>IFERROR(VLOOKUP(IFERROR(VLOOKUP(D81,Mapa_Similitud!$A$2:$B$2000,2,FALSE()),D81),Hoja1!$A$2:$K$1000,5,FALSE()),0)</f>
        <v>0</v>
      </c>
      <c r="AY81" s="5">
        <f>IFERROR(VLOOKUP(IFERROR(VLOOKUP(D81,Mapa_Similitud!$A$2:$B$2000,2,FALSE()),D81),Hoja1!$A$2:$K$1000,7,FALSE()),0)</f>
        <v>45</v>
      </c>
      <c r="AZ81" s="5">
        <f>IFERROR(VLOOKUP(IFERROR(VLOOKUP(D81,Mapa_Similitud!$A$2:$B$2000,2,FALSE()),D81),Hoja1!$A$2:$K$1000,9,FALSE()),0)</f>
        <v>0</v>
      </c>
      <c r="BA81" s="25">
        <f t="shared" si="29"/>
        <v>3.2663316582914576E-2</v>
      </c>
      <c r="BB81" s="25">
        <f t="shared" si="30"/>
        <v>6.5326633165829151E-2</v>
      </c>
      <c r="BC81" s="25">
        <f t="shared" si="31"/>
        <v>0.68341708542713575</v>
      </c>
      <c r="BD81" s="25">
        <f t="shared" si="32"/>
        <v>1.1809045226130653E-2</v>
      </c>
      <c r="BE81" s="25">
        <f t="shared" si="33"/>
        <v>1.5326633165829147</v>
      </c>
      <c r="BF81" s="25">
        <f t="shared" si="34"/>
        <v>3.0769230769230766</v>
      </c>
      <c r="BG81" s="25">
        <f t="shared" si="35"/>
        <v>0.77714285714285714</v>
      </c>
      <c r="BH81" s="25">
        <f t="shared" si="36"/>
        <v>0.19499999999999998</v>
      </c>
      <c r="BI81" s="25">
        <f t="shared" si="37"/>
        <v>0.19003115264797507</v>
      </c>
      <c r="BJ81" s="25">
        <f t="shared" si="38"/>
        <v>1</v>
      </c>
      <c r="BK81" s="25">
        <f t="shared" si="39"/>
        <v>0.37681159420289856</v>
      </c>
      <c r="BL81" s="25">
        <f t="shared" si="40"/>
        <v>4.5226130653266333E-2</v>
      </c>
      <c r="BM81" s="25">
        <f t="shared" si="41"/>
        <v>0.28140703517587939</v>
      </c>
      <c r="BN81" s="18" t="str">
        <f t="shared" si="47"/>
        <v>Baja fuente de proteína</v>
      </c>
      <c r="BO81" s="18" t="str">
        <f t="shared" si="48"/>
        <v>Alta fuente de fibra</v>
      </c>
      <c r="BP81" s="18" t="str">
        <f t="shared" si="49"/>
        <v>Baja fuente de calcio</v>
      </c>
      <c r="BQ81" s="18" t="str">
        <f t="shared" si="50"/>
        <v>Media fuente de hierro</v>
      </c>
      <c r="BR81" s="18" t="str">
        <f t="shared" si="51"/>
        <v>Alto en sodio</v>
      </c>
      <c r="BS81" s="6" t="str">
        <f t="shared" si="42"/>
        <v>Altamente antiinflamatorio</v>
      </c>
      <c r="BT81" s="6" t="str">
        <f t="shared" si="43"/>
        <v>Bajo en grasas</v>
      </c>
      <c r="BU81" s="18" t="str">
        <f t="shared" si="52"/>
        <v>Equilibrio de líquidos ideal</v>
      </c>
      <c r="BV81" s="18" t="str">
        <f t="shared" si="53"/>
        <v>Media fuente de magnesio</v>
      </c>
      <c r="BW81" s="18" t="str">
        <f t="shared" si="54"/>
        <v>Sin aporte de Omega 3</v>
      </c>
      <c r="BX81" s="18" t="str">
        <f t="shared" si="55"/>
        <v>Libre de grasas trans</v>
      </c>
      <c r="BY81" s="18" t="str">
        <f t="shared" si="56"/>
        <v>Medio poder antioxidante</v>
      </c>
      <c r="BZ81" s="6" t="str">
        <f t="shared" si="44"/>
        <v>Sin probióticos</v>
      </c>
      <c r="CA81" s="18" t="str">
        <f t="shared" si="57"/>
        <v>Poco inflamatorio</v>
      </c>
      <c r="CB81" s="18" t="str">
        <f>IF(ISNUMBER(SEARCH("miel", D81)), "No irritante (Uso condicionado SII)", IF(OR(J81&gt;0, ISNUMBER(SEARCH("cacao", D81)), ISNUMBER(SEARCH("chocolate puro", D81))), "Altamente irritante", IF(OR(AND(O81&gt;15, BI81&gt;1), ISNUMBER(SEARCH("chocolate", D81))), "Moderadamente irritante", "No irritante")))</f>
        <v>No irritante</v>
      </c>
      <c r="CC81" s="6" t="str">
        <f t="shared" si="45"/>
        <v>Sin Omega 3 para evaluar</v>
      </c>
    </row>
    <row r="82" spans="1:81" ht="15" customHeight="1" x14ac:dyDescent="0.3">
      <c r="A82" s="2">
        <f t="shared" si="46"/>
        <v>81</v>
      </c>
      <c r="B82" s="3" t="s">
        <v>161</v>
      </c>
      <c r="C82" s="3" t="s">
        <v>179</v>
      </c>
      <c r="D82" s="3" t="s">
        <v>180</v>
      </c>
      <c r="E82" s="3"/>
      <c r="F82" s="4">
        <v>3.5</v>
      </c>
      <c r="G82" s="5">
        <v>1</v>
      </c>
      <c r="H82" s="5">
        <v>37.700000000000003</v>
      </c>
      <c r="I82" s="5">
        <v>89.1</v>
      </c>
      <c r="J82" s="5">
        <v>0</v>
      </c>
      <c r="K82" s="5">
        <v>2.6</v>
      </c>
      <c r="L82" s="5">
        <v>3.9</v>
      </c>
      <c r="M82" s="5">
        <v>0.9</v>
      </c>
      <c r="N82" s="5">
        <v>3</v>
      </c>
      <c r="O82" s="5">
        <v>0</v>
      </c>
      <c r="P82" s="5">
        <v>3.9</v>
      </c>
      <c r="Q82" s="5">
        <v>0.43</v>
      </c>
      <c r="R82" s="5">
        <v>9.9000000000000005E-2</v>
      </c>
      <c r="S82" s="5">
        <v>1.2E-2</v>
      </c>
      <c r="T82" s="5">
        <v>0.18</v>
      </c>
      <c r="U82" s="5">
        <v>0</v>
      </c>
      <c r="V82" s="5">
        <v>8</v>
      </c>
      <c r="W82" s="5">
        <v>0</v>
      </c>
      <c r="X82" s="5">
        <v>48</v>
      </c>
      <c r="Y82" s="5">
        <v>0</v>
      </c>
      <c r="Z82" s="5">
        <v>0.19</v>
      </c>
      <c r="AA82" s="5">
        <v>14</v>
      </c>
      <c r="AB82" s="5">
        <v>5.8000000000000003E-2</v>
      </c>
      <c r="AC82" s="5">
        <v>0.14000000000000001</v>
      </c>
      <c r="AD82" s="5">
        <v>0.86</v>
      </c>
      <c r="AE82" s="5">
        <v>8.2000000000000003E-2</v>
      </c>
      <c r="AF82" s="5">
        <v>126</v>
      </c>
      <c r="AG82" s="5">
        <v>0</v>
      </c>
      <c r="AH82" s="5">
        <v>0.19</v>
      </c>
      <c r="AI82" s="5">
        <v>0</v>
      </c>
      <c r="AJ82" s="5">
        <v>5.3</v>
      </c>
      <c r="AK82" s="5">
        <v>19</v>
      </c>
      <c r="AL82" s="5">
        <v>58</v>
      </c>
      <c r="AM82" s="5">
        <v>0.5</v>
      </c>
      <c r="AN82" s="5">
        <v>1</v>
      </c>
      <c r="AO82" s="5">
        <v>0.32</v>
      </c>
      <c r="AP82" s="5">
        <v>27</v>
      </c>
      <c r="AQ82" s="5">
        <v>47</v>
      </c>
      <c r="AR82" s="5">
        <v>248</v>
      </c>
      <c r="AS82" s="5">
        <v>0.24</v>
      </c>
      <c r="AT82" s="5">
        <v>5.3999999999999999E-2</v>
      </c>
      <c r="AU82" s="5">
        <v>0.2</v>
      </c>
      <c r="AV82" s="5">
        <f>IFERROR(VLOOKUP(IFERROR(VLOOKUP(D82,Mapa_Similitud!$A$2:$B$2000,2,FALSE()),D82),Hoja1!$A$2:$K$1000,2,FALSE()),IFERROR(VLOOKUP(IFERROR(VLOOKUP(D82,Mapa_Similitud!$A$2:$B$2000,2,FALSE()),D82),Omega3_Referencia!$A$2:$E$100,3,FALSE()),0))</f>
        <v>0.01</v>
      </c>
      <c r="AW82" s="3" t="str">
        <f>IFERROR(VLOOKUP(IFERROR(VLOOKUP(D82,Mapa_Similitud!$A$2:$B$2000,2,FALSE()),D82),Hoja1!$A$2:$K$1000,3,FALSE()),IFERROR(VLOOKUP(IFERROR(VLOOKUP(D82,Mapa_Similitud!$A$2:$B$2000,2,FALSE()),D82),Omega3_Referencia!$A$2:$E$100,4,FALSE()),"N/A"))</f>
        <v>ALA</v>
      </c>
      <c r="AX82" s="5">
        <f>IFERROR(VLOOKUP(IFERROR(VLOOKUP(D82,Mapa_Similitud!$A$2:$B$2000,2,FALSE()),D82),Hoja1!$A$2:$K$1000,5,FALSE()),0)</f>
        <v>0</v>
      </c>
      <c r="AY82" s="5">
        <f>IFERROR(VLOOKUP(IFERROR(VLOOKUP(D82,Mapa_Similitud!$A$2:$B$2000,2,FALSE()),D82),Hoja1!$A$2:$K$1000,7,FALSE()),0)</f>
        <v>250</v>
      </c>
      <c r="AZ82" s="5">
        <f>IFERROR(VLOOKUP(IFERROR(VLOOKUP(D82,Mapa_Similitud!$A$2:$B$2000,2,FALSE()),D82),Hoja1!$A$2:$K$1000,9,FALSE()),0)</f>
        <v>0</v>
      </c>
      <c r="BA82" s="25">
        <f t="shared" si="29"/>
        <v>6.8965517241379309E-2</v>
      </c>
      <c r="BB82" s="25">
        <f t="shared" si="30"/>
        <v>0.10344827586206895</v>
      </c>
      <c r="BC82" s="25">
        <f t="shared" si="31"/>
        <v>0.50397877984084882</v>
      </c>
      <c r="BD82" s="25">
        <f t="shared" si="32"/>
        <v>1.326259946949602E-2</v>
      </c>
      <c r="BE82" s="25">
        <f t="shared" si="33"/>
        <v>1.2466843501326259</v>
      </c>
      <c r="BF82" s="25">
        <f t="shared" si="34"/>
        <v>1.8181818181818181</v>
      </c>
      <c r="BG82" s="25">
        <f t="shared" si="35"/>
        <v>0.32758620689655171</v>
      </c>
      <c r="BH82" s="25">
        <f t="shared" si="36"/>
        <v>0.23023255813953489</v>
      </c>
      <c r="BI82" s="25">
        <f t="shared" si="37"/>
        <v>0.18951612903225806</v>
      </c>
      <c r="BJ82" s="25">
        <f t="shared" si="38"/>
        <v>0.76923076923076927</v>
      </c>
      <c r="BK82" s="25">
        <f t="shared" si="39"/>
        <v>1</v>
      </c>
      <c r="BL82" s="25">
        <f t="shared" si="40"/>
        <v>0.1026525198938992</v>
      </c>
      <c r="BM82" s="25">
        <f t="shared" si="41"/>
        <v>0.71618037135278512</v>
      </c>
      <c r="BN82" s="18" t="str">
        <f t="shared" si="47"/>
        <v>Baja fuente de proteína</v>
      </c>
      <c r="BO82" s="18" t="str">
        <f t="shared" si="48"/>
        <v>Alta fuente de fibra</v>
      </c>
      <c r="BP82" s="18" t="str">
        <f t="shared" si="49"/>
        <v>Baja fuente de calcio</v>
      </c>
      <c r="BQ82" s="18" t="str">
        <f t="shared" si="50"/>
        <v>Media fuente de hierro</v>
      </c>
      <c r="BR82" s="18" t="str">
        <f t="shared" si="51"/>
        <v>Alto en sodio</v>
      </c>
      <c r="BS82" s="6" t="str">
        <f t="shared" si="42"/>
        <v>Ligeramente antiinflamatorio</v>
      </c>
      <c r="BT82" s="6" t="str">
        <f t="shared" si="43"/>
        <v>Bajo en grasas</v>
      </c>
      <c r="BU82" s="18" t="str">
        <f t="shared" si="52"/>
        <v>Equilibrio de líquidos ideal</v>
      </c>
      <c r="BV82" s="18" t="str">
        <f t="shared" si="53"/>
        <v>Alta fuente de magnesio</v>
      </c>
      <c r="BW82" s="18" t="str">
        <f t="shared" si="54"/>
        <v>Sin aporte de Omega 3</v>
      </c>
      <c r="BX82" s="18" t="str">
        <f t="shared" si="55"/>
        <v>Libre de grasas trans</v>
      </c>
      <c r="BY82" s="18" t="str">
        <f t="shared" si="56"/>
        <v>Alto poder antioxidante</v>
      </c>
      <c r="BZ82" s="6" t="str">
        <f t="shared" si="44"/>
        <v>Sin probióticos</v>
      </c>
      <c r="CA82" s="18" t="str">
        <f t="shared" si="57"/>
        <v>Antiinflamatorio</v>
      </c>
      <c r="CB82" s="18" t="str">
        <f>IF(ISNUMBER(SEARCH("miel", D82)), "No irritante (Uso condicionado SII)", IF(OR(J82&gt;0, ISNUMBER(SEARCH("cacao", D82)), ISNUMBER(SEARCH("chocolate puro", D82))), "Altamente irritante", IF(OR(AND(O82&gt;15, BI82&gt;1), ISNUMBER(SEARCH("chocolate", D82))), "Moderadamente irritante", "No irritante")))</f>
        <v>No irritante</v>
      </c>
      <c r="CC82" s="6" t="str">
        <f t="shared" si="45"/>
        <v>Exceso relativo de Omega 6</v>
      </c>
    </row>
    <row r="83" spans="1:81" ht="15" customHeight="1" x14ac:dyDescent="0.3">
      <c r="A83" s="2">
        <f t="shared" si="46"/>
        <v>82</v>
      </c>
      <c r="B83" s="3" t="s">
        <v>161</v>
      </c>
      <c r="C83" s="3" t="s">
        <v>179</v>
      </c>
      <c r="D83" s="3" t="s">
        <v>181</v>
      </c>
      <c r="E83" s="3"/>
      <c r="F83" s="4">
        <v>2</v>
      </c>
      <c r="G83" s="5">
        <v>1</v>
      </c>
      <c r="H83" s="5">
        <v>32.4</v>
      </c>
      <c r="I83" s="5">
        <v>91.4</v>
      </c>
      <c r="J83" s="5">
        <v>0</v>
      </c>
      <c r="K83" s="5">
        <v>3.1</v>
      </c>
      <c r="L83" s="5">
        <v>1.2</v>
      </c>
      <c r="M83" s="5">
        <v>0.36</v>
      </c>
      <c r="N83" s="5">
        <v>0.87</v>
      </c>
      <c r="O83" s="5">
        <v>0</v>
      </c>
      <c r="P83" s="5">
        <v>3.1</v>
      </c>
      <c r="Q83" s="5">
        <v>1</v>
      </c>
      <c r="R83" s="5">
        <v>0.3</v>
      </c>
      <c r="S83" s="5">
        <v>0.1</v>
      </c>
      <c r="T83" s="5">
        <v>0.4</v>
      </c>
      <c r="U83" s="5">
        <v>0</v>
      </c>
      <c r="V83" s="5">
        <v>716</v>
      </c>
      <c r="W83" s="5">
        <v>0</v>
      </c>
      <c r="X83" s="5">
        <v>4298</v>
      </c>
      <c r="Y83" s="5">
        <v>0</v>
      </c>
      <c r="Z83" s="5">
        <v>1.6</v>
      </c>
      <c r="AA83" s="5">
        <v>377</v>
      </c>
      <c r="AB83" s="5">
        <v>7.0000000000000007E-2</v>
      </c>
      <c r="AC83" s="5">
        <v>0.19</v>
      </c>
      <c r="AD83" s="5">
        <v>1.9</v>
      </c>
      <c r="AE83" s="5">
        <v>1.9</v>
      </c>
      <c r="AF83" s="5">
        <v>140</v>
      </c>
      <c r="AG83" s="5">
        <v>0</v>
      </c>
      <c r="AH83" s="5">
        <v>0.21</v>
      </c>
      <c r="AI83" s="5">
        <v>0.1</v>
      </c>
      <c r="AJ83" s="5">
        <v>8.5</v>
      </c>
      <c r="AK83" s="5">
        <v>181</v>
      </c>
      <c r="AL83" s="5">
        <v>48</v>
      </c>
      <c r="AM83" s="5">
        <v>2.1</v>
      </c>
      <c r="AN83" s="5">
        <v>2.8</v>
      </c>
      <c r="AO83" s="5">
        <v>0.54</v>
      </c>
      <c r="AP83" s="5">
        <v>66.2</v>
      </c>
      <c r="AQ83" s="5">
        <v>16</v>
      </c>
      <c r="AR83" s="5">
        <v>340</v>
      </c>
      <c r="AS83" s="5">
        <v>0.2</v>
      </c>
      <c r="AT83" s="5">
        <v>0.09</v>
      </c>
      <c r="AU83" s="5">
        <v>0.7</v>
      </c>
      <c r="AV83" s="5">
        <f>IFERROR(VLOOKUP(IFERROR(VLOOKUP(D83,Mapa_Similitud!$A$2:$B$2000,2,FALSE()),D83),Hoja1!$A$2:$K$1000,2,FALSE()),IFERROR(VLOOKUP(IFERROR(VLOOKUP(D83,Mapa_Similitud!$A$2:$B$2000,2,FALSE()),D83),Omega3_Referencia!$A$2:$E$100,3,FALSE()),0))</f>
        <v>0.1</v>
      </c>
      <c r="AW83" s="3" t="str">
        <f>IFERROR(VLOOKUP(IFERROR(VLOOKUP(D83,Mapa_Similitud!$A$2:$B$2000,2,FALSE()),D83),Hoja1!$A$2:$K$1000,3,FALSE()),IFERROR(VLOOKUP(IFERROR(VLOOKUP(D83,Mapa_Similitud!$A$2:$B$2000,2,FALSE()),D83),Omega3_Referencia!$A$2:$E$100,4,FALSE()),"N/A"))</f>
        <v>ALA</v>
      </c>
      <c r="AX83" s="5">
        <f>IFERROR(VLOOKUP(IFERROR(VLOOKUP(D83,Mapa_Similitud!$A$2:$B$2000,2,FALSE()),D83),Hoja1!$A$2:$K$1000,5,FALSE()),0)</f>
        <v>0</v>
      </c>
      <c r="AY83" s="5">
        <f>IFERROR(VLOOKUP(IFERROR(VLOOKUP(D83,Mapa_Similitud!$A$2:$B$2000,2,FALSE()),D83),Hoja1!$A$2:$K$1000,7,FALSE()),0)</f>
        <v>90</v>
      </c>
      <c r="AZ83" s="5">
        <f>IFERROR(VLOOKUP(IFERROR(VLOOKUP(D83,Mapa_Similitud!$A$2:$B$2000,2,FALSE()),D83),Hoja1!$A$2:$K$1000,9,FALSE()),0)</f>
        <v>0</v>
      </c>
      <c r="BA83" s="25">
        <f t="shared" si="29"/>
        <v>9.5679012345679021E-2</v>
      </c>
      <c r="BB83" s="25">
        <f t="shared" si="30"/>
        <v>9.5679012345679021E-2</v>
      </c>
      <c r="BC83" s="25">
        <f t="shared" si="31"/>
        <v>5.5864197530864201</v>
      </c>
      <c r="BD83" s="25">
        <f t="shared" si="32"/>
        <v>6.4814814814814825E-2</v>
      </c>
      <c r="BE83" s="25">
        <f t="shared" si="33"/>
        <v>0.49382716049382719</v>
      </c>
      <c r="BF83" s="25">
        <f t="shared" si="34"/>
        <v>1.3333333333333335</v>
      </c>
      <c r="BG83" s="25">
        <f t="shared" si="35"/>
        <v>3.7708333333333335</v>
      </c>
      <c r="BH83" s="25">
        <f t="shared" si="36"/>
        <v>0.3</v>
      </c>
      <c r="BI83" s="25">
        <f t="shared" si="37"/>
        <v>4.7058823529411764E-2</v>
      </c>
      <c r="BJ83" s="25">
        <f t="shared" si="38"/>
        <v>0.72499999999999998</v>
      </c>
      <c r="BK83" s="25">
        <f t="shared" si="39"/>
        <v>2.5833333333333335</v>
      </c>
      <c r="BL83" s="25">
        <f t="shared" si="40"/>
        <v>0.27777777777777779</v>
      </c>
      <c r="BM83" s="25">
        <f t="shared" si="41"/>
        <v>2.0432098765432101</v>
      </c>
      <c r="BN83" s="18" t="str">
        <f t="shared" si="47"/>
        <v>Baja fuente de proteína</v>
      </c>
      <c r="BO83" s="18" t="str">
        <f t="shared" si="48"/>
        <v>Alta fuente de fibra</v>
      </c>
      <c r="BP83" s="18" t="str">
        <f t="shared" si="49"/>
        <v>Alta fuente de calcio</v>
      </c>
      <c r="BQ83" s="18" t="str">
        <f t="shared" si="50"/>
        <v>Alta fuente de hierro</v>
      </c>
      <c r="BR83" s="18" t="str">
        <f t="shared" si="51"/>
        <v>Bajo en sodio</v>
      </c>
      <c r="BS83" s="6" t="str">
        <f t="shared" si="42"/>
        <v>Ligeramente antiinflamatorio</v>
      </c>
      <c r="BT83" s="6" t="str">
        <f t="shared" si="43"/>
        <v>Moderado en grasas</v>
      </c>
      <c r="BU83" s="18" t="str">
        <f t="shared" si="52"/>
        <v>Equilibrio de líquidos ideal</v>
      </c>
      <c r="BV83" s="18" t="str">
        <f t="shared" si="53"/>
        <v>Alta fuente de magnesio</v>
      </c>
      <c r="BW83" s="18" t="str">
        <f t="shared" si="54"/>
        <v>Sin aporte de Omega 3</v>
      </c>
      <c r="BX83" s="18" t="str">
        <f t="shared" si="55"/>
        <v>Libre de grasas trans</v>
      </c>
      <c r="BY83" s="18" t="str">
        <f t="shared" si="56"/>
        <v>Alto poder antioxidante</v>
      </c>
      <c r="BZ83" s="6" t="str">
        <f t="shared" si="44"/>
        <v>Sin probióticos</v>
      </c>
      <c r="CA83" s="18" t="str">
        <f t="shared" si="57"/>
        <v>Antiinflamatorio</v>
      </c>
      <c r="CB83" s="18" t="str">
        <f>IF(ISNUMBER(SEARCH("miel", D83)), "No irritante (Uso condicionado SII)", IF(OR(J83&gt;0, ISNUMBER(SEARCH("cacao", D83)), ISNUMBER(SEARCH("chocolate puro", D83))), "Altamente irritante", IF(OR(AND(O83&gt;15, BI83&gt;1), ISNUMBER(SEARCH("chocolate", D83))), "Moderadamente irritante", "No irritante")))</f>
        <v>No irritante</v>
      </c>
      <c r="CC83" s="6" t="str">
        <f t="shared" si="45"/>
        <v>Balance de omegas favorable</v>
      </c>
    </row>
    <row r="84" spans="1:81" ht="15" customHeight="1" x14ac:dyDescent="0.3">
      <c r="A84" s="2">
        <f t="shared" si="46"/>
        <v>83</v>
      </c>
      <c r="B84" s="3" t="s">
        <v>161</v>
      </c>
      <c r="C84" s="3" t="s">
        <v>179</v>
      </c>
      <c r="D84" s="3" t="s">
        <v>182</v>
      </c>
      <c r="E84" s="3"/>
      <c r="F84" s="4">
        <v>2</v>
      </c>
      <c r="G84" s="5">
        <v>1</v>
      </c>
      <c r="H84" s="5">
        <v>74</v>
      </c>
      <c r="I84" s="5">
        <v>79.900000000000006</v>
      </c>
      <c r="J84" s="5">
        <v>0</v>
      </c>
      <c r="K84" s="5">
        <v>6</v>
      </c>
      <c r="L84" s="5">
        <v>9.5</v>
      </c>
      <c r="M84" s="5">
        <v>4.0999999999999996</v>
      </c>
      <c r="N84" s="5">
        <v>5.4</v>
      </c>
      <c r="O84" s="5">
        <v>0</v>
      </c>
      <c r="P84" s="5">
        <v>4.2</v>
      </c>
      <c r="Q84" s="5">
        <v>0.4</v>
      </c>
      <c r="R84" s="5">
        <v>0.15</v>
      </c>
      <c r="S84" s="5">
        <v>0.13</v>
      </c>
      <c r="T84" s="5">
        <v>0.05</v>
      </c>
      <c r="U84" s="5">
        <v>0</v>
      </c>
      <c r="V84" s="5">
        <v>67.5</v>
      </c>
      <c r="W84" s="5">
        <v>0</v>
      </c>
      <c r="X84" s="5">
        <v>405</v>
      </c>
      <c r="Y84" s="5">
        <v>0</v>
      </c>
      <c r="Z84" s="5">
        <v>0.18</v>
      </c>
      <c r="AA84" s="5">
        <v>23.5</v>
      </c>
      <c r="AB84" s="5">
        <v>0.26</v>
      </c>
      <c r="AC84" s="5">
        <v>0.09</v>
      </c>
      <c r="AD84" s="5">
        <v>2.5</v>
      </c>
      <c r="AE84" s="5">
        <v>0.09</v>
      </c>
      <c r="AF84" s="5">
        <v>47</v>
      </c>
      <c r="AG84" s="5">
        <v>0</v>
      </c>
      <c r="AH84" s="5">
        <v>0.14000000000000001</v>
      </c>
      <c r="AI84" s="5">
        <v>0.4</v>
      </c>
      <c r="AJ84" s="5">
        <v>12</v>
      </c>
      <c r="AK84" s="5">
        <v>35</v>
      </c>
      <c r="AL84" s="5">
        <v>99</v>
      </c>
      <c r="AM84" s="5">
        <v>1.6</v>
      </c>
      <c r="AN84" s="5">
        <v>2</v>
      </c>
      <c r="AO84" s="5">
        <v>0.7</v>
      </c>
      <c r="AP84" s="5">
        <v>21</v>
      </c>
      <c r="AQ84" s="5">
        <v>2</v>
      </c>
      <c r="AR84" s="5">
        <v>150</v>
      </c>
      <c r="AS84" s="5">
        <v>0.3</v>
      </c>
      <c r="AT84" s="5">
        <v>0.03</v>
      </c>
      <c r="AU84" s="5">
        <v>0.88</v>
      </c>
      <c r="AV84" s="5">
        <f>IFERROR(VLOOKUP(IFERROR(VLOOKUP(D84,Mapa_Similitud!$A$2:$B$2000,2,FALSE()),D84),Hoja1!$A$2:$K$1000,2,FALSE()),IFERROR(VLOOKUP(IFERROR(VLOOKUP(D84,Mapa_Similitud!$A$2:$B$2000,2,FALSE()),D84),Omega3_Referencia!$A$2:$E$100,3,FALSE()),0))</f>
        <v>0.03</v>
      </c>
      <c r="AW84" s="3" t="str">
        <f>IFERROR(VLOOKUP(IFERROR(VLOOKUP(D84,Mapa_Similitud!$A$2:$B$2000,2,FALSE()),D84),Hoja1!$A$2:$K$1000,3,FALSE()),IFERROR(VLOOKUP(IFERROR(VLOOKUP(D84,Mapa_Similitud!$A$2:$B$2000,2,FALSE()),D84),Omega3_Referencia!$A$2:$E$100,4,FALSE()),"N/A"))</f>
        <v>ALA</v>
      </c>
      <c r="AX84" s="5">
        <f>IFERROR(VLOOKUP(IFERROR(VLOOKUP(D84,Mapa_Similitud!$A$2:$B$2000,2,FALSE()),D84),Hoja1!$A$2:$K$1000,5,FALSE()),0)</f>
        <v>0</v>
      </c>
      <c r="AY84" s="5">
        <f>IFERROR(VLOOKUP(IFERROR(VLOOKUP(D84,Mapa_Similitud!$A$2:$B$2000,2,FALSE()),D84),Hoja1!$A$2:$K$1000,7,FALSE()),0)</f>
        <v>30</v>
      </c>
      <c r="AZ84" s="5">
        <f>IFERROR(VLOOKUP(IFERROR(VLOOKUP(D84,Mapa_Similitud!$A$2:$B$2000,2,FALSE()),D84),Hoja1!$A$2:$K$1000,9,FALSE()),0)</f>
        <v>0</v>
      </c>
      <c r="BA84" s="25">
        <f t="shared" si="29"/>
        <v>8.1081081081081086E-2</v>
      </c>
      <c r="BB84" s="25">
        <f t="shared" si="30"/>
        <v>5.675675675675676E-2</v>
      </c>
      <c r="BC84" s="25">
        <f t="shared" si="31"/>
        <v>0.47297297297297297</v>
      </c>
      <c r="BD84" s="25">
        <f t="shared" si="32"/>
        <v>2.1621621621621623E-2</v>
      </c>
      <c r="BE84" s="25">
        <f t="shared" si="33"/>
        <v>2.7027027027027029E-2</v>
      </c>
      <c r="BF84" s="25">
        <f t="shared" si="34"/>
        <v>0.33333333333333337</v>
      </c>
      <c r="BG84" s="25">
        <f t="shared" si="35"/>
        <v>0.35353535353535354</v>
      </c>
      <c r="BH84" s="25">
        <f t="shared" si="36"/>
        <v>0.37499999999999994</v>
      </c>
      <c r="BI84" s="25">
        <f t="shared" si="37"/>
        <v>1.3333333333333334E-2</v>
      </c>
      <c r="BJ84" s="25">
        <f t="shared" si="38"/>
        <v>0.56842105263157894</v>
      </c>
      <c r="BK84" s="25">
        <f t="shared" si="39"/>
        <v>0.44210526315789478</v>
      </c>
      <c r="BL84" s="25">
        <f t="shared" si="40"/>
        <v>4.8648648648648651E-2</v>
      </c>
      <c r="BM84" s="25">
        <f t="shared" si="41"/>
        <v>0.28378378378378377</v>
      </c>
      <c r="BN84" s="18" t="str">
        <f t="shared" si="47"/>
        <v>Baja fuente de proteína</v>
      </c>
      <c r="BO84" s="18" t="str">
        <f t="shared" si="48"/>
        <v>Alta fuente de fibra</v>
      </c>
      <c r="BP84" s="18" t="str">
        <f t="shared" si="49"/>
        <v>Baja fuente de calcio</v>
      </c>
      <c r="BQ84" s="18" t="str">
        <f t="shared" si="50"/>
        <v>Alta fuente de hierro</v>
      </c>
      <c r="BR84" s="18" t="str">
        <f t="shared" si="51"/>
        <v>Bajo en sodio</v>
      </c>
      <c r="BS84" s="6" t="str">
        <f t="shared" si="42"/>
        <v>Proinflamatorio</v>
      </c>
      <c r="BT84" s="6" t="str">
        <f t="shared" si="43"/>
        <v>Bajo en grasas</v>
      </c>
      <c r="BU84" s="18" t="str">
        <f t="shared" si="52"/>
        <v>Equilibrio de líquidos ideal</v>
      </c>
      <c r="BV84" s="18" t="str">
        <f t="shared" si="53"/>
        <v>Media fuente de magnesio</v>
      </c>
      <c r="BW84" s="18" t="str">
        <f t="shared" si="54"/>
        <v>Sin aporte de Omega 3</v>
      </c>
      <c r="BX84" s="18" t="str">
        <f t="shared" si="55"/>
        <v>Libre de grasas trans</v>
      </c>
      <c r="BY84" s="18" t="str">
        <f t="shared" si="56"/>
        <v>Medio poder antioxidante</v>
      </c>
      <c r="BZ84" s="6" t="str">
        <f t="shared" si="44"/>
        <v>Sin probióticos</v>
      </c>
      <c r="CA84" s="18" t="str">
        <f t="shared" si="57"/>
        <v>Poco inflamatorio</v>
      </c>
      <c r="CB84" s="18" t="str">
        <f>IF(ISNUMBER(SEARCH("miel", D84)), "No irritante (Uso condicionado SII)", IF(OR(J84&gt;0, ISNUMBER(SEARCH("cacao", D84)), ISNUMBER(SEARCH("chocolate puro", D84))), "Altamente irritante", IF(OR(AND(O84&gt;15, BI84&gt;1), ISNUMBER(SEARCH("chocolate", D84))), "Moderadamente irritante", "No irritante")))</f>
        <v>No irritante</v>
      </c>
      <c r="CC84" s="6" t="str">
        <f t="shared" si="45"/>
        <v>Balance de omegas favorable</v>
      </c>
    </row>
    <row r="85" spans="1:81" ht="15" customHeight="1" x14ac:dyDescent="0.3">
      <c r="A85" s="2">
        <f t="shared" si="46"/>
        <v>84</v>
      </c>
      <c r="B85" s="3" t="s">
        <v>161</v>
      </c>
      <c r="C85" s="3" t="s">
        <v>179</v>
      </c>
      <c r="D85" s="3" t="s">
        <v>183</v>
      </c>
      <c r="E85" s="3"/>
      <c r="F85" s="4">
        <v>2</v>
      </c>
      <c r="G85" s="5">
        <v>1</v>
      </c>
      <c r="H85" s="5">
        <v>36.5</v>
      </c>
      <c r="I85" s="5">
        <v>90.4</v>
      </c>
      <c r="J85" s="5">
        <v>0</v>
      </c>
      <c r="K85" s="5">
        <v>1.9</v>
      </c>
      <c r="L85" s="5">
        <v>3.6</v>
      </c>
      <c r="M85" s="5">
        <v>1.5</v>
      </c>
      <c r="N85" s="5">
        <v>2.1</v>
      </c>
      <c r="O85" s="5">
        <v>0</v>
      </c>
      <c r="P85" s="5">
        <v>3.2</v>
      </c>
      <c r="Q85" s="5">
        <v>0.9</v>
      </c>
      <c r="R85" s="5">
        <v>0.3</v>
      </c>
      <c r="S85" s="5">
        <v>0.1</v>
      </c>
      <c r="T85" s="5">
        <v>0.4</v>
      </c>
      <c r="U85" s="5">
        <v>0</v>
      </c>
      <c r="V85" s="5">
        <v>19.7</v>
      </c>
      <c r="W85" s="5">
        <v>0</v>
      </c>
      <c r="X85" s="5">
        <v>118</v>
      </c>
      <c r="Y85" s="5">
        <v>0</v>
      </c>
      <c r="Z85" s="5">
        <v>0.12</v>
      </c>
      <c r="AA85" s="5">
        <v>47</v>
      </c>
      <c r="AB85" s="5">
        <v>0.06</v>
      </c>
      <c r="AC85" s="5">
        <v>0.1</v>
      </c>
      <c r="AD85" s="5">
        <v>0.89</v>
      </c>
      <c r="AE85" s="5">
        <v>0.15</v>
      </c>
      <c r="AF85" s="5">
        <v>63.9</v>
      </c>
      <c r="AG85" s="5">
        <v>0</v>
      </c>
      <c r="AH85" s="5">
        <v>7.0000000000000007E-2</v>
      </c>
      <c r="AI85" s="5">
        <v>0</v>
      </c>
      <c r="AJ85" s="5">
        <v>9.8000000000000007</v>
      </c>
      <c r="AK85" s="5">
        <v>46.6</v>
      </c>
      <c r="AL85" s="5">
        <v>33</v>
      </c>
      <c r="AM85" s="5">
        <v>0.59</v>
      </c>
      <c r="AN85" s="5">
        <v>0.5</v>
      </c>
      <c r="AO85" s="5">
        <v>0.24</v>
      </c>
      <c r="AP85" s="5">
        <v>19.600000000000001</v>
      </c>
      <c r="AQ85" s="5">
        <v>8</v>
      </c>
      <c r="AR85" s="5">
        <v>160</v>
      </c>
      <c r="AS85" s="5">
        <v>0.2</v>
      </c>
      <c r="AT85" s="5">
        <v>0.05</v>
      </c>
      <c r="AU85" s="5">
        <v>1.2</v>
      </c>
      <c r="AV85" s="5">
        <f>IFERROR(VLOOKUP(IFERROR(VLOOKUP(D85,Mapa_Similitud!$A$2:$B$2000,2,FALSE()),D85),Hoja1!$A$2:$K$1000,2,FALSE()),IFERROR(VLOOKUP(IFERROR(VLOOKUP(D85,Mapa_Similitud!$A$2:$B$2000,2,FALSE()),D85),Omega3_Referencia!$A$2:$E$100,3,FALSE()),0))</f>
        <v>0.03</v>
      </c>
      <c r="AW85" s="3" t="str">
        <f>IFERROR(VLOOKUP(IFERROR(VLOOKUP(D85,Mapa_Similitud!$A$2:$B$2000,2,FALSE()),D85),Hoja1!$A$2:$K$1000,3,FALSE()),IFERROR(VLOOKUP(IFERROR(VLOOKUP(D85,Mapa_Similitud!$A$2:$B$2000,2,FALSE()),D85),Omega3_Referencia!$A$2:$E$100,4,FALSE()),"N/A"))</f>
        <v>ALA</v>
      </c>
      <c r="AX85" s="5">
        <f>IFERROR(VLOOKUP(IFERROR(VLOOKUP(D85,Mapa_Similitud!$A$2:$B$2000,2,FALSE()),D85),Hoja1!$A$2:$K$1000,5,FALSE()),0)</f>
        <v>0</v>
      </c>
      <c r="AY85" s="5">
        <f>IFERROR(VLOOKUP(IFERROR(VLOOKUP(D85,Mapa_Similitud!$A$2:$B$2000,2,FALSE()),D85),Hoja1!$A$2:$K$1000,7,FALSE()),0)</f>
        <v>35</v>
      </c>
      <c r="AZ85" s="5">
        <f>IFERROR(VLOOKUP(IFERROR(VLOOKUP(D85,Mapa_Similitud!$A$2:$B$2000,2,FALSE()),D85),Hoja1!$A$2:$K$1000,9,FALSE()),0)</f>
        <v>0</v>
      </c>
      <c r="BA85" s="25">
        <f t="shared" si="29"/>
        <v>5.205479452054794E-2</v>
      </c>
      <c r="BB85" s="25">
        <f t="shared" si="30"/>
        <v>8.7671232876712329E-2</v>
      </c>
      <c r="BC85" s="25">
        <f t="shared" si="31"/>
        <v>1.2767123287671234</v>
      </c>
      <c r="BD85" s="25">
        <f t="shared" si="32"/>
        <v>1.6164383561643833E-2</v>
      </c>
      <c r="BE85" s="25">
        <f t="shared" si="33"/>
        <v>0.21917808219178081</v>
      </c>
      <c r="BF85" s="25">
        <f t="shared" si="34"/>
        <v>1.3333333333333335</v>
      </c>
      <c r="BG85" s="25">
        <f t="shared" si="35"/>
        <v>1.4121212121212121</v>
      </c>
      <c r="BH85" s="25">
        <f t="shared" si="36"/>
        <v>0.33333333333333331</v>
      </c>
      <c r="BI85" s="25">
        <f t="shared" si="37"/>
        <v>0.05</v>
      </c>
      <c r="BJ85" s="25">
        <f t="shared" si="38"/>
        <v>0.58333333333333337</v>
      </c>
      <c r="BK85" s="25">
        <f t="shared" si="39"/>
        <v>0.88888888888888895</v>
      </c>
      <c r="BL85" s="25">
        <f t="shared" si="40"/>
        <v>0.22191780821917806</v>
      </c>
      <c r="BM85" s="25">
        <f t="shared" si="41"/>
        <v>0.53698630136986303</v>
      </c>
      <c r="BN85" s="18" t="str">
        <f t="shared" si="47"/>
        <v>Baja fuente de proteína</v>
      </c>
      <c r="BO85" s="18" t="str">
        <f t="shared" si="48"/>
        <v>Alta fuente de fibra</v>
      </c>
      <c r="BP85" s="18" t="str">
        <f t="shared" si="49"/>
        <v>Media fuente de calcio</v>
      </c>
      <c r="BQ85" s="18" t="str">
        <f t="shared" si="50"/>
        <v>Alta fuente de hierro</v>
      </c>
      <c r="BR85" s="18" t="str">
        <f t="shared" si="51"/>
        <v>Bajo en sodio</v>
      </c>
      <c r="BS85" s="6" t="str">
        <f t="shared" si="42"/>
        <v>Ligeramente antiinflamatorio</v>
      </c>
      <c r="BT85" s="6" t="str">
        <f t="shared" si="43"/>
        <v>Moderado en grasas</v>
      </c>
      <c r="BU85" s="18" t="str">
        <f t="shared" si="52"/>
        <v>Equilibrio de líquidos ideal</v>
      </c>
      <c r="BV85" s="18" t="str">
        <f t="shared" si="53"/>
        <v>Alta fuente de magnesio</v>
      </c>
      <c r="BW85" s="18" t="str">
        <f t="shared" si="54"/>
        <v>Sin aporte de Omega 3</v>
      </c>
      <c r="BX85" s="18" t="str">
        <f t="shared" si="55"/>
        <v>Libre de grasas trans</v>
      </c>
      <c r="BY85" s="18" t="str">
        <f t="shared" si="56"/>
        <v>Medio poder antioxidante</v>
      </c>
      <c r="BZ85" s="6" t="str">
        <f t="shared" si="44"/>
        <v>Sin probióticos</v>
      </c>
      <c r="CA85" s="18" t="str">
        <f t="shared" si="57"/>
        <v>Poco inflamatorio</v>
      </c>
      <c r="CB85" s="18" t="str">
        <f>IF(ISNUMBER(SEARCH("miel", D85)), "No irritante (Uso condicionado SII)", IF(OR(J85&gt;0, ISNUMBER(SEARCH("cacao", D85)), ISNUMBER(SEARCH("chocolate puro", D85))), "Altamente irritante", IF(OR(AND(O85&gt;15, BI85&gt;1), ISNUMBER(SEARCH("chocolate", D85))), "Moderadamente irritante", "No irritante")))</f>
        <v>No irritante</v>
      </c>
      <c r="CC85" s="6" t="str">
        <f t="shared" si="45"/>
        <v>Exceso relativo de Omega 6</v>
      </c>
    </row>
    <row r="86" spans="1:81" ht="15" customHeight="1" x14ac:dyDescent="0.3">
      <c r="A86" s="2">
        <f t="shared" si="46"/>
        <v>85</v>
      </c>
      <c r="B86" s="3" t="s">
        <v>161</v>
      </c>
      <c r="C86" s="3" t="s">
        <v>184</v>
      </c>
      <c r="D86" s="3" t="s">
        <v>185</v>
      </c>
      <c r="E86" s="3"/>
      <c r="F86" s="4">
        <v>4</v>
      </c>
      <c r="G86" s="5">
        <v>1</v>
      </c>
      <c r="H86" s="5">
        <v>18.8</v>
      </c>
      <c r="I86" s="5">
        <v>95.1</v>
      </c>
      <c r="J86" s="5">
        <v>0</v>
      </c>
      <c r="K86" s="5">
        <v>1.9</v>
      </c>
      <c r="L86" s="5">
        <v>1.5</v>
      </c>
      <c r="M86" s="5">
        <v>0</v>
      </c>
      <c r="N86" s="5">
        <v>1.5</v>
      </c>
      <c r="O86" s="5">
        <v>0</v>
      </c>
      <c r="P86" s="5">
        <v>1.2</v>
      </c>
      <c r="Q86" s="5">
        <v>0.31</v>
      </c>
      <c r="R86" s="5">
        <v>7.0999999999999994E-2</v>
      </c>
      <c r="S86" s="5">
        <v>0.01</v>
      </c>
      <c r="T86" s="5">
        <v>0.14000000000000001</v>
      </c>
      <c r="U86" s="5">
        <v>0</v>
      </c>
      <c r="V86" s="5">
        <v>46.3</v>
      </c>
      <c r="W86" s="5">
        <v>0</v>
      </c>
      <c r="X86" s="5">
        <v>278</v>
      </c>
      <c r="Y86" s="5">
        <v>0</v>
      </c>
      <c r="Z86" s="5">
        <v>0.4</v>
      </c>
      <c r="AA86" s="5">
        <v>40</v>
      </c>
      <c r="AB86" s="5">
        <v>0.03</v>
      </c>
      <c r="AC86" s="5">
        <v>0.04</v>
      </c>
      <c r="AD86" s="5">
        <v>0.94</v>
      </c>
      <c r="AE86" s="5">
        <v>0.05</v>
      </c>
      <c r="AF86" s="5">
        <v>29.8</v>
      </c>
      <c r="AG86" s="5">
        <v>0</v>
      </c>
      <c r="AH86" s="5">
        <v>0.13</v>
      </c>
      <c r="AI86" s="5">
        <v>1.7</v>
      </c>
      <c r="AJ86" s="5">
        <v>6.8</v>
      </c>
      <c r="AK86" s="5">
        <v>22.6</v>
      </c>
      <c r="AL86" s="5">
        <v>50</v>
      </c>
      <c r="AM86" s="5">
        <v>0.74</v>
      </c>
      <c r="AN86" s="5">
        <v>2.1</v>
      </c>
      <c r="AO86" s="5">
        <v>0.38</v>
      </c>
      <c r="AP86" s="5">
        <v>9.6</v>
      </c>
      <c r="AQ86" s="5">
        <v>348</v>
      </c>
      <c r="AR86" s="5">
        <v>220</v>
      </c>
      <c r="AS86" s="5">
        <v>0.11</v>
      </c>
      <c r="AT86" s="5">
        <v>8.5999999999999993E-2</v>
      </c>
      <c r="AU86" s="5">
        <v>0.7</v>
      </c>
      <c r="AV86" s="5">
        <f>IFERROR(VLOOKUP(IFERROR(VLOOKUP(D86,Mapa_Similitud!$A$2:$B$2000,2,FALSE()),D86),Hoja1!$A$2:$K$1000,2,FALSE()),IFERROR(VLOOKUP(IFERROR(VLOOKUP(D86,Mapa_Similitud!$A$2:$B$2000,2,FALSE()),D86),Omega3_Referencia!$A$2:$E$100,3,FALSE()),0))</f>
        <v>0.01</v>
      </c>
      <c r="AW86" s="3" t="str">
        <f>IFERROR(VLOOKUP(IFERROR(VLOOKUP(D86,Mapa_Similitud!$A$2:$B$2000,2,FALSE()),D86),Hoja1!$A$2:$K$1000,3,FALSE()),IFERROR(VLOOKUP(IFERROR(VLOOKUP(D86,Mapa_Similitud!$A$2:$B$2000,2,FALSE()),D86),Omega3_Referencia!$A$2:$E$100,4,FALSE()),"N/A"))</f>
        <v>ALA</v>
      </c>
      <c r="AX86" s="5">
        <f>IFERROR(VLOOKUP(IFERROR(VLOOKUP(D86,Mapa_Similitud!$A$2:$B$2000,2,FALSE()),D86),Hoja1!$A$2:$K$1000,5,FALSE()),0)</f>
        <v>0</v>
      </c>
      <c r="AY86" s="5">
        <f>IFERROR(VLOOKUP(IFERROR(VLOOKUP(D86,Mapa_Similitud!$A$2:$B$2000,2,FALSE()),D86),Hoja1!$A$2:$K$1000,7,FALSE()),0)</f>
        <v>25</v>
      </c>
      <c r="AZ86" s="5">
        <f>IFERROR(VLOOKUP(IFERROR(VLOOKUP(D86,Mapa_Similitud!$A$2:$B$2000,2,FALSE()),D86),Hoja1!$A$2:$K$1000,9,FALSE()),0)</f>
        <v>0</v>
      </c>
      <c r="BA86" s="25">
        <f t="shared" si="29"/>
        <v>0.10106382978723404</v>
      </c>
      <c r="BB86" s="25">
        <f t="shared" si="30"/>
        <v>6.3829787234042548E-2</v>
      </c>
      <c r="BC86" s="25">
        <f t="shared" si="31"/>
        <v>1.2021276595744681</v>
      </c>
      <c r="BD86" s="25">
        <f t="shared" si="32"/>
        <v>3.9361702127659576E-2</v>
      </c>
      <c r="BE86" s="25">
        <f t="shared" si="33"/>
        <v>18.51063829787234</v>
      </c>
      <c r="BF86" s="25">
        <f t="shared" si="34"/>
        <v>1.9718309859154932</v>
      </c>
      <c r="BG86" s="25">
        <f t="shared" si="35"/>
        <v>0.45200000000000001</v>
      </c>
      <c r="BH86" s="25">
        <f t="shared" si="36"/>
        <v>0.2290322580645161</v>
      </c>
      <c r="BI86" s="25">
        <f t="shared" si="37"/>
        <v>1.5818181818181818</v>
      </c>
      <c r="BJ86" s="25">
        <f t="shared" si="38"/>
        <v>1</v>
      </c>
      <c r="BK86" s="25">
        <f t="shared" si="39"/>
        <v>0.79999999999999993</v>
      </c>
      <c r="BL86" s="25">
        <f t="shared" si="40"/>
        <v>0.14840425531914894</v>
      </c>
      <c r="BM86" s="25">
        <f t="shared" si="41"/>
        <v>0.51063829787234039</v>
      </c>
      <c r="BN86" s="18" t="str">
        <f t="shared" si="47"/>
        <v>Media fuente de proteína</v>
      </c>
      <c r="BO86" s="18" t="str">
        <f t="shared" si="48"/>
        <v>Alta fuente de fibra</v>
      </c>
      <c r="BP86" s="18" t="str">
        <f t="shared" si="49"/>
        <v>Media fuente de calcio</v>
      </c>
      <c r="BQ86" s="18" t="str">
        <f t="shared" si="50"/>
        <v>Alta fuente de hierro</v>
      </c>
      <c r="BR86" s="18" t="str">
        <f t="shared" si="51"/>
        <v>Muy alto en sodio</v>
      </c>
      <c r="BS86" s="6" t="str">
        <f t="shared" si="42"/>
        <v>Ligeramente antiinflamatorio</v>
      </c>
      <c r="BT86" s="6" t="str">
        <f t="shared" si="43"/>
        <v>Bajo en grasas</v>
      </c>
      <c r="BU86" s="18" t="str">
        <f t="shared" si="52"/>
        <v>Alto riesgo de retención de líquidos</v>
      </c>
      <c r="BV86" s="18" t="str">
        <f t="shared" si="53"/>
        <v>Alta fuente de magnesio</v>
      </c>
      <c r="BW86" s="18" t="str">
        <f t="shared" si="54"/>
        <v>Sin aporte de Omega 3</v>
      </c>
      <c r="BX86" s="18" t="str">
        <f t="shared" si="55"/>
        <v>Libre de grasas trans</v>
      </c>
      <c r="BY86" s="18" t="str">
        <f t="shared" si="56"/>
        <v>Medio poder antioxidante</v>
      </c>
      <c r="BZ86" s="6" t="str">
        <f t="shared" si="44"/>
        <v>Sin probióticos</v>
      </c>
      <c r="CA86" s="18" t="str">
        <f t="shared" si="57"/>
        <v>Poco inflamatorio</v>
      </c>
      <c r="CB86" s="18" t="str">
        <f>IF(ISNUMBER(SEARCH("miel", D86)), "No irritante (Uso condicionado SII)", IF(OR(J86&gt;0, ISNUMBER(SEARCH("cacao", D86)), ISNUMBER(SEARCH("chocolate puro", D86))), "Altamente irritante", IF(OR(AND(O86&gt;15, BI86&gt;1), ISNUMBER(SEARCH("chocolate", D86))), "Moderadamente irritante", "No irritante")))</f>
        <v>No irritante</v>
      </c>
      <c r="CC86" s="6" t="str">
        <f t="shared" si="45"/>
        <v>Exceso relativo de Omega 6</v>
      </c>
    </row>
    <row r="87" spans="1:81" ht="15" customHeight="1" x14ac:dyDescent="0.3">
      <c r="A87" s="2">
        <f t="shared" si="46"/>
        <v>86</v>
      </c>
      <c r="B87" s="3" t="s">
        <v>161</v>
      </c>
      <c r="C87" s="3" t="s">
        <v>184</v>
      </c>
      <c r="D87" s="3" t="s">
        <v>186</v>
      </c>
      <c r="E87" s="3"/>
      <c r="F87" s="4">
        <v>2.5</v>
      </c>
      <c r="G87" s="5">
        <v>1</v>
      </c>
      <c r="H87" s="5">
        <v>27.8</v>
      </c>
      <c r="I87" s="5">
        <v>92.9</v>
      </c>
      <c r="J87" s="5">
        <v>0</v>
      </c>
      <c r="K87" s="5">
        <v>3.1</v>
      </c>
      <c r="L87" s="5">
        <v>2.2999999999999998</v>
      </c>
      <c r="M87" s="5">
        <v>1.8</v>
      </c>
      <c r="N87" s="5">
        <v>0.5</v>
      </c>
      <c r="O87" s="5">
        <v>0</v>
      </c>
      <c r="P87" s="5">
        <v>1.3</v>
      </c>
      <c r="Q87" s="5">
        <v>0.4</v>
      </c>
      <c r="R87" s="5">
        <v>0.1</v>
      </c>
      <c r="S87" s="5">
        <v>0</v>
      </c>
      <c r="T87" s="5">
        <v>0.1</v>
      </c>
      <c r="U87" s="5">
        <v>0</v>
      </c>
      <c r="V87" s="5">
        <v>13.7</v>
      </c>
      <c r="W87" s="5">
        <v>0</v>
      </c>
      <c r="X87" s="5">
        <v>82.3</v>
      </c>
      <c r="Y87" s="5">
        <v>0</v>
      </c>
      <c r="Z87" s="5">
        <v>16.7</v>
      </c>
      <c r="AA87" s="5">
        <v>290</v>
      </c>
      <c r="AB87" s="5">
        <v>0.03</v>
      </c>
      <c r="AC87" s="5">
        <v>0.03</v>
      </c>
      <c r="AD87" s="5">
        <v>2.1</v>
      </c>
      <c r="AE87" s="5">
        <v>0.03</v>
      </c>
      <c r="AF87" s="5">
        <v>47.6</v>
      </c>
      <c r="AG87" s="5">
        <v>0</v>
      </c>
      <c r="AH87" s="5">
        <v>0.21</v>
      </c>
      <c r="AI87" s="5">
        <v>0.1</v>
      </c>
      <c r="AJ87" s="5">
        <v>9.6</v>
      </c>
      <c r="AK87" s="5">
        <v>146</v>
      </c>
      <c r="AL87" s="5">
        <v>30</v>
      </c>
      <c r="AM87" s="5">
        <v>2.8</v>
      </c>
      <c r="AN87" s="5">
        <v>5.4</v>
      </c>
      <c r="AO87" s="5">
        <v>0.52</v>
      </c>
      <c r="AP87" s="5">
        <v>39.299999999999997</v>
      </c>
      <c r="AQ87" s="5">
        <v>255</v>
      </c>
      <c r="AR87" s="5">
        <v>213</v>
      </c>
      <c r="AS87" s="5">
        <v>0.5</v>
      </c>
      <c r="AT87" s="5">
        <v>0.01</v>
      </c>
      <c r="AU87" s="5">
        <v>0.7</v>
      </c>
      <c r="AV87" s="5">
        <f>IFERROR(VLOOKUP(IFERROR(VLOOKUP(D87,Mapa_Similitud!$A$2:$B$2000,2,FALSE()),D87),Hoja1!$A$2:$K$1000,2,FALSE()),IFERROR(VLOOKUP(IFERROR(VLOOKUP(D87,Mapa_Similitud!$A$2:$B$2000,2,FALSE()),D87),Omega3_Referencia!$A$2:$E$100,3,FALSE()),0))</f>
        <v>0.08</v>
      </c>
      <c r="AW87" s="3" t="str">
        <f>IFERROR(VLOOKUP(IFERROR(VLOOKUP(D87,Mapa_Similitud!$A$2:$B$2000,2,FALSE()),D87),Hoja1!$A$2:$K$1000,3,FALSE()),IFERROR(VLOOKUP(IFERROR(VLOOKUP(D87,Mapa_Similitud!$A$2:$B$2000,2,FALSE()),D87),Omega3_Referencia!$A$2:$E$100,4,FALSE()),"N/A"))</f>
        <v>ALA</v>
      </c>
      <c r="AX87" s="5">
        <f>IFERROR(VLOOKUP(IFERROR(VLOOKUP(D87,Mapa_Similitud!$A$2:$B$2000,2,FALSE()),D87),Hoja1!$A$2:$K$1000,5,FALSE()),0)</f>
        <v>0</v>
      </c>
      <c r="AY87" s="5">
        <f>IFERROR(VLOOKUP(IFERROR(VLOOKUP(D87,Mapa_Similitud!$A$2:$B$2000,2,FALSE()),D87),Hoja1!$A$2:$K$1000,7,FALSE()),0)</f>
        <v>70</v>
      </c>
      <c r="AZ87" s="5">
        <f>IFERROR(VLOOKUP(IFERROR(VLOOKUP(D87,Mapa_Similitud!$A$2:$B$2000,2,FALSE()),D87),Hoja1!$A$2:$K$1000,9,FALSE()),0)</f>
        <v>0</v>
      </c>
      <c r="BA87" s="25">
        <f t="shared" si="29"/>
        <v>0.11151079136690648</v>
      </c>
      <c r="BB87" s="25">
        <f t="shared" si="30"/>
        <v>4.6762589928057555E-2</v>
      </c>
      <c r="BC87" s="25">
        <f t="shared" si="31"/>
        <v>5.2517985611510793</v>
      </c>
      <c r="BD87" s="25">
        <f t="shared" si="32"/>
        <v>0.10071942446043164</v>
      </c>
      <c r="BE87" s="25">
        <f t="shared" si="33"/>
        <v>9.172661870503596</v>
      </c>
      <c r="BF87" s="25">
        <f t="shared" si="34"/>
        <v>1</v>
      </c>
      <c r="BG87" s="25">
        <f t="shared" si="35"/>
        <v>4.8666666666666663</v>
      </c>
      <c r="BH87" s="25">
        <f t="shared" si="36"/>
        <v>0.25</v>
      </c>
      <c r="BI87" s="25">
        <f t="shared" si="37"/>
        <v>1.1971830985915493</v>
      </c>
      <c r="BJ87" s="25">
        <f t="shared" si="38"/>
        <v>0.21739130434782611</v>
      </c>
      <c r="BK87" s="25">
        <f t="shared" si="39"/>
        <v>0.56521739130434789</v>
      </c>
      <c r="BL87" s="25">
        <f t="shared" si="40"/>
        <v>0.12949640287769784</v>
      </c>
      <c r="BM87" s="25">
        <f t="shared" si="41"/>
        <v>1.4136690647482013</v>
      </c>
      <c r="BN87" s="18" t="str">
        <f t="shared" si="47"/>
        <v>Media fuente de proteína</v>
      </c>
      <c r="BO87" s="18" t="str">
        <f t="shared" si="48"/>
        <v>Alta fuente de fibra</v>
      </c>
      <c r="BP87" s="18" t="str">
        <f t="shared" si="49"/>
        <v>Alta fuente de calcio</v>
      </c>
      <c r="BQ87" s="18" t="str">
        <f t="shared" si="50"/>
        <v>Alta fuente de hierro</v>
      </c>
      <c r="BR87" s="18" t="str">
        <f t="shared" si="51"/>
        <v>Muy alto en sodio</v>
      </c>
      <c r="BS87" s="6" t="str">
        <f t="shared" si="42"/>
        <v>Neutro</v>
      </c>
      <c r="BT87" s="6" t="str">
        <f t="shared" si="43"/>
        <v>Bajo en grasas</v>
      </c>
      <c r="BU87" s="18" t="str">
        <f t="shared" si="52"/>
        <v>Alto riesgo de retención de líquidos</v>
      </c>
      <c r="BV87" s="18" t="str">
        <f t="shared" si="53"/>
        <v>Alta fuente de magnesio</v>
      </c>
      <c r="BW87" s="18" t="str">
        <f t="shared" si="54"/>
        <v>Sin aporte de Omega 3</v>
      </c>
      <c r="BX87" s="18" t="str">
        <f t="shared" si="55"/>
        <v>Libre de grasas trans</v>
      </c>
      <c r="BY87" s="18" t="str">
        <f t="shared" si="56"/>
        <v>Alto poder antioxidante</v>
      </c>
      <c r="BZ87" s="6" t="str">
        <f t="shared" si="44"/>
        <v>Sin probióticos</v>
      </c>
      <c r="CA87" s="18" t="str">
        <f t="shared" si="57"/>
        <v>Antiinflamatorio</v>
      </c>
      <c r="CB87" s="18" t="str">
        <f>IF(ISNUMBER(SEARCH("miel", D87)), "No irritante (Uso condicionado SII)", IF(OR(J87&gt;0, ISNUMBER(SEARCH("cacao", D87)), ISNUMBER(SEARCH("chocolate puro", D87))), "Altamente irritante", IF(OR(AND(O87&gt;15, BI87&gt;1), ISNUMBER(SEARCH("chocolate", D87))), "Moderadamente irritante", "No irritante")))</f>
        <v>No irritante</v>
      </c>
      <c r="CC87" s="6" t="str">
        <f t="shared" si="45"/>
        <v>Balance de omegas favorable</v>
      </c>
    </row>
    <row r="88" spans="1:81" ht="15" customHeight="1" x14ac:dyDescent="0.3">
      <c r="A88" s="2">
        <f t="shared" si="46"/>
        <v>87</v>
      </c>
      <c r="B88" s="3" t="s">
        <v>161</v>
      </c>
      <c r="C88" s="3" t="s">
        <v>184</v>
      </c>
      <c r="D88" s="3" t="s">
        <v>187</v>
      </c>
      <c r="E88" s="3"/>
      <c r="F88" s="4">
        <v>2</v>
      </c>
      <c r="G88" s="5">
        <v>1</v>
      </c>
      <c r="H88" s="5">
        <v>88.9</v>
      </c>
      <c r="I88" s="5">
        <v>76.400000000000006</v>
      </c>
      <c r="J88" s="5">
        <v>0</v>
      </c>
      <c r="K88" s="5">
        <v>5.3</v>
      </c>
      <c r="L88" s="5">
        <v>12.4</v>
      </c>
      <c r="M88" s="5">
        <v>9.9</v>
      </c>
      <c r="N88" s="5">
        <v>2.5</v>
      </c>
      <c r="O88" s="5">
        <v>0</v>
      </c>
      <c r="P88" s="5">
        <v>5</v>
      </c>
      <c r="Q88" s="5">
        <v>0.9</v>
      </c>
      <c r="R88" s="5">
        <v>0.2</v>
      </c>
      <c r="S88" s="5">
        <v>0.1</v>
      </c>
      <c r="T88" s="5">
        <v>0.4</v>
      </c>
      <c r="U88" s="5">
        <v>0</v>
      </c>
      <c r="V88" s="5">
        <v>75</v>
      </c>
      <c r="W88" s="5">
        <v>0</v>
      </c>
      <c r="X88" s="5">
        <v>450</v>
      </c>
      <c r="Y88" s="5">
        <v>0</v>
      </c>
      <c r="Z88" s="5">
        <v>0.22</v>
      </c>
      <c r="AA88" s="5">
        <v>26</v>
      </c>
      <c r="AB88" s="5">
        <v>0.09</v>
      </c>
      <c r="AC88" s="5">
        <v>7.0000000000000007E-2</v>
      </c>
      <c r="AD88" s="5">
        <v>2.1</v>
      </c>
      <c r="AE88" s="5">
        <v>0.06</v>
      </c>
      <c r="AF88" s="5">
        <v>20</v>
      </c>
      <c r="AG88" s="5">
        <v>0</v>
      </c>
      <c r="AH88" s="5">
        <v>0.04</v>
      </c>
      <c r="AI88" s="5">
        <v>0</v>
      </c>
      <c r="AJ88" s="5">
        <v>1</v>
      </c>
      <c r="AK88" s="5">
        <v>30</v>
      </c>
      <c r="AL88" s="5">
        <v>81</v>
      </c>
      <c r="AM88" s="5">
        <v>1.9</v>
      </c>
      <c r="AN88" s="5">
        <v>1.7</v>
      </c>
      <c r="AO88" s="5">
        <v>0.6</v>
      </c>
      <c r="AP88" s="5">
        <v>20</v>
      </c>
      <c r="AQ88" s="5">
        <v>268</v>
      </c>
      <c r="AR88" s="5">
        <v>130</v>
      </c>
      <c r="AS88" s="5">
        <v>0.2</v>
      </c>
      <c r="AT88" s="5">
        <v>0.02</v>
      </c>
      <c r="AU88" s="5">
        <v>0.7</v>
      </c>
      <c r="AV88" s="5">
        <f>IFERROR(VLOOKUP(IFERROR(VLOOKUP(D88,Mapa_Similitud!$A$2:$B$2000,2,FALSE()),D88),Hoja1!$A$2:$K$1000,2,FALSE()),IFERROR(VLOOKUP(IFERROR(VLOOKUP(D88,Mapa_Similitud!$A$2:$B$2000,2,FALSE()),D88),Omega3_Referencia!$A$2:$E$100,3,FALSE()),0))</f>
        <v>0.02</v>
      </c>
      <c r="AW88" s="3" t="str">
        <f>IFERROR(VLOOKUP(IFERROR(VLOOKUP(D88,Mapa_Similitud!$A$2:$B$2000,2,FALSE()),D88),Hoja1!$A$2:$K$1000,3,FALSE()),IFERROR(VLOOKUP(IFERROR(VLOOKUP(D88,Mapa_Similitud!$A$2:$B$2000,2,FALSE()),D88),Omega3_Referencia!$A$2:$E$100,4,FALSE()),"N/A"))</f>
        <v>ALA</v>
      </c>
      <c r="AX88" s="5">
        <f>IFERROR(VLOOKUP(IFERROR(VLOOKUP(D88,Mapa_Similitud!$A$2:$B$2000,2,FALSE()),D88),Hoja1!$A$2:$K$1000,5,FALSE()),0)</f>
        <v>0</v>
      </c>
      <c r="AY88" s="5">
        <f>IFERROR(VLOOKUP(IFERROR(VLOOKUP(D88,Mapa_Similitud!$A$2:$B$2000,2,FALSE()),D88),Hoja1!$A$2:$K$1000,7,FALSE()),0)</f>
        <v>20</v>
      </c>
      <c r="AZ88" s="5">
        <f>IFERROR(VLOOKUP(IFERROR(VLOOKUP(D88,Mapa_Similitud!$A$2:$B$2000,2,FALSE()),D88),Hoja1!$A$2:$K$1000,9,FALSE()),0)</f>
        <v>0</v>
      </c>
      <c r="BA88" s="25">
        <f t="shared" si="29"/>
        <v>5.9617547806524181E-2</v>
      </c>
      <c r="BB88" s="25">
        <f t="shared" si="30"/>
        <v>5.6242969628796394E-2</v>
      </c>
      <c r="BC88" s="25">
        <f t="shared" si="31"/>
        <v>0.33745781777277839</v>
      </c>
      <c r="BD88" s="25">
        <f t="shared" si="32"/>
        <v>2.137232845894263E-2</v>
      </c>
      <c r="BE88" s="25">
        <f t="shared" si="33"/>
        <v>3.0146231721034868</v>
      </c>
      <c r="BF88" s="25">
        <f t="shared" si="34"/>
        <v>2</v>
      </c>
      <c r="BG88" s="25">
        <f t="shared" si="35"/>
        <v>0.37037037037037035</v>
      </c>
      <c r="BH88" s="25">
        <f t="shared" si="36"/>
        <v>0.22222222222222224</v>
      </c>
      <c r="BI88" s="25">
        <f t="shared" si="37"/>
        <v>2.0615384615384613</v>
      </c>
      <c r="BJ88" s="25">
        <f t="shared" si="38"/>
        <v>0.20161290322580644</v>
      </c>
      <c r="BK88" s="25">
        <f t="shared" si="39"/>
        <v>0.40322580645161288</v>
      </c>
      <c r="BL88" s="25">
        <f t="shared" si="40"/>
        <v>9.1113610798650158E-2</v>
      </c>
      <c r="BM88" s="25">
        <f t="shared" si="41"/>
        <v>0.22497187851518557</v>
      </c>
      <c r="BN88" s="18" t="str">
        <f t="shared" si="47"/>
        <v>Baja fuente de proteína</v>
      </c>
      <c r="BO88" s="18" t="str">
        <f t="shared" si="48"/>
        <v>Alta fuente de fibra</v>
      </c>
      <c r="BP88" s="18" t="str">
        <f t="shared" si="49"/>
        <v>Baja fuente de calcio</v>
      </c>
      <c r="BQ88" s="18" t="str">
        <f t="shared" si="50"/>
        <v>Alta fuente de hierro</v>
      </c>
      <c r="BR88" s="18" t="str">
        <f t="shared" si="51"/>
        <v>Muy alto en sodio</v>
      </c>
      <c r="BS88" s="6" t="str">
        <f t="shared" si="42"/>
        <v>Ligeramente antiinflamatorio</v>
      </c>
      <c r="BT88" s="6" t="str">
        <f t="shared" si="43"/>
        <v>Bajo en grasas</v>
      </c>
      <c r="BU88" s="18" t="str">
        <f t="shared" si="52"/>
        <v>Alto riesgo de retención de líquidos</v>
      </c>
      <c r="BV88" s="18" t="str">
        <f t="shared" si="53"/>
        <v>Media fuente de magnesio</v>
      </c>
      <c r="BW88" s="18" t="str">
        <f t="shared" si="54"/>
        <v>Sin aporte de Omega 3</v>
      </c>
      <c r="BX88" s="18" t="str">
        <f t="shared" si="55"/>
        <v>Libre de grasas trans</v>
      </c>
      <c r="BY88" s="18" t="str">
        <f t="shared" si="56"/>
        <v>Medio poder antioxidante</v>
      </c>
      <c r="BZ88" s="6" t="str">
        <f t="shared" si="44"/>
        <v>Sin probióticos</v>
      </c>
      <c r="CA88" s="18" t="str">
        <f t="shared" si="57"/>
        <v>Poco inflamatorio</v>
      </c>
      <c r="CB88" s="18" t="str">
        <f>IF(ISNUMBER(SEARCH("miel", D88)), "No irritante (Uso condicionado SII)", IF(OR(J88&gt;0, ISNUMBER(SEARCH("cacao", D88)), ISNUMBER(SEARCH("chocolate puro", D88))), "Altamente irritante", IF(OR(AND(O88&gt;15, BI88&gt;1), ISNUMBER(SEARCH("chocolate", D88))), "Moderadamente irritante", "No irritante")))</f>
        <v>No irritante</v>
      </c>
      <c r="CC88" s="6" t="str">
        <f t="shared" si="45"/>
        <v>Exceso relativo de Omega 6</v>
      </c>
    </row>
    <row r="89" spans="1:81" ht="15" customHeight="1" x14ac:dyDescent="0.3">
      <c r="A89" s="2">
        <f t="shared" si="46"/>
        <v>88</v>
      </c>
      <c r="B89" s="3" t="s">
        <v>161</v>
      </c>
      <c r="C89" s="3" t="s">
        <v>184</v>
      </c>
      <c r="D89" s="3" t="s">
        <v>188</v>
      </c>
      <c r="E89" s="3"/>
      <c r="F89" s="4">
        <v>2</v>
      </c>
      <c r="G89" s="5">
        <v>1</v>
      </c>
      <c r="H89" s="5">
        <v>15.1</v>
      </c>
      <c r="I89" s="5">
        <v>95.6</v>
      </c>
      <c r="J89" s="5">
        <v>0</v>
      </c>
      <c r="K89" s="5">
        <v>1.2</v>
      </c>
      <c r="L89" s="5">
        <v>1.6</v>
      </c>
      <c r="M89" s="5">
        <v>0.53</v>
      </c>
      <c r="N89" s="5">
        <v>1.1000000000000001</v>
      </c>
      <c r="O89" s="5">
        <v>0</v>
      </c>
      <c r="P89" s="5">
        <v>1.5</v>
      </c>
      <c r="Q89" s="5">
        <v>0.1</v>
      </c>
      <c r="R89" s="5">
        <v>2.3E-2</v>
      </c>
      <c r="S89" s="5">
        <v>4.0000000000000001E-3</v>
      </c>
      <c r="T89" s="5">
        <v>5.1999999999999998E-2</v>
      </c>
      <c r="U89" s="5">
        <v>0</v>
      </c>
      <c r="V89" s="5">
        <v>33.299999999999997</v>
      </c>
      <c r="W89" s="5">
        <v>0</v>
      </c>
      <c r="X89" s="5">
        <v>200</v>
      </c>
      <c r="Y89" s="5">
        <v>0</v>
      </c>
      <c r="Z89" s="5">
        <v>0.05</v>
      </c>
      <c r="AA89" s="5">
        <v>47</v>
      </c>
      <c r="AB89" s="5">
        <v>7.0000000000000007E-2</v>
      </c>
      <c r="AC89" s="5">
        <v>0.04</v>
      </c>
      <c r="AD89" s="5">
        <v>0.55000000000000004</v>
      </c>
      <c r="AE89" s="5">
        <v>0.03</v>
      </c>
      <c r="AF89" s="5">
        <v>13</v>
      </c>
      <c r="AG89" s="5">
        <v>0</v>
      </c>
      <c r="AH89" s="5">
        <v>0.09</v>
      </c>
      <c r="AI89" s="5">
        <v>0</v>
      </c>
      <c r="AJ89" s="5">
        <v>4.3</v>
      </c>
      <c r="AK89" s="5">
        <v>34</v>
      </c>
      <c r="AL89" s="5">
        <v>24</v>
      </c>
      <c r="AM89" s="5">
        <v>1.3</v>
      </c>
      <c r="AN89" s="5">
        <v>1.4</v>
      </c>
      <c r="AO89" s="5">
        <v>0.2</v>
      </c>
      <c r="AP89" s="5">
        <v>20</v>
      </c>
      <c r="AQ89" s="5">
        <v>328</v>
      </c>
      <c r="AR89" s="5">
        <v>143</v>
      </c>
      <c r="AS89" s="5">
        <v>0.17</v>
      </c>
      <c r="AT89" s="5">
        <v>0.23</v>
      </c>
      <c r="AU89" s="5">
        <v>0.9</v>
      </c>
      <c r="AV89" s="5">
        <f>IFERROR(VLOOKUP(IFERROR(VLOOKUP(D89,Mapa_Similitud!$A$2:$B$2000,2,FALSE()),D89),Hoja1!$A$2:$K$1000,2,FALSE()),IFERROR(VLOOKUP(IFERROR(VLOOKUP(D89,Mapa_Similitud!$A$2:$B$2000,2,FALSE()),D89),Omega3_Referencia!$A$2:$E$100,3,FALSE()),0))</f>
        <v>0.02</v>
      </c>
      <c r="AW89" s="3" t="str">
        <f>IFERROR(VLOOKUP(IFERROR(VLOOKUP(D89,Mapa_Similitud!$A$2:$B$2000,2,FALSE()),D89),Hoja1!$A$2:$K$1000,3,FALSE()),IFERROR(VLOOKUP(IFERROR(VLOOKUP(D89,Mapa_Similitud!$A$2:$B$2000,2,FALSE()),D89),Omega3_Referencia!$A$2:$E$100,4,FALSE()),"N/A"))</f>
        <v>ALA</v>
      </c>
      <c r="AX89" s="5">
        <f>IFERROR(VLOOKUP(IFERROR(VLOOKUP(D89,Mapa_Similitud!$A$2:$B$2000,2,FALSE()),D89),Hoja1!$A$2:$K$1000,5,FALSE()),0)</f>
        <v>0</v>
      </c>
      <c r="AY89" s="5">
        <f>IFERROR(VLOOKUP(IFERROR(VLOOKUP(D89,Mapa_Similitud!$A$2:$B$2000,2,FALSE()),D89),Hoja1!$A$2:$K$1000,7,FALSE()),0)</f>
        <v>25</v>
      </c>
      <c r="AZ89" s="5">
        <f>IFERROR(VLOOKUP(IFERROR(VLOOKUP(D89,Mapa_Similitud!$A$2:$B$2000,2,FALSE()),D89),Hoja1!$A$2:$K$1000,9,FALSE()),0)</f>
        <v>0</v>
      </c>
      <c r="BA89" s="25">
        <f t="shared" si="29"/>
        <v>7.9470198675496692E-2</v>
      </c>
      <c r="BB89" s="25">
        <f t="shared" si="30"/>
        <v>9.9337748344370869E-2</v>
      </c>
      <c r="BC89" s="25">
        <f t="shared" si="31"/>
        <v>2.2516556291390728</v>
      </c>
      <c r="BD89" s="25">
        <f t="shared" si="32"/>
        <v>8.6092715231788089E-2</v>
      </c>
      <c r="BE89" s="25">
        <f t="shared" si="33"/>
        <v>21.721854304635762</v>
      </c>
      <c r="BF89" s="25">
        <f t="shared" si="34"/>
        <v>2.2608695652173911</v>
      </c>
      <c r="BG89" s="25">
        <f t="shared" si="35"/>
        <v>1.4166666666666667</v>
      </c>
      <c r="BH89" s="25">
        <f t="shared" si="36"/>
        <v>0.22999999999999998</v>
      </c>
      <c r="BI89" s="25">
        <f t="shared" si="37"/>
        <v>2.2937062937062938</v>
      </c>
      <c r="BJ89" s="25">
        <f t="shared" si="38"/>
        <v>0.6875</v>
      </c>
      <c r="BK89" s="25">
        <f t="shared" si="39"/>
        <v>0.9375</v>
      </c>
      <c r="BL89" s="25">
        <f t="shared" si="40"/>
        <v>5.9602649006622523E-2</v>
      </c>
      <c r="BM89" s="25">
        <f t="shared" si="41"/>
        <v>1.3245033112582782</v>
      </c>
      <c r="BN89" s="18" t="str">
        <f t="shared" si="47"/>
        <v>Baja fuente de proteína</v>
      </c>
      <c r="BO89" s="18" t="str">
        <f t="shared" si="48"/>
        <v>Alta fuente de fibra</v>
      </c>
      <c r="BP89" s="18" t="str">
        <f t="shared" si="49"/>
        <v>Alta fuente de calcio</v>
      </c>
      <c r="BQ89" s="18" t="str">
        <f t="shared" si="50"/>
        <v>Alta fuente de hierro</v>
      </c>
      <c r="BR89" s="18" t="str">
        <f t="shared" si="51"/>
        <v>Muy alto en sodio</v>
      </c>
      <c r="BS89" s="6" t="str">
        <f t="shared" si="42"/>
        <v>Altamente antiinflamatorio</v>
      </c>
      <c r="BT89" s="6" t="str">
        <f t="shared" si="43"/>
        <v>Bajo en grasas</v>
      </c>
      <c r="BU89" s="18" t="str">
        <f t="shared" si="52"/>
        <v>Alto riesgo de retención de líquidos</v>
      </c>
      <c r="BV89" s="18" t="str">
        <f t="shared" si="53"/>
        <v>Alta fuente de magnesio</v>
      </c>
      <c r="BW89" s="18" t="str">
        <f t="shared" si="54"/>
        <v>Sin aporte de Omega 3</v>
      </c>
      <c r="BX89" s="18" t="str">
        <f t="shared" si="55"/>
        <v>Libre de grasas trans</v>
      </c>
      <c r="BY89" s="18" t="str">
        <f t="shared" si="56"/>
        <v>Medio poder antioxidante</v>
      </c>
      <c r="BZ89" s="6" t="str">
        <f t="shared" si="44"/>
        <v>Sin probióticos</v>
      </c>
      <c r="CA89" s="18" t="str">
        <f t="shared" si="57"/>
        <v>Poco inflamatorio</v>
      </c>
      <c r="CB89" s="18" t="str">
        <f>IF(ISNUMBER(SEARCH("miel", D89)), "No irritante (Uso condicionado SII)", IF(OR(J89&gt;0, ISNUMBER(SEARCH("cacao", D89)), ISNUMBER(SEARCH("chocolate puro", D89))), "Altamente irritante", IF(OR(AND(O89&gt;15, BI89&gt;1), ISNUMBER(SEARCH("chocolate", D89))), "Moderadamente irritante", "No irritante")))</f>
        <v>No irritante</v>
      </c>
      <c r="CC89" s="6" t="str">
        <f t="shared" si="45"/>
        <v>Balance de omegas favorable</v>
      </c>
    </row>
    <row r="90" spans="1:81" ht="15" customHeight="1" x14ac:dyDescent="0.3">
      <c r="A90" s="2">
        <f t="shared" si="46"/>
        <v>89</v>
      </c>
      <c r="B90" s="3" t="s">
        <v>161</v>
      </c>
      <c r="C90" s="3" t="s">
        <v>184</v>
      </c>
      <c r="D90" s="3" t="s">
        <v>189</v>
      </c>
      <c r="E90" s="3"/>
      <c r="F90" s="4">
        <v>3.5</v>
      </c>
      <c r="G90" s="5">
        <v>1</v>
      </c>
      <c r="H90" s="5">
        <v>43.2</v>
      </c>
      <c r="I90" s="5">
        <v>89.2</v>
      </c>
      <c r="J90" s="5">
        <v>0</v>
      </c>
      <c r="K90" s="5">
        <v>2.8</v>
      </c>
      <c r="L90" s="5">
        <v>8</v>
      </c>
      <c r="M90" s="5">
        <v>0</v>
      </c>
      <c r="N90" s="5">
        <v>8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0.9</v>
      </c>
      <c r="AA90" s="5">
        <v>0</v>
      </c>
      <c r="AB90" s="5">
        <v>7.0000000000000007E-2</v>
      </c>
      <c r="AC90" s="5">
        <v>0.09</v>
      </c>
      <c r="AD90" s="5">
        <v>0.82</v>
      </c>
      <c r="AE90" s="5">
        <v>0.1</v>
      </c>
      <c r="AF90" s="5">
        <v>28</v>
      </c>
      <c r="AG90" s="5">
        <v>0</v>
      </c>
      <c r="AH90" s="5">
        <v>0.13</v>
      </c>
      <c r="AI90" s="5">
        <v>0</v>
      </c>
      <c r="AJ90" s="5">
        <v>7</v>
      </c>
      <c r="AK90" s="5">
        <v>44</v>
      </c>
      <c r="AL90" s="5">
        <v>71</v>
      </c>
      <c r="AM90" s="5">
        <v>0.4</v>
      </c>
      <c r="AN90" s="5">
        <v>0</v>
      </c>
      <c r="AO90" s="5">
        <v>0</v>
      </c>
      <c r="AP90" s="5">
        <v>23</v>
      </c>
      <c r="AQ90" s="5">
        <v>620</v>
      </c>
      <c r="AR90" s="5">
        <v>163</v>
      </c>
      <c r="AS90" s="5">
        <v>1.4</v>
      </c>
      <c r="AT90" s="5">
        <v>0.13</v>
      </c>
      <c r="AU90" s="5">
        <v>0.7</v>
      </c>
      <c r="AV90" s="5">
        <f>IFERROR(VLOOKUP(IFERROR(VLOOKUP(D90,Mapa_Similitud!$A$2:$B$2000,2,FALSE()),D90),Hoja1!$A$2:$K$1000,2,FALSE()),IFERROR(VLOOKUP(IFERROR(VLOOKUP(D90,Mapa_Similitud!$A$2:$B$2000,2,FALSE()),D90),Omega3_Referencia!$A$2:$E$100,3,FALSE()),0))</f>
        <v>0.01</v>
      </c>
      <c r="AW90" s="3" t="str">
        <f>IFERROR(VLOOKUP(IFERROR(VLOOKUP(D90,Mapa_Similitud!$A$2:$B$2000,2,FALSE()),D90),Hoja1!$A$2:$K$1000,3,FALSE()),IFERROR(VLOOKUP(IFERROR(VLOOKUP(D90,Mapa_Similitud!$A$2:$B$2000,2,FALSE()),D90),Omega3_Referencia!$A$2:$E$100,4,FALSE()),"N/A"))</f>
        <v>ALA</v>
      </c>
      <c r="AX90" s="5">
        <f>IFERROR(VLOOKUP(IFERROR(VLOOKUP(D90,Mapa_Similitud!$A$2:$B$2000,2,FALSE()),D90),Hoja1!$A$2:$K$1000,5,FALSE()),0)</f>
        <v>0</v>
      </c>
      <c r="AY90" s="5">
        <f>IFERROR(VLOOKUP(IFERROR(VLOOKUP(D90,Mapa_Similitud!$A$2:$B$2000,2,FALSE()),D90),Hoja1!$A$2:$K$1000,7,FALSE()),0)</f>
        <v>15</v>
      </c>
      <c r="AZ90" s="5">
        <f>IFERROR(VLOOKUP(IFERROR(VLOOKUP(D90,Mapa_Similitud!$A$2:$B$2000,2,FALSE()),D90),Hoja1!$A$2:$K$1000,9,FALSE()),0)</f>
        <v>0</v>
      </c>
      <c r="BA90" s="25">
        <f t="shared" si="29"/>
        <v>6.4814814814814811E-2</v>
      </c>
      <c r="BB90" s="25">
        <f t="shared" si="30"/>
        <v>0</v>
      </c>
      <c r="BC90" s="25">
        <f t="shared" si="31"/>
        <v>1.0185185185185184</v>
      </c>
      <c r="BD90" s="25">
        <f t="shared" si="32"/>
        <v>9.2592592592592587E-3</v>
      </c>
      <c r="BE90" s="25">
        <f t="shared" si="33"/>
        <v>14.351851851851851</v>
      </c>
      <c r="BF90" s="25">
        <f t="shared" si="34"/>
        <v>0</v>
      </c>
      <c r="BG90" s="25">
        <f t="shared" si="35"/>
        <v>0.61971830985915488</v>
      </c>
      <c r="BH90" s="25">
        <f t="shared" si="36"/>
        <v>0</v>
      </c>
      <c r="BI90" s="25">
        <f t="shared" si="37"/>
        <v>3.8036809815950918</v>
      </c>
      <c r="BJ90" s="25">
        <f t="shared" si="38"/>
        <v>1</v>
      </c>
      <c r="BK90" s="25">
        <f t="shared" si="39"/>
        <v>0</v>
      </c>
      <c r="BL90" s="25">
        <f t="shared" si="40"/>
        <v>0</v>
      </c>
      <c r="BM90" s="25">
        <f t="shared" si="41"/>
        <v>0.53240740740740733</v>
      </c>
      <c r="BN90" s="18" t="str">
        <f t="shared" si="47"/>
        <v>Baja fuente de proteína</v>
      </c>
      <c r="BO90" s="18" t="str">
        <f t="shared" si="48"/>
        <v>Baja fuente de fibra</v>
      </c>
      <c r="BP90" s="18" t="str">
        <f t="shared" si="49"/>
        <v>Media fuente de calcio</v>
      </c>
      <c r="BQ90" s="18" t="str">
        <f t="shared" si="50"/>
        <v>Media fuente de hierro</v>
      </c>
      <c r="BR90" s="18" t="str">
        <f t="shared" si="51"/>
        <v>Muy alto en sodio</v>
      </c>
      <c r="BS90" s="6" t="str">
        <f t="shared" si="42"/>
        <v>Proinflamatorio</v>
      </c>
      <c r="BT90" s="6" t="str">
        <f t="shared" si="43"/>
        <v>Bajo en grasas</v>
      </c>
      <c r="BU90" s="18" t="str">
        <f t="shared" si="52"/>
        <v>Alto riesgo de retención de líquidos</v>
      </c>
      <c r="BV90" s="18" t="str">
        <f t="shared" si="53"/>
        <v>Alta fuente de magnesio</v>
      </c>
      <c r="BW90" s="18" t="str">
        <f t="shared" si="54"/>
        <v>Sin aporte de Omega 3</v>
      </c>
      <c r="BX90" s="18" t="str">
        <f t="shared" si="55"/>
        <v>Libre de grasas trans</v>
      </c>
      <c r="BY90" s="18" t="str">
        <f t="shared" si="56"/>
        <v>Medio poder antioxidante</v>
      </c>
      <c r="BZ90" s="6" t="str">
        <f t="shared" si="44"/>
        <v>Sin probióticos</v>
      </c>
      <c r="CA90" s="18" t="str">
        <f t="shared" si="57"/>
        <v>Poco inflamatorio</v>
      </c>
      <c r="CB90" s="18" t="str">
        <f>IF(ISNUMBER(SEARCH("miel", D90)), "No irritante (Uso condicionado SII)", IF(OR(J90&gt;0, ISNUMBER(SEARCH("cacao", D90)), ISNUMBER(SEARCH("chocolate puro", D90))), "Altamente irritante", IF(OR(AND(O90&gt;15, BI90&gt;1), ISNUMBER(SEARCH("chocolate", D90))), "Moderadamente irritante", "No irritante")))</f>
        <v>No irritante</v>
      </c>
      <c r="CC90" s="6" t="str">
        <f t="shared" si="45"/>
        <v>Balance de omegas favorable</v>
      </c>
    </row>
    <row r="91" spans="1:81" ht="15" customHeight="1" x14ac:dyDescent="0.3">
      <c r="A91" s="2">
        <f t="shared" si="46"/>
        <v>90</v>
      </c>
      <c r="B91" s="3" t="s">
        <v>161</v>
      </c>
      <c r="C91" s="3" t="s">
        <v>184</v>
      </c>
      <c r="D91" s="3" t="s">
        <v>190</v>
      </c>
      <c r="E91" s="3"/>
      <c r="F91" s="4">
        <v>5</v>
      </c>
      <c r="G91" s="5">
        <v>1</v>
      </c>
      <c r="H91" s="5">
        <v>32.200000000000003</v>
      </c>
      <c r="I91" s="5">
        <v>91.7</v>
      </c>
      <c r="J91" s="5">
        <v>0</v>
      </c>
      <c r="K91" s="5">
        <v>1.2</v>
      </c>
      <c r="L91" s="5">
        <v>5.2</v>
      </c>
      <c r="M91" s="5">
        <v>0.1</v>
      </c>
      <c r="N91" s="5">
        <v>5.0999999999999996</v>
      </c>
      <c r="O91" s="5">
        <v>0</v>
      </c>
      <c r="P91" s="5">
        <v>1.5</v>
      </c>
      <c r="Q91" s="5">
        <v>0.4</v>
      </c>
      <c r="R91" s="5">
        <v>0.1</v>
      </c>
      <c r="S91" s="5">
        <v>1.2999999999999999E-2</v>
      </c>
      <c r="T91" s="5">
        <v>0.2</v>
      </c>
      <c r="U91" s="5">
        <v>0</v>
      </c>
      <c r="V91" s="5">
        <v>630</v>
      </c>
      <c r="W91" s="5">
        <v>0</v>
      </c>
      <c r="X91" s="5">
        <v>3780</v>
      </c>
      <c r="Y91" s="5">
        <v>0</v>
      </c>
      <c r="Z91" s="5">
        <v>0.9</v>
      </c>
      <c r="AA91" s="5">
        <v>5.0999999999999996</v>
      </c>
      <c r="AB91" s="5">
        <v>0.01</v>
      </c>
      <c r="AC91" s="5">
        <v>0.03</v>
      </c>
      <c r="AD91" s="5">
        <v>1.1000000000000001</v>
      </c>
      <c r="AE91" s="5">
        <v>0.31</v>
      </c>
      <c r="AF91" s="5">
        <v>11</v>
      </c>
      <c r="AG91" s="5">
        <v>0</v>
      </c>
      <c r="AH91" s="5">
        <v>0.06</v>
      </c>
      <c r="AI91" s="5">
        <v>0</v>
      </c>
      <c r="AJ91" s="5">
        <v>81</v>
      </c>
      <c r="AK91" s="5">
        <v>9</v>
      </c>
      <c r="AL91" s="5">
        <v>26</v>
      </c>
      <c r="AM91" s="5">
        <v>0.3</v>
      </c>
      <c r="AN91" s="5">
        <v>0.4</v>
      </c>
      <c r="AO91" s="5">
        <v>0.2</v>
      </c>
      <c r="AP91" s="5">
        <v>14</v>
      </c>
      <c r="AQ91" s="5">
        <v>314</v>
      </c>
      <c r="AR91" s="5">
        <v>180</v>
      </c>
      <c r="AS91" s="5">
        <v>0.1</v>
      </c>
      <c r="AT91" s="5">
        <v>0.01</v>
      </c>
      <c r="AU91" s="5">
        <v>0.3</v>
      </c>
      <c r="AV91" s="5">
        <f>IFERROR(VLOOKUP(IFERROR(VLOOKUP(D91,Mapa_Similitud!$A$2:$B$2000,2,FALSE()),D91),Hoja1!$A$2:$K$1000,2,FALSE()),IFERROR(VLOOKUP(IFERROR(VLOOKUP(D91,Mapa_Similitud!$A$2:$B$2000,2,FALSE()),D91),Omega3_Referencia!$A$2:$E$100,3,FALSE()),0))</f>
        <v>0.01</v>
      </c>
      <c r="AW91" s="3" t="str">
        <f>IFERROR(VLOOKUP(IFERROR(VLOOKUP(D91,Mapa_Similitud!$A$2:$B$2000,2,FALSE()),D91),Hoja1!$A$2:$K$1000,3,FALSE()),IFERROR(VLOOKUP(IFERROR(VLOOKUP(D91,Mapa_Similitud!$A$2:$B$2000,2,FALSE()),D91),Omega3_Referencia!$A$2:$E$100,4,FALSE()),"N/A"))</f>
        <v>ALA</v>
      </c>
      <c r="AX91" s="5">
        <f>IFERROR(VLOOKUP(IFERROR(VLOOKUP(D91,Mapa_Similitud!$A$2:$B$2000,2,FALSE()),D91),Hoja1!$A$2:$K$1000,5,FALSE()),0)</f>
        <v>0</v>
      </c>
      <c r="AY91" s="5">
        <f>IFERROR(VLOOKUP(IFERROR(VLOOKUP(D91,Mapa_Similitud!$A$2:$B$2000,2,FALSE()),D91),Hoja1!$A$2:$K$1000,7,FALSE()),0)</f>
        <v>50</v>
      </c>
      <c r="AZ91" s="5">
        <f>IFERROR(VLOOKUP(IFERROR(VLOOKUP(D91,Mapa_Similitud!$A$2:$B$2000,2,FALSE()),D91),Hoja1!$A$2:$K$1000,9,FALSE()),0)</f>
        <v>0</v>
      </c>
      <c r="BA91" s="25">
        <f t="shared" si="29"/>
        <v>3.7267080745341609E-2</v>
      </c>
      <c r="BB91" s="25">
        <f t="shared" si="30"/>
        <v>4.6583850931677016E-2</v>
      </c>
      <c r="BC91" s="25">
        <f t="shared" si="31"/>
        <v>0.27950310559006208</v>
      </c>
      <c r="BD91" s="25">
        <f t="shared" si="32"/>
        <v>9.3167701863354022E-3</v>
      </c>
      <c r="BE91" s="25">
        <f t="shared" si="33"/>
        <v>9.7515527950310545</v>
      </c>
      <c r="BF91" s="25">
        <f t="shared" si="34"/>
        <v>2</v>
      </c>
      <c r="BG91" s="25">
        <f t="shared" si="35"/>
        <v>0.34615384615384615</v>
      </c>
      <c r="BH91" s="25">
        <f t="shared" si="36"/>
        <v>0.25</v>
      </c>
      <c r="BI91" s="25">
        <f t="shared" si="37"/>
        <v>1.7444444444444445</v>
      </c>
      <c r="BJ91" s="25">
        <f t="shared" si="38"/>
        <v>0.98076923076923062</v>
      </c>
      <c r="BK91" s="25">
        <f t="shared" si="39"/>
        <v>0.28846153846153844</v>
      </c>
      <c r="BL91" s="25">
        <f t="shared" si="40"/>
        <v>0.11180124223602483</v>
      </c>
      <c r="BM91" s="25">
        <f t="shared" si="41"/>
        <v>0.43478260869565216</v>
      </c>
      <c r="BN91" s="18" t="str">
        <f t="shared" si="47"/>
        <v>Baja fuente de proteína</v>
      </c>
      <c r="BO91" s="18" t="str">
        <f t="shared" si="48"/>
        <v>Alta fuente de fibra</v>
      </c>
      <c r="BP91" s="18" t="str">
        <f t="shared" si="49"/>
        <v>Baja fuente de calcio</v>
      </c>
      <c r="BQ91" s="18" t="str">
        <f t="shared" si="50"/>
        <v>Media fuente de hierro</v>
      </c>
      <c r="BR91" s="18" t="str">
        <f t="shared" si="51"/>
        <v>Muy alto en sodio</v>
      </c>
      <c r="BS91" s="6" t="str">
        <f t="shared" si="42"/>
        <v>Ligeramente antiinflamatorio</v>
      </c>
      <c r="BT91" s="6" t="str">
        <f t="shared" si="43"/>
        <v>Bajo en grasas</v>
      </c>
      <c r="BU91" s="18" t="str">
        <f t="shared" si="52"/>
        <v>Alto riesgo de retención de líquidos</v>
      </c>
      <c r="BV91" s="18" t="str">
        <f t="shared" si="53"/>
        <v>Media fuente de magnesio</v>
      </c>
      <c r="BW91" s="18" t="str">
        <f t="shared" si="54"/>
        <v>Sin aporte de Omega 3</v>
      </c>
      <c r="BX91" s="18" t="str">
        <f t="shared" si="55"/>
        <v>Libre de grasas trans</v>
      </c>
      <c r="BY91" s="18" t="str">
        <f t="shared" si="56"/>
        <v>Alto poder antioxidante</v>
      </c>
      <c r="BZ91" s="6" t="str">
        <f t="shared" si="44"/>
        <v>Sin probióticos</v>
      </c>
      <c r="CA91" s="18" t="str">
        <f t="shared" si="57"/>
        <v>Antiinflamatorio</v>
      </c>
      <c r="CB91" s="18" t="str">
        <f>IF(ISNUMBER(SEARCH("miel", D91)), "No irritante (Uso condicionado SII)", IF(OR(J91&gt;0, ISNUMBER(SEARCH("cacao", D91)), ISNUMBER(SEARCH("chocolate puro", D91))), "Altamente irritante", IF(OR(AND(O91&gt;15, BI91&gt;1), ISNUMBER(SEARCH("chocolate", D91))), "Moderadamente irritante", "No irritante")))</f>
        <v>No irritante</v>
      </c>
      <c r="CC91" s="6" t="str">
        <f t="shared" si="45"/>
        <v>Exceso relativo de Omega 6</v>
      </c>
    </row>
    <row r="92" spans="1:81" ht="15" customHeight="1" x14ac:dyDescent="0.3">
      <c r="A92" s="2">
        <f t="shared" si="46"/>
        <v>91</v>
      </c>
      <c r="B92" s="3" t="s">
        <v>161</v>
      </c>
      <c r="C92" s="3" t="s">
        <v>184</v>
      </c>
      <c r="D92" s="3" t="s">
        <v>191</v>
      </c>
      <c r="E92" s="3"/>
      <c r="F92" s="4">
        <v>3</v>
      </c>
      <c r="G92" s="5">
        <v>1</v>
      </c>
      <c r="H92" s="5">
        <v>29.4</v>
      </c>
      <c r="I92" s="5">
        <v>91.7</v>
      </c>
      <c r="J92" s="5">
        <v>0</v>
      </c>
      <c r="K92" s="5">
        <v>1.2</v>
      </c>
      <c r="L92" s="5">
        <v>4.5</v>
      </c>
      <c r="M92" s="5">
        <v>1.6</v>
      </c>
      <c r="N92" s="5">
        <v>2.9</v>
      </c>
      <c r="O92" s="5">
        <v>0</v>
      </c>
      <c r="P92" s="5">
        <v>1.5</v>
      </c>
      <c r="Q92" s="5">
        <v>0.4</v>
      </c>
      <c r="R92" s="5">
        <v>0.1</v>
      </c>
      <c r="S92" s="5">
        <v>1.2999999999999999E-2</v>
      </c>
      <c r="T92" s="5">
        <v>0.2</v>
      </c>
      <c r="U92" s="5">
        <v>0</v>
      </c>
      <c r="V92" s="5">
        <v>630</v>
      </c>
      <c r="W92" s="5">
        <v>0</v>
      </c>
      <c r="X92" s="5">
        <v>3780</v>
      </c>
      <c r="Y92" s="5">
        <v>0</v>
      </c>
      <c r="Z92" s="5">
        <v>0.9</v>
      </c>
      <c r="AA92" s="5">
        <v>5.0999999999999996</v>
      </c>
      <c r="AB92" s="5">
        <v>0.01</v>
      </c>
      <c r="AC92" s="5">
        <v>0.03</v>
      </c>
      <c r="AD92" s="5">
        <v>1.1000000000000001</v>
      </c>
      <c r="AE92" s="5">
        <v>0.31</v>
      </c>
      <c r="AF92" s="5">
        <v>11</v>
      </c>
      <c r="AG92" s="5">
        <v>0</v>
      </c>
      <c r="AH92" s="5">
        <v>0.06</v>
      </c>
      <c r="AI92" s="5">
        <v>0</v>
      </c>
      <c r="AJ92" s="5">
        <v>81</v>
      </c>
      <c r="AK92" s="5">
        <v>9</v>
      </c>
      <c r="AL92" s="5">
        <v>26</v>
      </c>
      <c r="AM92" s="5">
        <v>0.3</v>
      </c>
      <c r="AN92" s="5">
        <v>0.4</v>
      </c>
      <c r="AO92" s="5">
        <v>0.2</v>
      </c>
      <c r="AP92" s="5">
        <v>14</v>
      </c>
      <c r="AQ92" s="5">
        <v>288</v>
      </c>
      <c r="AR92" s="5">
        <v>180</v>
      </c>
      <c r="AS92" s="5">
        <v>0.1</v>
      </c>
      <c r="AT92" s="5">
        <v>0.01</v>
      </c>
      <c r="AU92" s="5">
        <v>0.3</v>
      </c>
      <c r="AV92" s="5">
        <f>IFERROR(VLOOKUP(IFERROR(VLOOKUP(D92,Mapa_Similitud!$A$2:$B$2000,2,FALSE()),D92),Hoja1!$A$2:$K$1000,2,FALSE()),IFERROR(VLOOKUP(IFERROR(VLOOKUP(D92,Mapa_Similitud!$A$2:$B$2000,2,FALSE()),D92),Omega3_Referencia!$A$2:$E$100,3,FALSE()),0))</f>
        <v>0.01</v>
      </c>
      <c r="AW92" s="3" t="str">
        <f>IFERROR(VLOOKUP(IFERROR(VLOOKUP(D92,Mapa_Similitud!$A$2:$B$2000,2,FALSE()),D92),Hoja1!$A$2:$K$1000,3,FALSE()),IFERROR(VLOOKUP(IFERROR(VLOOKUP(D92,Mapa_Similitud!$A$2:$B$2000,2,FALSE()),D92),Omega3_Referencia!$A$2:$E$100,4,FALSE()),"N/A"))</f>
        <v>ALA</v>
      </c>
      <c r="AX92" s="5">
        <f>IFERROR(VLOOKUP(IFERROR(VLOOKUP(D92,Mapa_Similitud!$A$2:$B$2000,2,FALSE()),D92),Hoja1!$A$2:$K$1000,5,FALSE()),0)</f>
        <v>0</v>
      </c>
      <c r="AY92" s="5">
        <f>IFERROR(VLOOKUP(IFERROR(VLOOKUP(D92,Mapa_Similitud!$A$2:$B$2000,2,FALSE()),D92),Hoja1!$A$2:$K$1000,7,FALSE()),0)</f>
        <v>45</v>
      </c>
      <c r="AZ92" s="5">
        <f>IFERROR(VLOOKUP(IFERROR(VLOOKUP(D92,Mapa_Similitud!$A$2:$B$2000,2,FALSE()),D92),Hoja1!$A$2:$K$1000,9,FALSE()),0)</f>
        <v>0</v>
      </c>
      <c r="BA92" s="25">
        <f t="shared" si="29"/>
        <v>4.0816326530612249E-2</v>
      </c>
      <c r="BB92" s="25">
        <f t="shared" si="30"/>
        <v>5.1020408163265307E-2</v>
      </c>
      <c r="BC92" s="25">
        <f t="shared" si="31"/>
        <v>0.30612244897959184</v>
      </c>
      <c r="BD92" s="25">
        <f t="shared" si="32"/>
        <v>1.0204081632653062E-2</v>
      </c>
      <c r="BE92" s="25">
        <f t="shared" si="33"/>
        <v>9.795918367346939</v>
      </c>
      <c r="BF92" s="25">
        <f t="shared" si="34"/>
        <v>2</v>
      </c>
      <c r="BG92" s="25">
        <f t="shared" si="35"/>
        <v>0.34615384615384615</v>
      </c>
      <c r="BH92" s="25">
        <f t="shared" si="36"/>
        <v>0.25</v>
      </c>
      <c r="BI92" s="25">
        <f t="shared" si="37"/>
        <v>1.6</v>
      </c>
      <c r="BJ92" s="25">
        <f t="shared" si="38"/>
        <v>0.64444444444444438</v>
      </c>
      <c r="BK92" s="25">
        <f t="shared" si="39"/>
        <v>0.33333333333333331</v>
      </c>
      <c r="BL92" s="25">
        <f t="shared" si="40"/>
        <v>0.12244897959183675</v>
      </c>
      <c r="BM92" s="25">
        <f t="shared" si="41"/>
        <v>0.47619047619047622</v>
      </c>
      <c r="BN92" s="18" t="str">
        <f t="shared" si="47"/>
        <v>Baja fuente de proteína</v>
      </c>
      <c r="BO92" s="18" t="str">
        <f t="shared" si="48"/>
        <v>Alta fuente de fibra</v>
      </c>
      <c r="BP92" s="18" t="str">
        <f t="shared" si="49"/>
        <v>Baja fuente de calcio</v>
      </c>
      <c r="BQ92" s="18" t="str">
        <f t="shared" si="50"/>
        <v>Media fuente de hierro</v>
      </c>
      <c r="BR92" s="18" t="str">
        <f t="shared" si="51"/>
        <v>Muy alto en sodio</v>
      </c>
      <c r="BS92" s="6" t="str">
        <f t="shared" si="42"/>
        <v>Ligeramente antiinflamatorio</v>
      </c>
      <c r="BT92" s="6" t="str">
        <f t="shared" si="43"/>
        <v>Bajo en grasas</v>
      </c>
      <c r="BU92" s="18" t="str">
        <f t="shared" si="52"/>
        <v>Alto riesgo de retención de líquidos</v>
      </c>
      <c r="BV92" s="18" t="str">
        <f t="shared" si="53"/>
        <v>Media fuente de magnesio</v>
      </c>
      <c r="BW92" s="18" t="str">
        <f t="shared" si="54"/>
        <v>Sin aporte de Omega 3</v>
      </c>
      <c r="BX92" s="18" t="str">
        <f t="shared" si="55"/>
        <v>Libre de grasas trans</v>
      </c>
      <c r="BY92" s="18" t="str">
        <f t="shared" si="56"/>
        <v>Medio poder antioxidante</v>
      </c>
      <c r="BZ92" s="6" t="str">
        <f t="shared" si="44"/>
        <v>Sin probióticos</v>
      </c>
      <c r="CA92" s="18" t="str">
        <f t="shared" si="57"/>
        <v>Poco inflamatorio</v>
      </c>
      <c r="CB92" s="18" t="str">
        <f>IF(ISNUMBER(SEARCH("miel", D92)), "No irritante (Uso condicionado SII)", IF(OR(J92&gt;0, ISNUMBER(SEARCH("cacao", D92)), ISNUMBER(SEARCH("chocolate puro", D92))), "Altamente irritante", IF(OR(AND(O92&gt;15, BI92&gt;1), ISNUMBER(SEARCH("chocolate", D92))), "Moderadamente irritante", "No irritante")))</f>
        <v>No irritante</v>
      </c>
      <c r="CC92" s="6" t="str">
        <f t="shared" si="45"/>
        <v>Exceso relativo de Omega 6</v>
      </c>
    </row>
    <row r="93" spans="1:81" ht="15" customHeight="1" x14ac:dyDescent="0.3">
      <c r="A93" s="2">
        <f t="shared" si="46"/>
        <v>92</v>
      </c>
      <c r="B93" s="3" t="s">
        <v>161</v>
      </c>
      <c r="C93" s="3" t="s">
        <v>184</v>
      </c>
      <c r="D93" s="3" t="s">
        <v>192</v>
      </c>
      <c r="E93" s="3"/>
      <c r="F93" s="4">
        <v>3.5</v>
      </c>
      <c r="G93" s="5">
        <v>1</v>
      </c>
      <c r="H93" s="5">
        <v>33</v>
      </c>
      <c r="I93" s="5">
        <v>91.7</v>
      </c>
      <c r="J93" s="5">
        <v>0</v>
      </c>
      <c r="K93" s="5">
        <v>1.2</v>
      </c>
      <c r="L93" s="5">
        <v>5.4</v>
      </c>
      <c r="M93" s="5">
        <v>1.6</v>
      </c>
      <c r="N93" s="5">
        <v>3.8</v>
      </c>
      <c r="O93" s="5">
        <v>0</v>
      </c>
      <c r="P93" s="5">
        <v>1.5</v>
      </c>
      <c r="Q93" s="5">
        <v>0.4</v>
      </c>
      <c r="R93" s="5">
        <v>0.1</v>
      </c>
      <c r="S93" s="5">
        <v>1.2999999999999999E-2</v>
      </c>
      <c r="T93" s="5">
        <v>0.2</v>
      </c>
      <c r="U93" s="5">
        <v>0</v>
      </c>
      <c r="V93" s="5">
        <v>630</v>
      </c>
      <c r="W93" s="5">
        <v>0</v>
      </c>
      <c r="X93" s="5">
        <v>3780</v>
      </c>
      <c r="Y93" s="5">
        <v>0</v>
      </c>
      <c r="Z93" s="5">
        <v>0.9</v>
      </c>
      <c r="AA93" s="5">
        <v>5.0999999999999996</v>
      </c>
      <c r="AB93" s="5">
        <v>0.01</v>
      </c>
      <c r="AC93" s="5">
        <v>0.03</v>
      </c>
      <c r="AD93" s="5">
        <v>1.1000000000000001</v>
      </c>
      <c r="AE93" s="5">
        <v>0.31</v>
      </c>
      <c r="AF93" s="5">
        <v>11</v>
      </c>
      <c r="AG93" s="5">
        <v>0</v>
      </c>
      <c r="AH93" s="5">
        <v>0.06</v>
      </c>
      <c r="AI93" s="5">
        <v>0</v>
      </c>
      <c r="AJ93" s="5">
        <v>81</v>
      </c>
      <c r="AK93" s="5">
        <v>9</v>
      </c>
      <c r="AL93" s="5">
        <v>26</v>
      </c>
      <c r="AM93" s="5">
        <v>0.3</v>
      </c>
      <c r="AN93" s="5">
        <v>0.4</v>
      </c>
      <c r="AO93" s="5">
        <v>0.2</v>
      </c>
      <c r="AP93" s="5">
        <v>14</v>
      </c>
      <c r="AQ93" s="5">
        <v>260</v>
      </c>
      <c r="AR93" s="5">
        <v>180</v>
      </c>
      <c r="AS93" s="5">
        <v>0.1</v>
      </c>
      <c r="AT93" s="5">
        <v>0.01</v>
      </c>
      <c r="AU93" s="5">
        <v>0.3</v>
      </c>
      <c r="AV93" s="5">
        <f>IFERROR(VLOOKUP(IFERROR(VLOOKUP(D93,Mapa_Similitud!$A$2:$B$2000,2,FALSE()),D93),Hoja1!$A$2:$K$1000,2,FALSE()),IFERROR(VLOOKUP(IFERROR(VLOOKUP(D93,Mapa_Similitud!$A$2:$B$2000,2,FALSE()),D93),Omega3_Referencia!$A$2:$E$100,3,FALSE()),0))</f>
        <v>0.01</v>
      </c>
      <c r="AW93" s="3" t="str">
        <f>IFERROR(VLOOKUP(IFERROR(VLOOKUP(D93,Mapa_Similitud!$A$2:$B$2000,2,FALSE()),D93),Hoja1!$A$2:$K$1000,3,FALSE()),IFERROR(VLOOKUP(IFERROR(VLOOKUP(D93,Mapa_Similitud!$A$2:$B$2000,2,FALSE()),D93),Omega3_Referencia!$A$2:$E$100,4,FALSE()),"N/A"))</f>
        <v>ALA</v>
      </c>
      <c r="AX93" s="5">
        <f>IFERROR(VLOOKUP(IFERROR(VLOOKUP(D93,Mapa_Similitud!$A$2:$B$2000,2,FALSE()),D93),Hoja1!$A$2:$K$1000,5,FALSE()),0)</f>
        <v>0</v>
      </c>
      <c r="AY93" s="5">
        <f>IFERROR(VLOOKUP(IFERROR(VLOOKUP(D93,Mapa_Similitud!$A$2:$B$2000,2,FALSE()),D93),Hoja1!$A$2:$K$1000,7,FALSE()),0)</f>
        <v>60</v>
      </c>
      <c r="AZ93" s="5">
        <f>IFERROR(VLOOKUP(IFERROR(VLOOKUP(D93,Mapa_Similitud!$A$2:$B$2000,2,FALSE()),D93),Hoja1!$A$2:$K$1000,9,FALSE()),0)</f>
        <v>0</v>
      </c>
      <c r="BA93" s="25">
        <f t="shared" si="29"/>
        <v>3.6363636363636362E-2</v>
      </c>
      <c r="BB93" s="25">
        <f t="shared" si="30"/>
        <v>4.5454545454545456E-2</v>
      </c>
      <c r="BC93" s="25">
        <f t="shared" si="31"/>
        <v>0.27272727272727271</v>
      </c>
      <c r="BD93" s="25">
        <f t="shared" si="32"/>
        <v>9.0909090909090905E-3</v>
      </c>
      <c r="BE93" s="25">
        <f t="shared" si="33"/>
        <v>7.8787878787878789</v>
      </c>
      <c r="BF93" s="25">
        <f t="shared" si="34"/>
        <v>2</v>
      </c>
      <c r="BG93" s="25">
        <f t="shared" si="35"/>
        <v>0.34615384615384615</v>
      </c>
      <c r="BH93" s="25">
        <f t="shared" si="36"/>
        <v>0.25</v>
      </c>
      <c r="BI93" s="25">
        <f t="shared" si="37"/>
        <v>1.4444444444444444</v>
      </c>
      <c r="BJ93" s="25">
        <f t="shared" si="38"/>
        <v>0.70370370370370361</v>
      </c>
      <c r="BK93" s="25">
        <f t="shared" si="39"/>
        <v>0.27777777777777773</v>
      </c>
      <c r="BL93" s="25">
        <f t="shared" si="40"/>
        <v>0.1090909090909091</v>
      </c>
      <c r="BM93" s="25">
        <f t="shared" si="41"/>
        <v>0.42424242424242425</v>
      </c>
      <c r="BN93" s="18" t="str">
        <f t="shared" si="47"/>
        <v>Baja fuente de proteína</v>
      </c>
      <c r="BO93" s="18" t="str">
        <f t="shared" si="48"/>
        <v>Alta fuente de fibra</v>
      </c>
      <c r="BP93" s="18" t="str">
        <f t="shared" si="49"/>
        <v>Baja fuente de calcio</v>
      </c>
      <c r="BQ93" s="18" t="str">
        <f t="shared" si="50"/>
        <v>Media fuente de hierro</v>
      </c>
      <c r="BR93" s="18" t="str">
        <f t="shared" si="51"/>
        <v>Muy alto en sodio</v>
      </c>
      <c r="BS93" s="6" t="str">
        <f t="shared" si="42"/>
        <v>Ligeramente antiinflamatorio</v>
      </c>
      <c r="BT93" s="6" t="str">
        <f t="shared" si="43"/>
        <v>Bajo en grasas</v>
      </c>
      <c r="BU93" s="18" t="str">
        <f t="shared" si="52"/>
        <v>Alto riesgo de retención de líquidos</v>
      </c>
      <c r="BV93" s="18" t="str">
        <f t="shared" si="53"/>
        <v>Media fuente de magnesio</v>
      </c>
      <c r="BW93" s="18" t="str">
        <f t="shared" si="54"/>
        <v>Sin aporte de Omega 3</v>
      </c>
      <c r="BX93" s="18" t="str">
        <f t="shared" si="55"/>
        <v>Libre de grasas trans</v>
      </c>
      <c r="BY93" s="18" t="str">
        <f t="shared" si="56"/>
        <v>Alto poder antioxidante</v>
      </c>
      <c r="BZ93" s="6" t="str">
        <f t="shared" si="44"/>
        <v>Sin probióticos</v>
      </c>
      <c r="CA93" s="18" t="str">
        <f t="shared" si="57"/>
        <v>Antiinflamatorio</v>
      </c>
      <c r="CB93" s="18" t="str">
        <f>IF(ISNUMBER(SEARCH("miel", D93)), "No irritante (Uso condicionado SII)", IF(OR(J93&gt;0, ISNUMBER(SEARCH("cacao", D93)), ISNUMBER(SEARCH("chocolate puro", D93))), "Altamente irritante", IF(OR(AND(O93&gt;15, BI93&gt;1), ISNUMBER(SEARCH("chocolate", D93))), "Moderadamente irritante", "No irritante")))</f>
        <v>No irritante</v>
      </c>
      <c r="CC93" s="6" t="str">
        <f t="shared" si="45"/>
        <v>Exceso relativo de Omega 6</v>
      </c>
    </row>
    <row r="94" spans="1:81" ht="15" customHeight="1" x14ac:dyDescent="0.3">
      <c r="A94" s="2">
        <f t="shared" si="46"/>
        <v>93</v>
      </c>
      <c r="B94" s="3" t="s">
        <v>161</v>
      </c>
      <c r="C94" s="3" t="s">
        <v>184</v>
      </c>
      <c r="D94" s="3" t="s">
        <v>193</v>
      </c>
      <c r="E94" s="3"/>
      <c r="F94" s="4">
        <v>3</v>
      </c>
      <c r="G94" s="5">
        <v>1</v>
      </c>
      <c r="H94" s="5">
        <v>38.1</v>
      </c>
      <c r="I94" s="5">
        <v>90</v>
      </c>
      <c r="J94" s="5">
        <v>0</v>
      </c>
      <c r="K94" s="5">
        <v>1.2</v>
      </c>
      <c r="L94" s="5">
        <v>5.4</v>
      </c>
      <c r="M94" s="5">
        <v>4.0999999999999996</v>
      </c>
      <c r="N94" s="5">
        <v>1.3</v>
      </c>
      <c r="O94" s="5">
        <v>0</v>
      </c>
      <c r="P94" s="5">
        <v>2.7</v>
      </c>
      <c r="Q94" s="5">
        <v>0.7</v>
      </c>
      <c r="R94" s="5">
        <v>0.1</v>
      </c>
      <c r="S94" s="5">
        <v>3.0000000000000001E-3</v>
      </c>
      <c r="T94" s="5">
        <v>0.4</v>
      </c>
      <c r="U94" s="5">
        <v>0</v>
      </c>
      <c r="V94" s="5">
        <v>95.8</v>
      </c>
      <c r="W94" s="5">
        <v>0</v>
      </c>
      <c r="X94" s="5">
        <v>575</v>
      </c>
      <c r="Y94" s="5">
        <v>0</v>
      </c>
      <c r="Z94" s="5">
        <v>0.78</v>
      </c>
      <c r="AA94" s="5">
        <v>47</v>
      </c>
      <c r="AB94" s="5">
        <v>0.02</v>
      </c>
      <c r="AC94" s="5">
        <v>0.02</v>
      </c>
      <c r="AD94" s="5">
        <v>0.55000000000000004</v>
      </c>
      <c r="AE94" s="5">
        <v>0.05</v>
      </c>
      <c r="AF94" s="5">
        <v>40</v>
      </c>
      <c r="AG94" s="5">
        <v>0</v>
      </c>
      <c r="AH94" s="5">
        <v>0.1</v>
      </c>
      <c r="AI94" s="5">
        <v>1</v>
      </c>
      <c r="AJ94" s="5">
        <v>7</v>
      </c>
      <c r="AK94" s="5">
        <v>20</v>
      </c>
      <c r="AL94" s="5">
        <v>32</v>
      </c>
      <c r="AM94" s="5">
        <v>0.7</v>
      </c>
      <c r="AN94" s="5">
        <v>5.4</v>
      </c>
      <c r="AO94" s="5">
        <v>0.2</v>
      </c>
      <c r="AP94" s="5">
        <v>2</v>
      </c>
      <c r="AQ94" s="5">
        <v>6</v>
      </c>
      <c r="AR94" s="5">
        <v>150</v>
      </c>
      <c r="AS94" s="5">
        <v>0.2</v>
      </c>
      <c r="AT94" s="5">
        <v>0.02</v>
      </c>
      <c r="AU94" s="5">
        <v>1</v>
      </c>
      <c r="AV94" s="5">
        <f>IFERROR(VLOOKUP(IFERROR(VLOOKUP(D94,Mapa_Similitud!$A$2:$B$2000,2,FALSE()),D94),Hoja1!$A$2:$K$1000,2,FALSE()),IFERROR(VLOOKUP(IFERROR(VLOOKUP(D94,Mapa_Similitud!$A$2:$B$2000,2,FALSE()),D94),Omega3_Referencia!$A$2:$E$100,3,FALSE()),0))</f>
        <v>0.01</v>
      </c>
      <c r="AW94" s="3" t="str">
        <f>IFERROR(VLOOKUP(IFERROR(VLOOKUP(D94,Mapa_Similitud!$A$2:$B$2000,2,FALSE()),D94),Hoja1!$A$2:$K$1000,3,FALSE()),IFERROR(VLOOKUP(IFERROR(VLOOKUP(D94,Mapa_Similitud!$A$2:$B$2000,2,FALSE()),D94),Omega3_Referencia!$A$2:$E$100,4,FALSE()),"N/A"))</f>
        <v>ALA</v>
      </c>
      <c r="AX94" s="5">
        <f>IFERROR(VLOOKUP(IFERROR(VLOOKUP(D94,Mapa_Similitud!$A$2:$B$2000,2,FALSE()),D94),Hoja1!$A$2:$K$1000,5,FALSE()),0)</f>
        <v>0</v>
      </c>
      <c r="AY94" s="5">
        <f>IFERROR(VLOOKUP(IFERROR(VLOOKUP(D94,Mapa_Similitud!$A$2:$B$2000,2,FALSE()),D94),Hoja1!$A$2:$K$1000,7,FALSE()),0)</f>
        <v>30</v>
      </c>
      <c r="AZ94" s="5">
        <f>IFERROR(VLOOKUP(IFERROR(VLOOKUP(D94,Mapa_Similitud!$A$2:$B$2000,2,FALSE()),D94),Hoja1!$A$2:$K$1000,9,FALSE()),0)</f>
        <v>0</v>
      </c>
      <c r="BA94" s="25">
        <f t="shared" si="29"/>
        <v>3.1496062992125984E-2</v>
      </c>
      <c r="BB94" s="25">
        <f t="shared" si="30"/>
        <v>7.0866141732283464E-2</v>
      </c>
      <c r="BC94" s="25">
        <f t="shared" si="31"/>
        <v>0.52493438320209973</v>
      </c>
      <c r="BD94" s="25">
        <f t="shared" si="32"/>
        <v>1.8372703412073491E-2</v>
      </c>
      <c r="BE94" s="25">
        <f t="shared" si="33"/>
        <v>0.15748031496062992</v>
      </c>
      <c r="BF94" s="25">
        <f t="shared" si="34"/>
        <v>4</v>
      </c>
      <c r="BG94" s="25">
        <f t="shared" si="35"/>
        <v>0.625</v>
      </c>
      <c r="BH94" s="25">
        <f t="shared" si="36"/>
        <v>0.14285714285714288</v>
      </c>
      <c r="BI94" s="25">
        <f t="shared" si="37"/>
        <v>0.04</v>
      </c>
      <c r="BJ94" s="25">
        <f t="shared" si="38"/>
        <v>0.24074074074074073</v>
      </c>
      <c r="BK94" s="25">
        <f t="shared" si="39"/>
        <v>0.5</v>
      </c>
      <c r="BL94" s="25">
        <f t="shared" si="40"/>
        <v>0.1653543307086614</v>
      </c>
      <c r="BM94" s="25">
        <f t="shared" si="41"/>
        <v>5.2493438320209973E-2</v>
      </c>
      <c r="BN94" s="18" t="str">
        <f t="shared" si="47"/>
        <v>Baja fuente de proteína</v>
      </c>
      <c r="BO94" s="18" t="str">
        <f t="shared" si="48"/>
        <v>Alta fuente de fibra</v>
      </c>
      <c r="BP94" s="18" t="str">
        <f t="shared" si="49"/>
        <v>Baja fuente de calcio</v>
      </c>
      <c r="BQ94" s="18" t="str">
        <f t="shared" si="50"/>
        <v>Alta fuente de hierro</v>
      </c>
      <c r="BR94" s="18" t="str">
        <f t="shared" si="51"/>
        <v>Bajo en sodio</v>
      </c>
      <c r="BS94" s="6" t="str">
        <f t="shared" si="42"/>
        <v>Altamente antiinflamatorio</v>
      </c>
      <c r="BT94" s="6" t="str">
        <f t="shared" si="43"/>
        <v>Bajo en grasas</v>
      </c>
      <c r="BU94" s="18" t="str">
        <f t="shared" si="52"/>
        <v>Equilibrio de líquidos ideal</v>
      </c>
      <c r="BV94" s="18" t="str">
        <f t="shared" si="53"/>
        <v>Baja fuente de magnesio</v>
      </c>
      <c r="BW94" s="18" t="str">
        <f t="shared" si="54"/>
        <v>Sin aporte de Omega 3</v>
      </c>
      <c r="BX94" s="18" t="str">
        <f t="shared" si="55"/>
        <v>Libre de grasas trans</v>
      </c>
      <c r="BY94" s="18" t="str">
        <f t="shared" si="56"/>
        <v>Medio poder antioxidante</v>
      </c>
      <c r="BZ94" s="6" t="str">
        <f t="shared" si="44"/>
        <v>Sin probióticos</v>
      </c>
      <c r="CA94" s="18" t="str">
        <f t="shared" si="57"/>
        <v>Poco inflamatorio</v>
      </c>
      <c r="CB94" s="18" t="str">
        <f>IF(ISNUMBER(SEARCH("miel", D94)), "No irritante (Uso condicionado SII)", IF(OR(J94&gt;0, ISNUMBER(SEARCH("cacao", D94)), ISNUMBER(SEARCH("chocolate puro", D94))), "Altamente irritante", IF(OR(AND(O94&gt;15, BI94&gt;1), ISNUMBER(SEARCH("chocolate", D94))), "Moderadamente irritante", "No irritante")))</f>
        <v>No irritante</v>
      </c>
      <c r="CC94" s="6" t="str">
        <f t="shared" si="45"/>
        <v>Exceso relativo de Omega 6</v>
      </c>
    </row>
    <row r="95" spans="1:81" ht="15" customHeight="1" x14ac:dyDescent="0.3">
      <c r="A95" s="2">
        <f t="shared" si="46"/>
        <v>94</v>
      </c>
      <c r="B95" s="3" t="s">
        <v>161</v>
      </c>
      <c r="C95" s="3" t="s">
        <v>194</v>
      </c>
      <c r="D95" s="3" t="s">
        <v>195</v>
      </c>
      <c r="E95" s="3"/>
      <c r="F95" s="4">
        <v>0.5</v>
      </c>
      <c r="G95" s="5">
        <v>0.88</v>
      </c>
      <c r="H95" s="5">
        <v>29.8</v>
      </c>
      <c r="I95" s="5">
        <v>92.2</v>
      </c>
      <c r="J95" s="5">
        <v>0</v>
      </c>
      <c r="K95" s="5">
        <v>1.9</v>
      </c>
      <c r="L95" s="5">
        <v>4.5</v>
      </c>
      <c r="M95" s="5">
        <v>3.5</v>
      </c>
      <c r="N95" s="5">
        <v>1</v>
      </c>
      <c r="O95" s="5">
        <v>0</v>
      </c>
      <c r="P95" s="5">
        <v>1.2</v>
      </c>
      <c r="Q95" s="5">
        <v>0.2</v>
      </c>
      <c r="R95" s="5">
        <v>0.03</v>
      </c>
      <c r="S95" s="5">
        <v>0.04</v>
      </c>
      <c r="T95" s="5">
        <v>7.0000000000000007E-2</v>
      </c>
      <c r="U95" s="5">
        <v>0</v>
      </c>
      <c r="V95" s="5">
        <v>227</v>
      </c>
      <c r="W95" s="5">
        <v>0</v>
      </c>
      <c r="X95" s="5">
        <v>1360</v>
      </c>
      <c r="Y95" s="5">
        <v>0</v>
      </c>
      <c r="Z95" s="5">
        <v>0.03</v>
      </c>
      <c r="AA95" s="5">
        <v>200</v>
      </c>
      <c r="AB95" s="5">
        <v>0.05</v>
      </c>
      <c r="AC95" s="5">
        <v>0.05</v>
      </c>
      <c r="AD95" s="5">
        <v>1.1000000000000001</v>
      </c>
      <c r="AE95" s="5">
        <v>0.11</v>
      </c>
      <c r="AF95" s="5">
        <v>128</v>
      </c>
      <c r="AG95" s="5">
        <v>0</v>
      </c>
      <c r="AH95" s="5">
        <v>0.17</v>
      </c>
      <c r="AI95" s="5">
        <v>0</v>
      </c>
      <c r="AJ95" s="5">
        <v>18.899999999999999</v>
      </c>
      <c r="AK95" s="5">
        <v>105</v>
      </c>
      <c r="AL95" s="5">
        <v>40</v>
      </c>
      <c r="AM95" s="5">
        <v>3.3</v>
      </c>
      <c r="AN95" s="5">
        <v>39.1</v>
      </c>
      <c r="AO95" s="5">
        <v>0.03</v>
      </c>
      <c r="AP95" s="5">
        <v>76</v>
      </c>
      <c r="AQ95" s="5">
        <v>150</v>
      </c>
      <c r="AR95" s="5">
        <v>380</v>
      </c>
      <c r="AS95" s="5">
        <v>0.37</v>
      </c>
      <c r="AT95" s="5">
        <v>7.6999999999999999E-2</v>
      </c>
      <c r="AU95" s="5">
        <v>0.9</v>
      </c>
      <c r="AV95" s="5">
        <f>IFERROR(VLOOKUP(IFERROR(VLOOKUP(D95,Mapa_Similitud!$A$2:$B$2000,2,FALSE()),D95),Hoja1!$A$2:$K$1000,2,FALSE()),IFERROR(VLOOKUP(IFERROR(VLOOKUP(D95,Mapa_Similitud!$A$2:$B$2000,2,FALSE()),D95),Omega3_Referencia!$A$2:$E$100,3,FALSE()),0))</f>
        <v>0.01</v>
      </c>
      <c r="AW95" s="3" t="str">
        <f>IFERROR(VLOOKUP(IFERROR(VLOOKUP(D95,Mapa_Similitud!$A$2:$B$2000,2,FALSE()),D95),Hoja1!$A$2:$K$1000,3,FALSE()),IFERROR(VLOOKUP(IFERROR(VLOOKUP(D95,Mapa_Similitud!$A$2:$B$2000,2,FALSE()),D95),Omega3_Referencia!$A$2:$E$100,4,FALSE()),"N/A"))</f>
        <v>ALA</v>
      </c>
      <c r="AX95" s="5">
        <f>IFERROR(VLOOKUP(IFERROR(VLOOKUP(D95,Mapa_Similitud!$A$2:$B$2000,2,FALSE()),D95),Hoja1!$A$2:$K$1000,5,FALSE()),0)</f>
        <v>0</v>
      </c>
      <c r="AY95" s="5">
        <f>IFERROR(VLOOKUP(IFERROR(VLOOKUP(D95,Mapa_Similitud!$A$2:$B$2000,2,FALSE()),D95),Hoja1!$A$2:$K$1000,7,FALSE()),0)</f>
        <v>33.5</v>
      </c>
      <c r="AZ95" s="5">
        <f>IFERROR(VLOOKUP(IFERROR(VLOOKUP(D95,Mapa_Similitud!$A$2:$B$2000,2,FALSE()),D95),Hoja1!$A$2:$K$1000,9,FALSE()),0)</f>
        <v>0</v>
      </c>
      <c r="BA95" s="25">
        <f t="shared" si="29"/>
        <v>6.3758389261744958E-2</v>
      </c>
      <c r="BB95" s="25">
        <f t="shared" si="30"/>
        <v>4.0268456375838924E-2</v>
      </c>
      <c r="BC95" s="25">
        <f t="shared" si="31"/>
        <v>3.523489932885906</v>
      </c>
      <c r="BD95" s="25">
        <f t="shared" si="32"/>
        <v>0.11073825503355704</v>
      </c>
      <c r="BE95" s="25">
        <f t="shared" si="33"/>
        <v>5.0335570469798654</v>
      </c>
      <c r="BF95" s="25">
        <f t="shared" si="34"/>
        <v>2.3333333333333335</v>
      </c>
      <c r="BG95" s="25">
        <f t="shared" si="35"/>
        <v>2.625</v>
      </c>
      <c r="BH95" s="25">
        <f t="shared" si="36"/>
        <v>0.15</v>
      </c>
      <c r="BI95" s="25">
        <f t="shared" si="37"/>
        <v>0.39473684210526316</v>
      </c>
      <c r="BJ95" s="25">
        <f t="shared" si="38"/>
        <v>0.22222222222222221</v>
      </c>
      <c r="BK95" s="25">
        <f t="shared" si="39"/>
        <v>0.26666666666666666</v>
      </c>
      <c r="BL95" s="25">
        <f t="shared" si="40"/>
        <v>6.0402684563758392E-2</v>
      </c>
      <c r="BM95" s="25">
        <f t="shared" si="41"/>
        <v>2.5503355704697985</v>
      </c>
      <c r="BN95" s="18" t="str">
        <f t="shared" si="47"/>
        <v>Baja fuente de proteína</v>
      </c>
      <c r="BO95" s="18" t="str">
        <f t="shared" si="48"/>
        <v>Alta fuente de fibra</v>
      </c>
      <c r="BP95" s="18" t="str">
        <f t="shared" si="49"/>
        <v>Alta fuente de calcio</v>
      </c>
      <c r="BQ95" s="18" t="str">
        <f t="shared" si="50"/>
        <v>Alta fuente de hierro</v>
      </c>
      <c r="BR95" s="18" t="str">
        <f t="shared" si="51"/>
        <v>Muy alto en sodio</v>
      </c>
      <c r="BS95" s="6" t="str">
        <f t="shared" si="42"/>
        <v>Altamente antiinflamatorio</v>
      </c>
      <c r="BT95" s="6" t="str">
        <f t="shared" si="43"/>
        <v>Bajo en grasas</v>
      </c>
      <c r="BU95" s="18" t="str">
        <f t="shared" si="52"/>
        <v>Equilibrio de líquidos ideal</v>
      </c>
      <c r="BV95" s="18" t="str">
        <f t="shared" si="53"/>
        <v>Alta fuente de magnesio</v>
      </c>
      <c r="BW95" s="18" t="str">
        <f t="shared" si="54"/>
        <v>Sin aporte de Omega 3</v>
      </c>
      <c r="BX95" s="18" t="str">
        <f t="shared" si="55"/>
        <v>Libre de grasas trans</v>
      </c>
      <c r="BY95" s="18" t="str">
        <f t="shared" si="56"/>
        <v>Medio poder antioxidante</v>
      </c>
      <c r="BZ95" s="6" t="str">
        <f t="shared" si="44"/>
        <v>Sin probióticos</v>
      </c>
      <c r="CA95" s="18" t="str">
        <f t="shared" si="57"/>
        <v>Poco inflamatorio</v>
      </c>
      <c r="CB95" s="18" t="str">
        <f>IF(ISNUMBER(SEARCH("miel", D95)), "No irritante (Uso condicionado SII)", IF(OR(J95&gt;0, ISNUMBER(SEARCH("cacao", D95)), ISNUMBER(SEARCH("chocolate puro", D95))), "Altamente irritante", IF(OR(AND(O95&gt;15, BI95&gt;1), ISNUMBER(SEARCH("chocolate", D95))), "Moderadamente irritante", "No irritante")))</f>
        <v>No irritante</v>
      </c>
      <c r="CC95" s="6" t="str">
        <f t="shared" si="45"/>
        <v>Exceso relativo de Omega 6</v>
      </c>
    </row>
    <row r="96" spans="1:81" ht="15" customHeight="1" x14ac:dyDescent="0.3">
      <c r="A96" s="2">
        <f t="shared" si="46"/>
        <v>95</v>
      </c>
      <c r="B96" s="3" t="s">
        <v>161</v>
      </c>
      <c r="C96" s="3" t="s">
        <v>194</v>
      </c>
      <c r="D96" s="3" t="s">
        <v>196</v>
      </c>
      <c r="E96" s="3"/>
      <c r="F96" s="4">
        <v>1.5</v>
      </c>
      <c r="G96" s="5">
        <v>0.79</v>
      </c>
      <c r="H96" s="5">
        <v>119</v>
      </c>
      <c r="I96" s="5">
        <v>70</v>
      </c>
      <c r="J96" s="5">
        <v>0</v>
      </c>
      <c r="K96" s="5">
        <v>4.3</v>
      </c>
      <c r="L96" s="5">
        <v>24.3</v>
      </c>
      <c r="M96" s="5">
        <v>21.8</v>
      </c>
      <c r="N96" s="5">
        <v>2.2000000000000002</v>
      </c>
      <c r="O96" s="5">
        <v>0</v>
      </c>
      <c r="P96" s="5">
        <v>1.2</v>
      </c>
      <c r="Q96" s="5">
        <v>0.23</v>
      </c>
      <c r="R96" s="5">
        <v>0.05</v>
      </c>
      <c r="S96" s="5">
        <v>0.03</v>
      </c>
      <c r="T96" s="5">
        <v>0.1</v>
      </c>
      <c r="U96" s="5">
        <v>0</v>
      </c>
      <c r="V96" s="5">
        <v>0</v>
      </c>
      <c r="W96" s="5">
        <v>0</v>
      </c>
      <c r="X96" s="5">
        <v>5</v>
      </c>
      <c r="Y96" s="5">
        <v>0</v>
      </c>
      <c r="Z96" s="5">
        <v>1.0999999999999999E-2</v>
      </c>
      <c r="AA96" s="5">
        <v>1.4</v>
      </c>
      <c r="AB96" s="5">
        <v>0.16</v>
      </c>
      <c r="AC96" s="5">
        <v>0.02</v>
      </c>
      <c r="AD96" s="5">
        <v>1</v>
      </c>
      <c r="AE96" s="5">
        <v>0.32</v>
      </c>
      <c r="AF96" s="5">
        <v>4.8</v>
      </c>
      <c r="AG96" s="5">
        <v>0</v>
      </c>
      <c r="AH96" s="5">
        <v>0.6</v>
      </c>
      <c r="AI96" s="5">
        <v>0</v>
      </c>
      <c r="AJ96" s="5">
        <v>14</v>
      </c>
      <c r="AK96" s="5">
        <v>17.8</v>
      </c>
      <c r="AL96" s="5">
        <v>134</v>
      </c>
      <c r="AM96" s="5">
        <v>1.2</v>
      </c>
      <c r="AN96" s="5">
        <v>4.7</v>
      </c>
      <c r="AO96" s="5">
        <v>1.1000000000000001</v>
      </c>
      <c r="AP96" s="5">
        <v>24.1</v>
      </c>
      <c r="AQ96" s="5">
        <v>19</v>
      </c>
      <c r="AR96" s="5">
        <v>446</v>
      </c>
      <c r="AS96" s="5">
        <v>0.46</v>
      </c>
      <c r="AT96" s="5">
        <v>0.15</v>
      </c>
      <c r="AU96" s="5">
        <v>2</v>
      </c>
      <c r="AV96" s="5">
        <f>IFERROR(VLOOKUP(IFERROR(VLOOKUP(D96,Mapa_Similitud!$A$2:$B$2000,2,FALSE()),D96),Hoja1!$A$2:$K$1000,2,FALSE()),IFERROR(VLOOKUP(IFERROR(VLOOKUP(D96,Mapa_Similitud!$A$2:$B$2000,2,FALSE()),D96),Omega3_Referencia!$A$2:$E$100,3,FALSE()),0))</f>
        <v>0.02</v>
      </c>
      <c r="AW96" s="3" t="str">
        <f>IFERROR(VLOOKUP(IFERROR(VLOOKUP(D96,Mapa_Similitud!$A$2:$B$2000,2,FALSE()),D96),Hoja1!$A$2:$K$1000,3,FALSE()),IFERROR(VLOOKUP(IFERROR(VLOOKUP(D96,Mapa_Similitud!$A$2:$B$2000,2,FALSE()),D96),Omega3_Referencia!$A$2:$E$100,4,FALSE()),"N/A"))</f>
        <v>ALA</v>
      </c>
      <c r="AX96" s="5">
        <f>IFERROR(VLOOKUP(IFERROR(VLOOKUP(D96,Mapa_Similitud!$A$2:$B$2000,2,FALSE()),D96),Hoja1!$A$2:$K$1000,5,FALSE()),0)</f>
        <v>0</v>
      </c>
      <c r="AY96" s="5">
        <f>IFERROR(VLOOKUP(IFERROR(VLOOKUP(D96,Mapa_Similitud!$A$2:$B$2000,2,FALSE()),D96),Hoja1!$A$2:$K$1000,7,FALSE()),0)</f>
        <v>143</v>
      </c>
      <c r="AZ96" s="5">
        <f>IFERROR(VLOOKUP(IFERROR(VLOOKUP(D96,Mapa_Similitud!$A$2:$B$2000,2,FALSE()),D96),Hoja1!$A$2:$K$1000,9,FALSE()),0)</f>
        <v>0</v>
      </c>
      <c r="BA96" s="25">
        <f t="shared" si="29"/>
        <v>3.6134453781512602E-2</v>
      </c>
      <c r="BB96" s="25">
        <f t="shared" si="30"/>
        <v>1.0084033613445377E-2</v>
      </c>
      <c r="BC96" s="25">
        <f t="shared" si="31"/>
        <v>0.14957983193277311</v>
      </c>
      <c r="BD96" s="25">
        <f t="shared" si="32"/>
        <v>1.0084033613445377E-2</v>
      </c>
      <c r="BE96" s="25">
        <f t="shared" si="33"/>
        <v>0.15966386554621848</v>
      </c>
      <c r="BF96" s="25">
        <f t="shared" si="34"/>
        <v>2</v>
      </c>
      <c r="BG96" s="25">
        <f t="shared" si="35"/>
        <v>0.1328358208955224</v>
      </c>
      <c r="BH96" s="25">
        <f t="shared" si="36"/>
        <v>0.21739130434782608</v>
      </c>
      <c r="BI96" s="25">
        <f t="shared" si="37"/>
        <v>4.2600896860986545E-2</v>
      </c>
      <c r="BJ96" s="25">
        <f t="shared" si="38"/>
        <v>9.0534979423868317E-2</v>
      </c>
      <c r="BK96" s="25">
        <f t="shared" si="39"/>
        <v>4.9382716049382713E-2</v>
      </c>
      <c r="BL96" s="25">
        <f t="shared" si="40"/>
        <v>1.7394957983193279E-2</v>
      </c>
      <c r="BM96" s="25">
        <f t="shared" si="41"/>
        <v>0.20252100840336135</v>
      </c>
      <c r="BN96" s="18" t="str">
        <f t="shared" si="47"/>
        <v>Baja fuente de proteína</v>
      </c>
      <c r="BO96" s="18" t="str">
        <f t="shared" si="48"/>
        <v>Baja fuente de fibra</v>
      </c>
      <c r="BP96" s="18" t="str">
        <f t="shared" si="49"/>
        <v>Baja fuente de calcio</v>
      </c>
      <c r="BQ96" s="18" t="str">
        <f t="shared" si="50"/>
        <v>Media fuente de hierro</v>
      </c>
      <c r="BR96" s="18" t="str">
        <f t="shared" si="51"/>
        <v>Bajo en sodio</v>
      </c>
      <c r="BS96" s="6" t="str">
        <f t="shared" si="42"/>
        <v>Ligeramente antiinflamatorio</v>
      </c>
      <c r="BT96" s="6" t="str">
        <f t="shared" si="43"/>
        <v>Bajo en grasas</v>
      </c>
      <c r="BU96" s="18" t="str">
        <f t="shared" si="52"/>
        <v>Equilibrio de líquidos ideal</v>
      </c>
      <c r="BV96" s="18" t="str">
        <f t="shared" si="53"/>
        <v>Media fuente de magnesio</v>
      </c>
      <c r="BW96" s="18" t="str">
        <f t="shared" si="54"/>
        <v>Sin aporte de Omega 3</v>
      </c>
      <c r="BX96" s="18" t="str">
        <f t="shared" si="55"/>
        <v>Libre de grasas trans</v>
      </c>
      <c r="BY96" s="18" t="str">
        <f t="shared" si="56"/>
        <v>Alto poder antioxidante</v>
      </c>
      <c r="BZ96" s="6" t="str">
        <f t="shared" si="44"/>
        <v>Sin probióticos</v>
      </c>
      <c r="CA96" s="18" t="str">
        <f t="shared" si="57"/>
        <v>Antiinflamatorio</v>
      </c>
      <c r="CB96" s="18" t="str">
        <f>IF(ISNUMBER(SEARCH("miel", D96)), "No irritante (Uso condicionado SII)", IF(OR(J96&gt;0, ISNUMBER(SEARCH("cacao", D96)), ISNUMBER(SEARCH("chocolate puro", D96))), "Altamente irritante", IF(OR(AND(O96&gt;15, BI96&gt;1), ISNUMBER(SEARCH("chocolate", D96))), "Moderadamente irritante", "No irritante")))</f>
        <v>No irritante</v>
      </c>
      <c r="CC96" s="6" t="str">
        <f t="shared" si="45"/>
        <v>Balance de omegas favorable</v>
      </c>
    </row>
    <row r="97" spans="1:81" ht="15" customHeight="1" x14ac:dyDescent="0.3">
      <c r="A97" s="2">
        <f t="shared" si="46"/>
        <v>96</v>
      </c>
      <c r="B97" s="3" t="s">
        <v>161</v>
      </c>
      <c r="C97" s="3" t="s">
        <v>194</v>
      </c>
      <c r="D97" s="3" t="s">
        <v>197</v>
      </c>
      <c r="E97" s="3"/>
      <c r="F97" s="4">
        <v>2</v>
      </c>
      <c r="G97" s="5">
        <v>0.48</v>
      </c>
      <c r="H97" s="5">
        <v>43.9</v>
      </c>
      <c r="I97" s="5">
        <v>83.8</v>
      </c>
      <c r="J97" s="5">
        <v>0</v>
      </c>
      <c r="K97" s="5">
        <v>2.4</v>
      </c>
      <c r="L97" s="5">
        <v>2.9</v>
      </c>
      <c r="M97" s="5">
        <v>0</v>
      </c>
      <c r="N97" s="5">
        <v>2.9</v>
      </c>
      <c r="O97" s="5">
        <v>0</v>
      </c>
      <c r="P97" s="5">
        <v>10.8</v>
      </c>
      <c r="Q97" s="5">
        <v>0.12</v>
      </c>
      <c r="R97" s="5">
        <v>2.8000000000000001E-2</v>
      </c>
      <c r="S97" s="5">
        <v>4.0000000000000001E-3</v>
      </c>
      <c r="T97" s="5">
        <v>0.05</v>
      </c>
      <c r="U97" s="5">
        <v>0</v>
      </c>
      <c r="V97" s="5">
        <v>7.8</v>
      </c>
      <c r="W97" s="5">
        <v>0</v>
      </c>
      <c r="X97" s="5">
        <v>47</v>
      </c>
      <c r="Y97" s="5">
        <v>0</v>
      </c>
      <c r="Z97" s="5">
        <v>0.19</v>
      </c>
      <c r="AA97" s="5">
        <v>14</v>
      </c>
      <c r="AB97" s="5">
        <v>0.14000000000000001</v>
      </c>
      <c r="AC97" s="5">
        <v>0.12</v>
      </c>
      <c r="AD97" s="5">
        <v>0.9</v>
      </c>
      <c r="AE97" s="5">
        <v>0.09</v>
      </c>
      <c r="AF97" s="5">
        <v>47</v>
      </c>
      <c r="AG97" s="5">
        <v>0</v>
      </c>
      <c r="AH97" s="5">
        <v>0.34</v>
      </c>
      <c r="AI97" s="5">
        <v>0</v>
      </c>
      <c r="AJ97" s="5">
        <v>7.6</v>
      </c>
      <c r="AK97" s="5">
        <v>53</v>
      </c>
      <c r="AL97" s="5">
        <v>130</v>
      </c>
      <c r="AM97" s="5">
        <v>1.5</v>
      </c>
      <c r="AN97" s="5">
        <v>1</v>
      </c>
      <c r="AO97" s="5">
        <v>0.1</v>
      </c>
      <c r="AP97" s="5">
        <v>26</v>
      </c>
      <c r="AQ97" s="5">
        <v>47</v>
      </c>
      <c r="AR97" s="5">
        <v>353</v>
      </c>
      <c r="AS97" s="5">
        <v>0.38</v>
      </c>
      <c r="AT97" s="5">
        <v>0.32</v>
      </c>
      <c r="AU97" s="5">
        <v>0.7</v>
      </c>
      <c r="AV97" s="5">
        <f>IFERROR(VLOOKUP(IFERROR(VLOOKUP(D97,Mapa_Similitud!$A$2:$B$2000,2,FALSE()),D97),Hoja1!$A$2:$K$1000,2,FALSE()),IFERROR(VLOOKUP(IFERROR(VLOOKUP(D97,Mapa_Similitud!$A$2:$B$2000,2,FALSE()),D97),Omega3_Referencia!$A$2:$E$100,3,FALSE()),0))</f>
        <v>0.01</v>
      </c>
      <c r="AW97" s="3" t="str">
        <f>IFERROR(VLOOKUP(IFERROR(VLOOKUP(D97,Mapa_Similitud!$A$2:$B$2000,2,FALSE()),D97),Hoja1!$A$2:$K$1000,3,FALSE()),IFERROR(VLOOKUP(IFERROR(VLOOKUP(D97,Mapa_Similitud!$A$2:$B$2000,2,FALSE()),D97),Omega3_Referencia!$A$2:$E$100,4,FALSE()),"N/A"))</f>
        <v>ALA</v>
      </c>
      <c r="AX97" s="5">
        <f>IFERROR(VLOOKUP(IFERROR(VLOOKUP(D97,Mapa_Similitud!$A$2:$B$2000,2,FALSE()),D97),Hoja1!$A$2:$K$1000,5,FALSE()),0)</f>
        <v>0</v>
      </c>
      <c r="AY97" s="5">
        <f>IFERROR(VLOOKUP(IFERROR(VLOOKUP(D97,Mapa_Similitud!$A$2:$B$2000,2,FALSE()),D97),Hoja1!$A$2:$K$1000,7,FALSE()),0)</f>
        <v>320</v>
      </c>
      <c r="AZ97" s="5">
        <f>IFERROR(VLOOKUP(IFERROR(VLOOKUP(D97,Mapa_Similitud!$A$2:$B$2000,2,FALSE()),D97),Hoja1!$A$2:$K$1000,9,FALSE()),0)</f>
        <v>0</v>
      </c>
      <c r="BA97" s="25">
        <f t="shared" si="29"/>
        <v>5.4669703872437359E-2</v>
      </c>
      <c r="BB97" s="25">
        <f t="shared" si="30"/>
        <v>0.24601366742596814</v>
      </c>
      <c r="BC97" s="25">
        <f t="shared" si="31"/>
        <v>1.2072892938496584</v>
      </c>
      <c r="BD97" s="25">
        <f t="shared" si="32"/>
        <v>3.4168564920273349E-2</v>
      </c>
      <c r="BE97" s="25">
        <f t="shared" si="33"/>
        <v>1.070615034168565</v>
      </c>
      <c r="BF97" s="25">
        <f t="shared" si="34"/>
        <v>1.7857142857142858</v>
      </c>
      <c r="BG97" s="25">
        <f t="shared" si="35"/>
        <v>0.40769230769230769</v>
      </c>
      <c r="BH97" s="25">
        <f t="shared" si="36"/>
        <v>0.23333333333333334</v>
      </c>
      <c r="BI97" s="25">
        <f t="shared" si="37"/>
        <v>0.13314447592067988</v>
      </c>
      <c r="BJ97" s="25">
        <f t="shared" si="38"/>
        <v>1</v>
      </c>
      <c r="BK97" s="25">
        <f t="shared" si="39"/>
        <v>3.7241379310344831</v>
      </c>
      <c r="BL97" s="25">
        <f t="shared" si="40"/>
        <v>2.4601366742596813E-2</v>
      </c>
      <c r="BM97" s="25">
        <f t="shared" si="41"/>
        <v>0.59225512528473812</v>
      </c>
      <c r="BN97" s="18" t="str">
        <f t="shared" si="47"/>
        <v>Baja fuente de proteína</v>
      </c>
      <c r="BO97" s="18" t="str">
        <f t="shared" si="48"/>
        <v>Alta fuente de fibra</v>
      </c>
      <c r="BP97" s="18" t="str">
        <f t="shared" si="49"/>
        <v>Media fuente de calcio</v>
      </c>
      <c r="BQ97" s="18" t="str">
        <f t="shared" si="50"/>
        <v>Alta fuente de hierro</v>
      </c>
      <c r="BR97" s="18" t="str">
        <f t="shared" si="51"/>
        <v>Alto en sodio</v>
      </c>
      <c r="BS97" s="6" t="str">
        <f t="shared" si="42"/>
        <v>Ligeramente antiinflamatorio</v>
      </c>
      <c r="BT97" s="6" t="str">
        <f t="shared" si="43"/>
        <v>Bajo en grasas</v>
      </c>
      <c r="BU97" s="18" t="str">
        <f t="shared" si="52"/>
        <v>Equilibrio de líquidos ideal</v>
      </c>
      <c r="BV97" s="18" t="str">
        <f t="shared" si="53"/>
        <v>Alta fuente de magnesio</v>
      </c>
      <c r="BW97" s="18" t="str">
        <f t="shared" si="54"/>
        <v>Sin aporte de Omega 3</v>
      </c>
      <c r="BX97" s="18" t="str">
        <f t="shared" si="55"/>
        <v>Libre de grasas trans</v>
      </c>
      <c r="BY97" s="18" t="str">
        <f t="shared" si="56"/>
        <v>Alto poder antioxidante</v>
      </c>
      <c r="BZ97" s="6" t="str">
        <f t="shared" si="44"/>
        <v>Sin probióticos</v>
      </c>
      <c r="CA97" s="18" t="str">
        <f t="shared" si="57"/>
        <v>Antiinflamatorio</v>
      </c>
      <c r="CB97" s="18" t="str">
        <f>IF(ISNUMBER(SEARCH("miel", D97)), "No irritante (Uso condicionado SII)", IF(OR(J97&gt;0, ISNUMBER(SEARCH("cacao", D97)), ISNUMBER(SEARCH("chocolate puro", D97))), "Altamente irritante", IF(OR(AND(O97&gt;15, BI97&gt;1), ISNUMBER(SEARCH("chocolate", D97))), "Moderadamente irritante", "No irritante")))</f>
        <v>No irritante</v>
      </c>
      <c r="CC97" s="6" t="str">
        <f t="shared" si="45"/>
        <v>Balance de omegas favorable</v>
      </c>
    </row>
    <row r="98" spans="1:81" ht="15" customHeight="1" x14ac:dyDescent="0.3">
      <c r="A98" s="2">
        <f t="shared" si="46"/>
        <v>97</v>
      </c>
      <c r="B98" s="3" t="s">
        <v>161</v>
      </c>
      <c r="C98" s="3" t="s">
        <v>194</v>
      </c>
      <c r="D98" s="3" t="s">
        <v>198</v>
      </c>
      <c r="E98" s="3"/>
      <c r="F98" s="4">
        <v>0.6</v>
      </c>
      <c r="G98" s="5">
        <v>0.8</v>
      </c>
      <c r="H98" s="5">
        <v>19.399999999999999</v>
      </c>
      <c r="I98" s="5">
        <v>94.7</v>
      </c>
      <c r="J98" s="5">
        <v>0</v>
      </c>
      <c r="K98" s="5">
        <v>1.2</v>
      </c>
      <c r="L98" s="5">
        <v>2.5</v>
      </c>
      <c r="M98" s="5">
        <v>0</v>
      </c>
      <c r="N98" s="5">
        <v>2.5</v>
      </c>
      <c r="O98" s="5">
        <v>0</v>
      </c>
      <c r="P98" s="5">
        <v>1.4</v>
      </c>
      <c r="Q98" s="5">
        <v>0.2</v>
      </c>
      <c r="R98" s="5">
        <v>5.2999999999999999E-2</v>
      </c>
      <c r="S98" s="5">
        <v>0.04</v>
      </c>
      <c r="T98" s="5">
        <v>9.9000000000000005E-2</v>
      </c>
      <c r="U98" s="5">
        <v>0</v>
      </c>
      <c r="V98" s="5">
        <v>8.3000000000000007</v>
      </c>
      <c r="W98" s="5">
        <v>0</v>
      </c>
      <c r="X98" s="5">
        <v>50</v>
      </c>
      <c r="Y98" s="5">
        <v>0</v>
      </c>
      <c r="Z98" s="5">
        <v>0.2</v>
      </c>
      <c r="AA98" s="5">
        <v>12</v>
      </c>
      <c r="AB98" s="5">
        <v>4.8000000000000001E-2</v>
      </c>
      <c r="AC98" s="5">
        <v>7.5999999999999998E-2</v>
      </c>
      <c r="AD98" s="5">
        <v>0.48</v>
      </c>
      <c r="AE98" s="5">
        <v>0.09</v>
      </c>
      <c r="AF98" s="5">
        <v>16</v>
      </c>
      <c r="AG98" s="5">
        <v>0</v>
      </c>
      <c r="AH98" s="5">
        <v>0.43</v>
      </c>
      <c r="AI98" s="5">
        <v>0.1</v>
      </c>
      <c r="AJ98" s="5">
        <v>7</v>
      </c>
      <c r="AK98" s="5">
        <v>41</v>
      </c>
      <c r="AL98" s="5">
        <v>21</v>
      </c>
      <c r="AM98" s="5">
        <v>0.4</v>
      </c>
      <c r="AN98" s="5">
        <v>0.98</v>
      </c>
      <c r="AO98" s="5">
        <v>0.14000000000000001</v>
      </c>
      <c r="AP98" s="5">
        <v>12</v>
      </c>
      <c r="AQ98" s="5">
        <v>100</v>
      </c>
      <c r="AR98" s="5">
        <v>320</v>
      </c>
      <c r="AS98" s="5">
        <v>0.1</v>
      </c>
      <c r="AT98" s="5">
        <v>3.7999999999999999E-2</v>
      </c>
      <c r="AU98" s="5">
        <v>3</v>
      </c>
      <c r="AV98" s="5">
        <f>IFERROR(VLOOKUP(IFERROR(VLOOKUP(D98,Mapa_Similitud!$A$2:$B$2000,2,FALSE()),D98),Hoja1!$A$2:$K$1000,2,FALSE()),IFERROR(VLOOKUP(IFERROR(VLOOKUP(D98,Mapa_Similitud!$A$2:$B$2000,2,FALSE()),D98),Omega3_Referencia!$A$2:$E$100,3,FALSE()),0))</f>
        <v>0.01</v>
      </c>
      <c r="AW98" s="3" t="str">
        <f>IFERROR(VLOOKUP(IFERROR(VLOOKUP(D98,Mapa_Similitud!$A$2:$B$2000,2,FALSE()),D98),Hoja1!$A$2:$K$1000,3,FALSE()),IFERROR(VLOOKUP(IFERROR(VLOOKUP(D98,Mapa_Similitud!$A$2:$B$2000,2,FALSE()),D98),Omega3_Referencia!$A$2:$E$100,4,FALSE()),"N/A"))</f>
        <v>ALA</v>
      </c>
      <c r="AX98" s="5">
        <f>IFERROR(VLOOKUP(IFERROR(VLOOKUP(D98,Mapa_Similitud!$A$2:$B$2000,2,FALSE()),D98),Hoja1!$A$2:$K$1000,5,FALSE()),0)</f>
        <v>0</v>
      </c>
      <c r="AY98" s="5">
        <f>IFERROR(VLOOKUP(IFERROR(VLOOKUP(D98,Mapa_Similitud!$A$2:$B$2000,2,FALSE()),D98),Hoja1!$A$2:$K$1000,7,FALSE()),0)</f>
        <v>50</v>
      </c>
      <c r="AZ98" s="5">
        <f>IFERROR(VLOOKUP(IFERROR(VLOOKUP(D98,Mapa_Similitud!$A$2:$B$2000,2,FALSE()),D98),Hoja1!$A$2:$K$1000,9,FALSE()),0)</f>
        <v>0</v>
      </c>
      <c r="BA98" s="25">
        <f t="shared" si="29"/>
        <v>6.1855670103092786E-2</v>
      </c>
      <c r="BB98" s="25">
        <f t="shared" si="30"/>
        <v>7.2164948453608255E-2</v>
      </c>
      <c r="BC98" s="25">
        <f t="shared" si="31"/>
        <v>2.1134020618556701</v>
      </c>
      <c r="BD98" s="25">
        <f t="shared" si="32"/>
        <v>2.0618556701030931E-2</v>
      </c>
      <c r="BE98" s="25">
        <f t="shared" si="33"/>
        <v>5.1546391752577323</v>
      </c>
      <c r="BF98" s="25">
        <f t="shared" si="34"/>
        <v>1.867924528301887</v>
      </c>
      <c r="BG98" s="25">
        <f t="shared" si="35"/>
        <v>1.9523809523809523</v>
      </c>
      <c r="BH98" s="25">
        <f t="shared" si="36"/>
        <v>0.26499999999999996</v>
      </c>
      <c r="BI98" s="25">
        <f t="shared" si="37"/>
        <v>0.3125</v>
      </c>
      <c r="BJ98" s="25">
        <f t="shared" si="38"/>
        <v>1</v>
      </c>
      <c r="BK98" s="25">
        <f t="shared" si="39"/>
        <v>0.55999999999999994</v>
      </c>
      <c r="BL98" s="25">
        <f t="shared" si="40"/>
        <v>9.2783505154639179E-2</v>
      </c>
      <c r="BM98" s="25">
        <f t="shared" si="41"/>
        <v>0.61855670103092786</v>
      </c>
      <c r="BN98" s="18" t="str">
        <f t="shared" si="47"/>
        <v>Baja fuente de proteína</v>
      </c>
      <c r="BO98" s="18" t="str">
        <f t="shared" si="48"/>
        <v>Alta fuente de fibra</v>
      </c>
      <c r="BP98" s="18" t="str">
        <f t="shared" si="49"/>
        <v>Alta fuente de calcio</v>
      </c>
      <c r="BQ98" s="18" t="str">
        <f t="shared" si="50"/>
        <v>Alta fuente de hierro</v>
      </c>
      <c r="BR98" s="18" t="str">
        <f t="shared" si="51"/>
        <v>Muy alto en sodio</v>
      </c>
      <c r="BS98" s="6" t="str">
        <f t="shared" si="42"/>
        <v>Ligeramente antiinflamatorio</v>
      </c>
      <c r="BT98" s="6" t="str">
        <f t="shared" si="43"/>
        <v>Bajo en grasas</v>
      </c>
      <c r="BU98" s="18" t="str">
        <f t="shared" si="52"/>
        <v>Equilibrio de líquidos ideal</v>
      </c>
      <c r="BV98" s="18" t="str">
        <f t="shared" si="53"/>
        <v>Alta fuente de magnesio</v>
      </c>
      <c r="BW98" s="18" t="str">
        <f t="shared" si="54"/>
        <v>Sin aporte de Omega 3</v>
      </c>
      <c r="BX98" s="18" t="str">
        <f t="shared" si="55"/>
        <v>Libre de grasas trans</v>
      </c>
      <c r="BY98" s="18" t="str">
        <f t="shared" si="56"/>
        <v>Alto poder antioxidante</v>
      </c>
      <c r="BZ98" s="6" t="str">
        <f t="shared" si="44"/>
        <v>Sin probióticos</v>
      </c>
      <c r="CA98" s="18" t="str">
        <f t="shared" si="57"/>
        <v>Antiinflamatorio</v>
      </c>
      <c r="CB98" s="18" t="str">
        <f>IF(ISNUMBER(SEARCH("miel", D98)), "No irritante (Uso condicionado SII)", IF(OR(J98&gt;0, ISNUMBER(SEARCH("cacao", D98)), ISNUMBER(SEARCH("chocolate puro", D98))), "Altamente irritante", IF(OR(AND(O98&gt;15, BI98&gt;1), ISNUMBER(SEARCH("chocolate", D98))), "Moderadamente irritante", "No irritante")))</f>
        <v>No irritante</v>
      </c>
      <c r="CC98" s="6" t="str">
        <f t="shared" si="45"/>
        <v>Exceso relativo de Omega 6</v>
      </c>
    </row>
    <row r="99" spans="1:81" ht="15" customHeight="1" x14ac:dyDescent="0.3">
      <c r="A99" s="2">
        <f t="shared" si="46"/>
        <v>98</v>
      </c>
      <c r="B99" s="3" t="s">
        <v>161</v>
      </c>
      <c r="C99" s="3" t="s">
        <v>194</v>
      </c>
      <c r="D99" s="3" t="s">
        <v>199</v>
      </c>
      <c r="E99" s="3"/>
      <c r="F99" s="4">
        <v>0.8</v>
      </c>
      <c r="G99" s="5">
        <v>0.85</v>
      </c>
      <c r="H99" s="5">
        <v>21.4</v>
      </c>
      <c r="I99" s="5">
        <v>93.7</v>
      </c>
      <c r="J99" s="5">
        <v>0</v>
      </c>
      <c r="K99" s="5">
        <v>1.3</v>
      </c>
      <c r="L99" s="5">
        <v>2.4</v>
      </c>
      <c r="M99" s="5">
        <v>0.19</v>
      </c>
      <c r="N99" s="5">
        <v>2.2000000000000002</v>
      </c>
      <c r="O99" s="5">
        <v>0</v>
      </c>
      <c r="P99" s="5">
        <v>2.5</v>
      </c>
      <c r="Q99" s="5">
        <v>0.18</v>
      </c>
      <c r="R99" s="5">
        <v>3.4000000000000002E-2</v>
      </c>
      <c r="S99" s="5">
        <v>1.6E-2</v>
      </c>
      <c r="T99" s="5">
        <v>7.5999999999999998E-2</v>
      </c>
      <c r="U99" s="5">
        <v>0</v>
      </c>
      <c r="V99" s="5">
        <v>8.4</v>
      </c>
      <c r="W99" s="5">
        <v>0</v>
      </c>
      <c r="X99" s="5">
        <v>50.6</v>
      </c>
      <c r="Y99" s="5">
        <v>0</v>
      </c>
      <c r="Z99" s="5">
        <v>0.03</v>
      </c>
      <c r="AA99" s="5">
        <v>3.5</v>
      </c>
      <c r="AB99" s="5">
        <v>3.7999999999999999E-2</v>
      </c>
      <c r="AC99" s="5">
        <v>4.4999999999999998E-2</v>
      </c>
      <c r="AD99" s="5">
        <v>0.75</v>
      </c>
      <c r="AE99" s="5">
        <v>7.4999999999999997E-2</v>
      </c>
      <c r="AF99" s="5">
        <v>23.2</v>
      </c>
      <c r="AG99" s="5">
        <v>0</v>
      </c>
      <c r="AH99" s="5">
        <v>0.23</v>
      </c>
      <c r="AI99" s="5">
        <v>0</v>
      </c>
      <c r="AJ99" s="5">
        <v>5.9</v>
      </c>
      <c r="AK99" s="5">
        <v>16.399999999999999</v>
      </c>
      <c r="AL99" s="5">
        <v>21</v>
      </c>
      <c r="AM99" s="5">
        <v>0.4</v>
      </c>
      <c r="AN99" s="5">
        <v>1.4</v>
      </c>
      <c r="AO99" s="5">
        <v>0.22</v>
      </c>
      <c r="AP99" s="5">
        <v>10.8</v>
      </c>
      <c r="AQ99" s="5">
        <v>3</v>
      </c>
      <c r="AR99" s="5">
        <v>210</v>
      </c>
      <c r="AS99" s="5">
        <v>0.11</v>
      </c>
      <c r="AT99" s="5">
        <v>0.09</v>
      </c>
      <c r="AU99" s="5">
        <v>1</v>
      </c>
      <c r="AV99" s="5">
        <f>IFERROR(VLOOKUP(IFERROR(VLOOKUP(D99,Mapa_Similitud!$A$2:$B$2000,2,FALSE()),D99),Hoja1!$A$2:$K$1000,2,FALSE()),IFERROR(VLOOKUP(IFERROR(VLOOKUP(D99,Mapa_Similitud!$A$2:$B$2000,2,FALSE()),D99),Omega3_Referencia!$A$2:$E$100,3,FALSE()),0))</f>
        <v>0.01</v>
      </c>
      <c r="AW99" s="3" t="str">
        <f>IFERROR(VLOOKUP(IFERROR(VLOOKUP(D99,Mapa_Similitud!$A$2:$B$2000,2,FALSE()),D99),Hoja1!$A$2:$K$1000,3,FALSE()),IFERROR(VLOOKUP(IFERROR(VLOOKUP(D99,Mapa_Similitud!$A$2:$B$2000,2,FALSE()),D99),Omega3_Referencia!$A$2:$E$100,4,FALSE()),"N/A"))</f>
        <v>ALA</v>
      </c>
      <c r="AX99" s="5">
        <f>IFERROR(VLOOKUP(IFERROR(VLOOKUP(D99,Mapa_Similitud!$A$2:$B$2000,2,FALSE()),D99),Hoja1!$A$2:$K$1000,5,FALSE()),0)</f>
        <v>0</v>
      </c>
      <c r="AY99" s="5">
        <f>IFERROR(VLOOKUP(IFERROR(VLOOKUP(D99,Mapa_Similitud!$A$2:$B$2000,2,FALSE()),D99),Hoja1!$A$2:$K$1000,7,FALSE()),0)</f>
        <v>65</v>
      </c>
      <c r="AZ99" s="5">
        <f>IFERROR(VLOOKUP(IFERROR(VLOOKUP(D99,Mapa_Similitud!$A$2:$B$2000,2,FALSE()),D99),Hoja1!$A$2:$K$1000,9,FALSE()),0)</f>
        <v>0</v>
      </c>
      <c r="BA99" s="25">
        <f t="shared" si="29"/>
        <v>6.0747663551401876E-2</v>
      </c>
      <c r="BB99" s="25">
        <f t="shared" si="30"/>
        <v>0.11682242990654207</v>
      </c>
      <c r="BC99" s="25">
        <f t="shared" si="31"/>
        <v>0.76635514018691586</v>
      </c>
      <c r="BD99" s="25">
        <f t="shared" si="32"/>
        <v>1.8691588785046731E-2</v>
      </c>
      <c r="BE99" s="25">
        <f t="shared" si="33"/>
        <v>0.14018691588785048</v>
      </c>
      <c r="BF99" s="25">
        <f t="shared" si="34"/>
        <v>2.2352941176470584</v>
      </c>
      <c r="BG99" s="25">
        <f t="shared" si="35"/>
        <v>0.78095238095238084</v>
      </c>
      <c r="BH99" s="25">
        <f t="shared" si="36"/>
        <v>0.18888888888888891</v>
      </c>
      <c r="BI99" s="25">
        <f t="shared" si="37"/>
        <v>1.4285714285714285E-2</v>
      </c>
      <c r="BJ99" s="25">
        <f t="shared" si="38"/>
        <v>0.91666666666666674</v>
      </c>
      <c r="BK99" s="25">
        <f t="shared" si="39"/>
        <v>1.0416666666666667</v>
      </c>
      <c r="BL99" s="25">
        <f t="shared" si="40"/>
        <v>7.5700934579439258E-2</v>
      </c>
      <c r="BM99" s="25">
        <f t="shared" si="41"/>
        <v>0.50467289719626174</v>
      </c>
      <c r="BN99" s="18" t="str">
        <f t="shared" si="47"/>
        <v>Baja fuente de proteína</v>
      </c>
      <c r="BO99" s="18" t="str">
        <f t="shared" si="48"/>
        <v>Alta fuente de fibra</v>
      </c>
      <c r="BP99" s="18" t="str">
        <f t="shared" si="49"/>
        <v>Baja fuente de calcio</v>
      </c>
      <c r="BQ99" s="18" t="str">
        <f t="shared" si="50"/>
        <v>Alta fuente de hierro</v>
      </c>
      <c r="BR99" s="18" t="str">
        <f t="shared" si="51"/>
        <v>Bajo en sodio</v>
      </c>
      <c r="BS99" s="6" t="str">
        <f t="shared" si="42"/>
        <v>Altamente antiinflamatorio</v>
      </c>
      <c r="BT99" s="6" t="str">
        <f t="shared" si="43"/>
        <v>Bajo en grasas</v>
      </c>
      <c r="BU99" s="18" t="str">
        <f t="shared" si="52"/>
        <v>Equilibrio de líquidos ideal</v>
      </c>
      <c r="BV99" s="18" t="str">
        <f t="shared" si="53"/>
        <v>Alta fuente de magnesio</v>
      </c>
      <c r="BW99" s="18" t="str">
        <f t="shared" si="54"/>
        <v>Sin aporte de Omega 3</v>
      </c>
      <c r="BX99" s="18" t="str">
        <f t="shared" si="55"/>
        <v>Libre de grasas trans</v>
      </c>
      <c r="BY99" s="18" t="str">
        <f t="shared" si="56"/>
        <v>Alto poder antioxidante</v>
      </c>
      <c r="BZ99" s="6" t="str">
        <f t="shared" si="44"/>
        <v>Sin probióticos</v>
      </c>
      <c r="CA99" s="18" t="str">
        <f t="shared" si="57"/>
        <v>Antiinflamatorio</v>
      </c>
      <c r="CB99" s="18" t="str">
        <f>IF(ISNUMBER(SEARCH("miel", D99)), "No irritante (Uso condicionado SII)", IF(OR(J99&gt;0, ISNUMBER(SEARCH("cacao", D99)), ISNUMBER(SEARCH("chocolate puro", D99))), "Altamente irritante", IF(OR(AND(O99&gt;15, BI99&gt;1), ISNUMBER(SEARCH("chocolate", D99))), "Moderadamente irritante", "No irritante")))</f>
        <v>No irritante</v>
      </c>
      <c r="CC99" s="6" t="str">
        <f t="shared" si="45"/>
        <v>Exceso relativo de Omega 6</v>
      </c>
    </row>
    <row r="100" spans="1:81" ht="15" customHeight="1" x14ac:dyDescent="0.3">
      <c r="A100" s="2">
        <f t="shared" si="46"/>
        <v>99</v>
      </c>
      <c r="B100" s="3" t="s">
        <v>161</v>
      </c>
      <c r="C100" s="3" t="s">
        <v>194</v>
      </c>
      <c r="D100" s="3" t="s">
        <v>200</v>
      </c>
      <c r="E100" s="3"/>
      <c r="F100" s="4">
        <v>1</v>
      </c>
      <c r="G100" s="5">
        <v>0.62</v>
      </c>
      <c r="H100" s="5">
        <v>20.100000000000001</v>
      </c>
      <c r="I100" s="5">
        <v>94.6</v>
      </c>
      <c r="J100" s="5">
        <v>0</v>
      </c>
      <c r="K100" s="5">
        <v>1.6</v>
      </c>
      <c r="L100" s="5">
        <v>2</v>
      </c>
      <c r="M100" s="5">
        <v>0</v>
      </c>
      <c r="N100" s="5">
        <v>2</v>
      </c>
      <c r="O100" s="5">
        <v>0</v>
      </c>
      <c r="P100" s="5">
        <v>1.5</v>
      </c>
      <c r="Q100" s="5">
        <v>0.3</v>
      </c>
      <c r="R100" s="5">
        <v>8.1000000000000003E-2</v>
      </c>
      <c r="S100" s="5">
        <v>2.4E-2</v>
      </c>
      <c r="T100" s="5">
        <v>0.11</v>
      </c>
      <c r="U100" s="5">
        <v>0</v>
      </c>
      <c r="V100" s="5">
        <v>987</v>
      </c>
      <c r="W100" s="5">
        <v>0</v>
      </c>
      <c r="X100" s="5">
        <v>5919</v>
      </c>
      <c r="Y100" s="5">
        <v>0</v>
      </c>
      <c r="Z100" s="5">
        <v>1.5</v>
      </c>
      <c r="AA100" s="5">
        <v>542</v>
      </c>
      <c r="AB100" s="5">
        <v>8.5000000000000006E-2</v>
      </c>
      <c r="AC100" s="5">
        <v>0.17</v>
      </c>
      <c r="AD100" s="5">
        <v>0.73</v>
      </c>
      <c r="AE100" s="5">
        <v>0.23</v>
      </c>
      <c r="AF100" s="5">
        <v>214</v>
      </c>
      <c r="AG100" s="5">
        <v>0</v>
      </c>
      <c r="AH100" s="5">
        <v>0.31</v>
      </c>
      <c r="AI100" s="5">
        <v>0.4</v>
      </c>
      <c r="AJ100" s="5">
        <v>96</v>
      </c>
      <c r="AK100" s="5">
        <v>180</v>
      </c>
      <c r="AL100" s="5">
        <v>64</v>
      </c>
      <c r="AM100" s="5">
        <v>3.1</v>
      </c>
      <c r="AN100" s="5">
        <v>12</v>
      </c>
      <c r="AO100" s="5">
        <v>0.7</v>
      </c>
      <c r="AP100" s="5">
        <v>34</v>
      </c>
      <c r="AQ100" s="5">
        <v>12</v>
      </c>
      <c r="AR100" s="5">
        <v>276</v>
      </c>
      <c r="AS100" s="5">
        <v>0.6</v>
      </c>
      <c r="AT100" s="5">
        <v>0.01</v>
      </c>
      <c r="AU100" s="5">
        <v>0.9</v>
      </c>
      <c r="AV100" s="5">
        <f>IFERROR(VLOOKUP(IFERROR(VLOOKUP(D100,Mapa_Similitud!$A$2:$B$2000,2,FALSE()),D100),Hoja1!$A$2:$K$1000,2,FALSE()),IFERROR(VLOOKUP(IFERROR(VLOOKUP(D100,Mapa_Similitud!$A$2:$B$2000,2,FALSE()),D100),Omega3_Referencia!$A$2:$E$100,3,FALSE()),0))</f>
        <v>0.01</v>
      </c>
      <c r="AW100" s="3" t="str">
        <f>IFERROR(VLOOKUP(IFERROR(VLOOKUP(D100,Mapa_Similitud!$A$2:$B$2000,2,FALSE()),D100),Hoja1!$A$2:$K$1000,3,FALSE()),IFERROR(VLOOKUP(IFERROR(VLOOKUP(D100,Mapa_Similitud!$A$2:$B$2000,2,FALSE()),D100),Omega3_Referencia!$A$2:$E$100,4,FALSE()),"N/A"))</f>
        <v>ALA</v>
      </c>
      <c r="AX100" s="5">
        <f>IFERROR(VLOOKUP(IFERROR(VLOOKUP(D100,Mapa_Similitud!$A$2:$B$2000,2,FALSE()),D100),Hoja1!$A$2:$K$1000,5,FALSE()),0)</f>
        <v>0</v>
      </c>
      <c r="AY100" s="5">
        <f>IFERROR(VLOOKUP(IFERROR(VLOOKUP(D100,Mapa_Similitud!$A$2:$B$2000,2,FALSE()),D100),Hoja1!$A$2:$K$1000,7,FALSE()),0)</f>
        <v>45</v>
      </c>
      <c r="AZ100" s="5">
        <f>IFERROR(VLOOKUP(IFERROR(VLOOKUP(D100,Mapa_Similitud!$A$2:$B$2000,2,FALSE()),D100),Hoja1!$A$2:$K$1000,9,FALSE()),0)</f>
        <v>0</v>
      </c>
      <c r="BA100" s="25">
        <f t="shared" si="29"/>
        <v>7.9601990049751242E-2</v>
      </c>
      <c r="BB100" s="25">
        <f t="shared" si="30"/>
        <v>7.4626865671641784E-2</v>
      </c>
      <c r="BC100" s="25">
        <f t="shared" si="31"/>
        <v>8.9552238805970141</v>
      </c>
      <c r="BD100" s="25">
        <f t="shared" si="32"/>
        <v>0.15422885572139303</v>
      </c>
      <c r="BE100" s="25">
        <f t="shared" si="33"/>
        <v>0.59701492537313428</v>
      </c>
      <c r="BF100" s="25">
        <f t="shared" si="34"/>
        <v>1.3580246913580247</v>
      </c>
      <c r="BG100" s="25">
        <f t="shared" si="35"/>
        <v>2.8125</v>
      </c>
      <c r="BH100" s="25">
        <f t="shared" si="36"/>
        <v>0.27</v>
      </c>
      <c r="BI100" s="25">
        <f t="shared" si="37"/>
        <v>4.3478260869565216E-2</v>
      </c>
      <c r="BJ100" s="25">
        <f t="shared" si="38"/>
        <v>1</v>
      </c>
      <c r="BK100" s="25">
        <f t="shared" si="39"/>
        <v>0.75</v>
      </c>
      <c r="BL100" s="25">
        <f t="shared" si="40"/>
        <v>0.1343283582089552</v>
      </c>
      <c r="BM100" s="25">
        <f t="shared" si="41"/>
        <v>1.6915422885572138</v>
      </c>
      <c r="BN100" s="18" t="str">
        <f t="shared" si="47"/>
        <v>Baja fuente de proteína</v>
      </c>
      <c r="BO100" s="18" t="str">
        <f t="shared" si="48"/>
        <v>Alta fuente de fibra</v>
      </c>
      <c r="BP100" s="18" t="str">
        <f t="shared" si="49"/>
        <v>Alta fuente de calcio</v>
      </c>
      <c r="BQ100" s="18" t="str">
        <f t="shared" si="50"/>
        <v>Alta fuente de hierro</v>
      </c>
      <c r="BR100" s="18" t="str">
        <f t="shared" si="51"/>
        <v>Moderado en sodio</v>
      </c>
      <c r="BS100" s="6" t="str">
        <f t="shared" si="42"/>
        <v>Ligeramente antiinflamatorio</v>
      </c>
      <c r="BT100" s="6" t="str">
        <f t="shared" si="43"/>
        <v>Bajo en grasas</v>
      </c>
      <c r="BU100" s="18" t="str">
        <f t="shared" si="52"/>
        <v>Equilibrio de líquidos ideal</v>
      </c>
      <c r="BV100" s="18" t="str">
        <f t="shared" si="53"/>
        <v>Alta fuente de magnesio</v>
      </c>
      <c r="BW100" s="18" t="str">
        <f t="shared" si="54"/>
        <v>Sin aporte de Omega 3</v>
      </c>
      <c r="BX100" s="18" t="str">
        <f t="shared" si="55"/>
        <v>Libre de grasas trans</v>
      </c>
      <c r="BY100" s="18" t="str">
        <f t="shared" si="56"/>
        <v>Medio poder antioxidante</v>
      </c>
      <c r="BZ100" s="6" t="str">
        <f t="shared" si="44"/>
        <v>Sin probióticos</v>
      </c>
      <c r="CA100" s="18" t="str">
        <f t="shared" si="57"/>
        <v>Poco inflamatorio</v>
      </c>
      <c r="CB100" s="18" t="str">
        <f>IF(ISNUMBER(SEARCH("miel", D100)), "No irritante (Uso condicionado SII)", IF(OR(J100&gt;0, ISNUMBER(SEARCH("cacao", D100)), ISNUMBER(SEARCH("chocolate puro", D100))), "Altamente irritante", IF(OR(AND(O100&gt;15, BI100&gt;1), ISNUMBER(SEARCH("chocolate", D100))), "Moderadamente irritante", "No irritante")))</f>
        <v>No irritante</v>
      </c>
      <c r="CC100" s="6" t="str">
        <f t="shared" si="45"/>
        <v>Exceso relativo de Omega 6</v>
      </c>
    </row>
    <row r="101" spans="1:81" ht="15" customHeight="1" x14ac:dyDescent="0.3">
      <c r="A101" s="2">
        <f t="shared" si="46"/>
        <v>100</v>
      </c>
      <c r="B101" s="3" t="s">
        <v>161</v>
      </c>
      <c r="C101" s="3" t="s">
        <v>194</v>
      </c>
      <c r="D101" s="3" t="s">
        <v>201</v>
      </c>
      <c r="E101" s="3"/>
      <c r="F101" s="4">
        <v>1.5</v>
      </c>
      <c r="G101" s="5">
        <v>0.8</v>
      </c>
      <c r="H101" s="5">
        <v>25.9</v>
      </c>
      <c r="I101" s="5">
        <v>94.4</v>
      </c>
      <c r="J101" s="5">
        <v>0</v>
      </c>
      <c r="K101" s="5">
        <v>1.8</v>
      </c>
      <c r="L101" s="5">
        <v>3.1</v>
      </c>
      <c r="M101" s="5">
        <v>0</v>
      </c>
      <c r="N101" s="5">
        <v>0</v>
      </c>
      <c r="O101" s="5">
        <v>0</v>
      </c>
      <c r="P101" s="5">
        <v>0</v>
      </c>
      <c r="Q101" s="5">
        <v>0.7</v>
      </c>
      <c r="R101" s="5">
        <v>0.17</v>
      </c>
      <c r="S101" s="5">
        <v>0.21</v>
      </c>
      <c r="T101" s="5">
        <v>0.11</v>
      </c>
      <c r="U101" s="5">
        <v>0</v>
      </c>
      <c r="V101" s="5">
        <v>210</v>
      </c>
      <c r="W101" s="5">
        <v>0</v>
      </c>
      <c r="X101" s="5">
        <v>35</v>
      </c>
      <c r="Y101" s="5">
        <v>13</v>
      </c>
      <c r="Z101" s="5">
        <v>0</v>
      </c>
      <c r="AA101" s="5">
        <v>0</v>
      </c>
      <c r="AB101" s="5">
        <v>0.06</v>
      </c>
      <c r="AC101" s="5">
        <v>0.15</v>
      </c>
      <c r="AD101" s="5">
        <v>0</v>
      </c>
      <c r="AE101" s="5">
        <v>8.4000000000000005E-2</v>
      </c>
      <c r="AF101" s="5">
        <v>13</v>
      </c>
      <c r="AG101" s="5">
        <v>0</v>
      </c>
      <c r="AH101" s="5">
        <v>4.1000000000000002E-2</v>
      </c>
      <c r="AI101" s="5">
        <v>0</v>
      </c>
      <c r="AJ101" s="5">
        <v>35</v>
      </c>
      <c r="AK101" s="5">
        <v>93</v>
      </c>
      <c r="AL101" s="5">
        <v>53</v>
      </c>
      <c r="AM101" s="5">
        <v>3.3</v>
      </c>
      <c r="AN101" s="5">
        <v>0</v>
      </c>
      <c r="AO101" s="5">
        <v>0.2</v>
      </c>
      <c r="AP101" s="5">
        <v>52</v>
      </c>
      <c r="AQ101" s="5">
        <v>80</v>
      </c>
      <c r="AR101" s="5">
        <v>470</v>
      </c>
      <c r="AS101" s="5">
        <v>0.35</v>
      </c>
      <c r="AT101" s="5">
        <v>0.13</v>
      </c>
      <c r="AU101" s="5">
        <v>0.9</v>
      </c>
      <c r="AV101" s="5">
        <f>IFERROR(VLOOKUP(IFERROR(VLOOKUP(D101,Mapa_Similitud!$A$2:$B$2000,2,FALSE()),D101),Hoja1!$A$2:$K$1000,2,FALSE()),IFERROR(VLOOKUP(IFERROR(VLOOKUP(D101,Mapa_Similitud!$A$2:$B$2000,2,FALSE()),D101),Omega3_Referencia!$A$2:$E$100,3,FALSE()),0))</f>
        <v>0.02</v>
      </c>
      <c r="AW101" s="3" t="str">
        <f>IFERROR(VLOOKUP(IFERROR(VLOOKUP(D101,Mapa_Similitud!$A$2:$B$2000,2,FALSE()),D101),Hoja1!$A$2:$K$1000,3,FALSE()),IFERROR(VLOOKUP(IFERROR(VLOOKUP(D101,Mapa_Similitud!$A$2:$B$2000,2,FALSE()),D101),Omega3_Referencia!$A$2:$E$100,4,FALSE()),"N/A"))</f>
        <v>ALA</v>
      </c>
      <c r="AX101" s="5">
        <f>IFERROR(VLOOKUP(IFERROR(VLOOKUP(D101,Mapa_Similitud!$A$2:$B$2000,2,FALSE()),D101),Hoja1!$A$2:$K$1000,5,FALSE()),0)</f>
        <v>0</v>
      </c>
      <c r="AY101" s="5">
        <f>IFERROR(VLOOKUP(IFERROR(VLOOKUP(D101,Mapa_Similitud!$A$2:$B$2000,2,FALSE()),D101),Hoja1!$A$2:$K$1000,7,FALSE()),0)</f>
        <v>35</v>
      </c>
      <c r="AZ101" s="5">
        <f>IFERROR(VLOOKUP(IFERROR(VLOOKUP(D101,Mapa_Similitud!$A$2:$B$2000,2,FALSE()),D101),Hoja1!$A$2:$K$1000,9,FALSE()),0)</f>
        <v>0</v>
      </c>
      <c r="BA101" s="25">
        <f t="shared" si="29"/>
        <v>6.9498069498069498E-2</v>
      </c>
      <c r="BB101" s="25">
        <f t="shared" si="30"/>
        <v>0</v>
      </c>
      <c r="BC101" s="25">
        <f t="shared" si="31"/>
        <v>3.5907335907335911</v>
      </c>
      <c r="BD101" s="25">
        <f t="shared" si="32"/>
        <v>0.12741312741312741</v>
      </c>
      <c r="BE101" s="25">
        <f t="shared" si="33"/>
        <v>3.0888030888030888</v>
      </c>
      <c r="BF101" s="25">
        <f t="shared" si="34"/>
        <v>0.64705882352941169</v>
      </c>
      <c r="BG101" s="25">
        <f t="shared" si="35"/>
        <v>1.7547169811320755</v>
      </c>
      <c r="BH101" s="25">
        <f t="shared" si="36"/>
        <v>0.24285714285714288</v>
      </c>
      <c r="BI101" s="25">
        <f t="shared" si="37"/>
        <v>0.1702127659574468</v>
      </c>
      <c r="BJ101" s="25">
        <f t="shared" si="38"/>
        <v>0</v>
      </c>
      <c r="BK101" s="25">
        <f t="shared" si="39"/>
        <v>0</v>
      </c>
      <c r="BL101" s="25">
        <f t="shared" si="40"/>
        <v>0.24324324324324326</v>
      </c>
      <c r="BM101" s="25">
        <f t="shared" si="41"/>
        <v>2.0077220077220077</v>
      </c>
      <c r="BN101" s="18" t="str">
        <f t="shared" si="47"/>
        <v>Baja fuente de proteína</v>
      </c>
      <c r="BO101" s="18" t="str">
        <f t="shared" si="48"/>
        <v>Baja fuente de fibra</v>
      </c>
      <c r="BP101" s="18" t="str">
        <f t="shared" si="49"/>
        <v>Alta fuente de calcio</v>
      </c>
      <c r="BQ101" s="18" t="str">
        <f t="shared" si="50"/>
        <v>Alta fuente de hierro</v>
      </c>
      <c r="BR101" s="18" t="str">
        <f t="shared" si="51"/>
        <v>Muy alto en sodio</v>
      </c>
      <c r="BS101" s="6" t="str">
        <f t="shared" si="42"/>
        <v>Neutro</v>
      </c>
      <c r="BT101" s="6" t="str">
        <f t="shared" si="43"/>
        <v>Moderado en grasas</v>
      </c>
      <c r="BU101" s="18" t="str">
        <f t="shared" si="52"/>
        <v>Equilibrio de líquidos ideal</v>
      </c>
      <c r="BV101" s="18" t="str">
        <f t="shared" si="53"/>
        <v>Alta fuente de magnesio</v>
      </c>
      <c r="BW101" s="18" t="str">
        <f t="shared" si="54"/>
        <v>Sin aporte de Omega 3</v>
      </c>
      <c r="BX101" s="18" t="str">
        <f t="shared" si="55"/>
        <v>Libre de grasas trans</v>
      </c>
      <c r="BY101" s="18" t="str">
        <f t="shared" si="56"/>
        <v>Medio poder antioxidante</v>
      </c>
      <c r="BZ101" s="6" t="str">
        <f t="shared" si="44"/>
        <v>Sin probióticos</v>
      </c>
      <c r="CA101" s="18" t="str">
        <f t="shared" si="57"/>
        <v>Poco inflamatorio</v>
      </c>
      <c r="CB101" s="18" t="str">
        <f>IF(ISNUMBER(SEARCH("miel", D101)), "No irritante (Uso condicionado SII)", IF(OR(J101&gt;0, ISNUMBER(SEARCH("cacao", D101)), ISNUMBER(SEARCH("chocolate puro", D101))), "Altamente irritante", IF(OR(AND(O101&gt;15, BI101&gt;1), ISNUMBER(SEARCH("chocolate", D101))), "Moderadamente irritante", "No irritante")))</f>
        <v>No irritante</v>
      </c>
      <c r="CC101" s="6" t="str">
        <f t="shared" si="45"/>
        <v>Exceso relativo de Omega 6</v>
      </c>
    </row>
    <row r="102" spans="1:81" ht="15" customHeight="1" x14ac:dyDescent="0.3">
      <c r="A102" s="2">
        <f t="shared" si="46"/>
        <v>101</v>
      </c>
      <c r="B102" s="3" t="s">
        <v>161</v>
      </c>
      <c r="C102" s="3" t="s">
        <v>194</v>
      </c>
      <c r="D102" s="3" t="s">
        <v>202</v>
      </c>
      <c r="E102" s="3" t="s">
        <v>203</v>
      </c>
      <c r="F102" s="4">
        <v>1.5</v>
      </c>
      <c r="G102" s="5">
        <v>0.61</v>
      </c>
      <c r="H102" s="5">
        <v>33</v>
      </c>
      <c r="I102" s="5">
        <v>90.6</v>
      </c>
      <c r="J102" s="5">
        <v>0</v>
      </c>
      <c r="K102" s="5">
        <v>3.6</v>
      </c>
      <c r="L102" s="5">
        <v>2.7</v>
      </c>
      <c r="M102" s="5">
        <v>0</v>
      </c>
      <c r="N102" s="5">
        <v>2.7</v>
      </c>
      <c r="O102" s="5">
        <v>0</v>
      </c>
      <c r="P102" s="5">
        <v>3</v>
      </c>
      <c r="Q102" s="5">
        <v>0.2</v>
      </c>
      <c r="R102" s="5">
        <v>3.1E-2</v>
      </c>
      <c r="S102" s="5">
        <v>1.4E-2</v>
      </c>
      <c r="T102" s="5">
        <v>9.5000000000000001E-2</v>
      </c>
      <c r="U102" s="5">
        <v>0</v>
      </c>
      <c r="V102" s="5">
        <v>71.099999999999994</v>
      </c>
      <c r="W102" s="5">
        <v>0</v>
      </c>
      <c r="X102" s="5">
        <v>427</v>
      </c>
      <c r="Y102" s="5">
        <v>0</v>
      </c>
      <c r="Z102" s="5">
        <v>0.62</v>
      </c>
      <c r="AA102" s="5">
        <v>154</v>
      </c>
      <c r="AB102" s="5">
        <v>0.09</v>
      </c>
      <c r="AC102" s="5">
        <v>0.18</v>
      </c>
      <c r="AD102" s="5">
        <v>1.5</v>
      </c>
      <c r="AE102" s="5">
        <v>0.28000000000000003</v>
      </c>
      <c r="AF102" s="5">
        <v>114</v>
      </c>
      <c r="AG102" s="5">
        <v>0</v>
      </c>
      <c r="AH102" s="5">
        <v>0.9</v>
      </c>
      <c r="AI102" s="5">
        <v>0.5</v>
      </c>
      <c r="AJ102" s="5">
        <v>100</v>
      </c>
      <c r="AK102" s="5">
        <v>58</v>
      </c>
      <c r="AL102" s="5">
        <v>65</v>
      </c>
      <c r="AM102" s="5">
        <v>0.86</v>
      </c>
      <c r="AN102" s="5">
        <v>15</v>
      </c>
      <c r="AO102" s="5">
        <v>0.49</v>
      </c>
      <c r="AP102" s="5">
        <v>19</v>
      </c>
      <c r="AQ102" s="5">
        <v>22</v>
      </c>
      <c r="AR102" s="5">
        <v>279</v>
      </c>
      <c r="AS102" s="5">
        <v>0.45</v>
      </c>
      <c r="AT102" s="5">
        <v>5.6000000000000001E-2</v>
      </c>
      <c r="AU102" s="5">
        <v>0.7</v>
      </c>
      <c r="AV102" s="5">
        <f>IFERROR(VLOOKUP(IFERROR(VLOOKUP(D102,Mapa_Similitud!$A$2:$B$2000,2,FALSE()),D102),Hoja1!$A$2:$K$1000,2,FALSE()),IFERROR(VLOOKUP(IFERROR(VLOOKUP(D102,Mapa_Similitud!$A$2:$B$2000,2,FALSE()),D102),Omega3_Referencia!$A$2:$E$100,3,FALSE()),0))</f>
        <v>0.02</v>
      </c>
      <c r="AW102" s="3" t="str">
        <f>IFERROR(VLOOKUP(IFERROR(VLOOKUP(D102,Mapa_Similitud!$A$2:$B$2000,2,FALSE()),D102),Hoja1!$A$2:$K$1000,3,FALSE()),IFERROR(VLOOKUP(IFERROR(VLOOKUP(D102,Mapa_Similitud!$A$2:$B$2000,2,FALSE()),D102),Omega3_Referencia!$A$2:$E$100,4,FALSE()),"N/A"))</f>
        <v>ALA</v>
      </c>
      <c r="AX102" s="5">
        <f>IFERROR(VLOOKUP(IFERROR(VLOOKUP(D102,Mapa_Similitud!$A$2:$B$2000,2,FALSE()),D102),Hoja1!$A$2:$K$1000,5,FALSE()),0)</f>
        <v>0</v>
      </c>
      <c r="AY102" s="5">
        <f>IFERROR(VLOOKUP(IFERROR(VLOOKUP(D102,Mapa_Similitud!$A$2:$B$2000,2,FALSE()),D102),Hoja1!$A$2:$K$1000,7,FALSE()),0)</f>
        <v>95</v>
      </c>
      <c r="AZ102" s="5">
        <f>IFERROR(VLOOKUP(IFERROR(VLOOKUP(D102,Mapa_Similitud!$A$2:$B$2000,2,FALSE()),D102),Hoja1!$A$2:$K$1000,9,FALSE()),0)</f>
        <v>0</v>
      </c>
      <c r="BA102" s="25">
        <f t="shared" si="29"/>
        <v>0.1090909090909091</v>
      </c>
      <c r="BB102" s="25">
        <f t="shared" si="30"/>
        <v>9.0909090909090912E-2</v>
      </c>
      <c r="BC102" s="25">
        <f t="shared" si="31"/>
        <v>1.7575757575757576</v>
      </c>
      <c r="BD102" s="25">
        <f t="shared" si="32"/>
        <v>2.6060606060606062E-2</v>
      </c>
      <c r="BE102" s="25">
        <f t="shared" si="33"/>
        <v>0.66666666666666663</v>
      </c>
      <c r="BF102" s="25">
        <f t="shared" si="34"/>
        <v>3.064516129032258</v>
      </c>
      <c r="BG102" s="25">
        <f t="shared" si="35"/>
        <v>0.89230769230769236</v>
      </c>
      <c r="BH102" s="25">
        <f t="shared" si="36"/>
        <v>0.155</v>
      </c>
      <c r="BI102" s="25">
        <f t="shared" si="37"/>
        <v>7.8853046594982074E-2</v>
      </c>
      <c r="BJ102" s="25">
        <f t="shared" si="38"/>
        <v>1</v>
      </c>
      <c r="BK102" s="25">
        <f t="shared" si="39"/>
        <v>1.1111111111111109</v>
      </c>
      <c r="BL102" s="25">
        <f t="shared" si="40"/>
        <v>5.454545454545455E-2</v>
      </c>
      <c r="BM102" s="25">
        <f t="shared" si="41"/>
        <v>0.5757575757575758</v>
      </c>
      <c r="BN102" s="18" t="str">
        <f t="shared" si="47"/>
        <v>Media fuente de proteína</v>
      </c>
      <c r="BO102" s="18" t="str">
        <f t="shared" si="48"/>
        <v>Alta fuente de fibra</v>
      </c>
      <c r="BP102" s="18" t="str">
        <f t="shared" si="49"/>
        <v>Alta fuente de calcio</v>
      </c>
      <c r="BQ102" s="18" t="str">
        <f t="shared" si="50"/>
        <v>Alta fuente de hierro</v>
      </c>
      <c r="BR102" s="18" t="str">
        <f t="shared" si="51"/>
        <v>Moderado en sodio</v>
      </c>
      <c r="BS102" s="6" t="str">
        <f t="shared" si="42"/>
        <v>Altamente antiinflamatorio</v>
      </c>
      <c r="BT102" s="6" t="str">
        <f t="shared" si="43"/>
        <v>Bajo en grasas</v>
      </c>
      <c r="BU102" s="18" t="str">
        <f t="shared" si="52"/>
        <v>Equilibrio de líquidos ideal</v>
      </c>
      <c r="BV102" s="18" t="str">
        <f t="shared" si="53"/>
        <v>Alta fuente de magnesio</v>
      </c>
      <c r="BW102" s="18" t="str">
        <f t="shared" si="54"/>
        <v>Sin aporte de Omega 3</v>
      </c>
      <c r="BX102" s="18" t="str">
        <f t="shared" si="55"/>
        <v>Libre de grasas trans</v>
      </c>
      <c r="BY102" s="18" t="str">
        <f t="shared" si="56"/>
        <v>Alto poder antioxidante</v>
      </c>
      <c r="BZ102" s="6" t="str">
        <f t="shared" si="44"/>
        <v>Sin probióticos</v>
      </c>
      <c r="CA102" s="18" t="str">
        <f t="shared" si="57"/>
        <v>Antiinflamatorio</v>
      </c>
      <c r="CB102" s="18" t="str">
        <f>IF(ISNUMBER(SEARCH("miel", D102)), "No irritante (Uso condicionado SII)", IF(OR(J102&gt;0, ISNUMBER(SEARCH("cacao", D102)), ISNUMBER(SEARCH("chocolate puro", D102))), "Altamente irritante", IF(OR(AND(O102&gt;15, BI102&gt;1), ISNUMBER(SEARCH("chocolate", D102))), "Moderadamente irritante", "No irritante")))</f>
        <v>No irritante</v>
      </c>
      <c r="CC102" s="6" t="str">
        <f t="shared" si="45"/>
        <v>Balance de omegas favorable</v>
      </c>
    </row>
    <row r="103" spans="1:81" ht="15" customHeight="1" x14ac:dyDescent="0.3">
      <c r="A103" s="2">
        <f t="shared" si="46"/>
        <v>102</v>
      </c>
      <c r="B103" s="3" t="s">
        <v>161</v>
      </c>
      <c r="C103" s="3" t="s">
        <v>194</v>
      </c>
      <c r="D103" s="3" t="s">
        <v>204</v>
      </c>
      <c r="E103" s="3"/>
      <c r="F103" s="4">
        <v>0.6</v>
      </c>
      <c r="G103" s="5">
        <v>0.88</v>
      </c>
      <c r="H103" s="5">
        <v>23.3</v>
      </c>
      <c r="I103" s="5">
        <v>94</v>
      </c>
      <c r="J103" s="5">
        <v>0</v>
      </c>
      <c r="K103" s="5">
        <v>1.9</v>
      </c>
      <c r="L103" s="5">
        <v>2</v>
      </c>
      <c r="M103" s="5">
        <v>0.08</v>
      </c>
      <c r="N103" s="5">
        <v>1.9</v>
      </c>
      <c r="O103" s="5">
        <v>0</v>
      </c>
      <c r="P103" s="5">
        <v>1.6</v>
      </c>
      <c r="Q103" s="5">
        <v>0.5</v>
      </c>
      <c r="R103" s="5">
        <v>0.1</v>
      </c>
      <c r="S103" s="5">
        <v>0.1</v>
      </c>
      <c r="T103" s="5">
        <v>0.1</v>
      </c>
      <c r="U103" s="5">
        <v>0</v>
      </c>
      <c r="V103" s="5">
        <v>47.8</v>
      </c>
      <c r="W103" s="5">
        <v>0</v>
      </c>
      <c r="X103" s="5">
        <v>287</v>
      </c>
      <c r="Y103" s="5">
        <v>0</v>
      </c>
      <c r="Z103" s="5">
        <v>0.06</v>
      </c>
      <c r="AA103" s="5">
        <v>4.3</v>
      </c>
      <c r="AB103" s="5">
        <v>0.09</v>
      </c>
      <c r="AC103" s="5">
        <v>7.0000000000000007E-2</v>
      </c>
      <c r="AD103" s="5">
        <v>0.71</v>
      </c>
      <c r="AE103" s="5">
        <v>7.0000000000000007E-2</v>
      </c>
      <c r="AF103" s="5">
        <v>33.1</v>
      </c>
      <c r="AG103" s="5">
        <v>0</v>
      </c>
      <c r="AH103" s="5">
        <v>0.16</v>
      </c>
      <c r="AI103" s="5">
        <v>0</v>
      </c>
      <c r="AJ103" s="5">
        <v>13.8</v>
      </c>
      <c r="AK103" s="5">
        <v>21.5</v>
      </c>
      <c r="AL103" s="5">
        <v>45</v>
      </c>
      <c r="AM103" s="5">
        <v>0.67</v>
      </c>
      <c r="AN103" s="5">
        <v>2</v>
      </c>
      <c r="AO103" s="5">
        <v>0.24</v>
      </c>
      <c r="AP103" s="5">
        <v>12.9</v>
      </c>
      <c r="AQ103" s="5">
        <v>1</v>
      </c>
      <c r="AR103" s="5">
        <v>230</v>
      </c>
      <c r="AS103" s="5">
        <v>0.1</v>
      </c>
      <c r="AT103" s="5">
        <v>0.02</v>
      </c>
      <c r="AU103" s="5">
        <v>1</v>
      </c>
      <c r="AV103" s="5">
        <f>IFERROR(VLOOKUP(IFERROR(VLOOKUP(D103,Mapa_Similitud!$A$2:$B$2000,2,FALSE()),D103),Hoja1!$A$2:$K$1000,2,FALSE()),IFERROR(VLOOKUP(IFERROR(VLOOKUP(D103,Mapa_Similitud!$A$2:$B$2000,2,FALSE()),D103),Omega3_Referencia!$A$2:$E$100,3,FALSE()),0))</f>
        <v>0.01</v>
      </c>
      <c r="AW103" s="3" t="str">
        <f>IFERROR(VLOOKUP(IFERROR(VLOOKUP(D103,Mapa_Similitud!$A$2:$B$2000,2,FALSE()),D103),Hoja1!$A$2:$K$1000,3,FALSE()),IFERROR(VLOOKUP(IFERROR(VLOOKUP(D103,Mapa_Similitud!$A$2:$B$2000,2,FALSE()),D103),Omega3_Referencia!$A$2:$E$100,4,FALSE()),"N/A"))</f>
        <v>ALA</v>
      </c>
      <c r="AX103" s="5">
        <f>IFERROR(VLOOKUP(IFERROR(VLOOKUP(D103,Mapa_Similitud!$A$2:$B$2000,2,FALSE()),D103),Hoja1!$A$2:$K$1000,5,FALSE()),0)</f>
        <v>0</v>
      </c>
      <c r="AY103" s="5">
        <f>IFERROR(VLOOKUP(IFERROR(VLOOKUP(D103,Mapa_Similitud!$A$2:$B$2000,2,FALSE()),D103),Hoja1!$A$2:$K$1000,7,FALSE()),0)</f>
        <v>30</v>
      </c>
      <c r="AZ103" s="5">
        <f>IFERROR(VLOOKUP(IFERROR(VLOOKUP(D103,Mapa_Similitud!$A$2:$B$2000,2,FALSE()),D103),Hoja1!$A$2:$K$1000,9,FALSE()),0)</f>
        <v>0</v>
      </c>
      <c r="BA103" s="25">
        <f t="shared" si="29"/>
        <v>8.15450643776824E-2</v>
      </c>
      <c r="BB103" s="25">
        <f t="shared" si="30"/>
        <v>6.8669527896995708E-2</v>
      </c>
      <c r="BC103" s="25">
        <f t="shared" si="31"/>
        <v>0.92274678111587982</v>
      </c>
      <c r="BD103" s="25">
        <f t="shared" si="32"/>
        <v>2.8755364806866954E-2</v>
      </c>
      <c r="BE103" s="25">
        <f t="shared" si="33"/>
        <v>4.2918454935622317E-2</v>
      </c>
      <c r="BF103" s="25">
        <f t="shared" si="34"/>
        <v>1</v>
      </c>
      <c r="BG103" s="25">
        <f t="shared" si="35"/>
        <v>0.4777777777777778</v>
      </c>
      <c r="BH103" s="25">
        <f t="shared" si="36"/>
        <v>0.2</v>
      </c>
      <c r="BI103" s="25">
        <f t="shared" si="37"/>
        <v>4.3478260869565218E-3</v>
      </c>
      <c r="BJ103" s="25">
        <f t="shared" si="38"/>
        <v>0.95</v>
      </c>
      <c r="BK103" s="25">
        <f t="shared" si="39"/>
        <v>0.8</v>
      </c>
      <c r="BL103" s="25">
        <f t="shared" si="40"/>
        <v>0.19313304721030042</v>
      </c>
      <c r="BM103" s="25">
        <f t="shared" si="41"/>
        <v>0.55364806866952787</v>
      </c>
      <c r="BN103" s="18" t="str">
        <f t="shared" si="47"/>
        <v>Baja fuente de proteína</v>
      </c>
      <c r="BO103" s="18" t="str">
        <f t="shared" si="48"/>
        <v>Alta fuente de fibra</v>
      </c>
      <c r="BP103" s="18" t="str">
        <f t="shared" si="49"/>
        <v>Media fuente de calcio</v>
      </c>
      <c r="BQ103" s="18" t="str">
        <f t="shared" si="50"/>
        <v>Alta fuente de hierro</v>
      </c>
      <c r="BR103" s="18" t="str">
        <f t="shared" si="51"/>
        <v>Bajo en sodio</v>
      </c>
      <c r="BS103" s="6" t="str">
        <f t="shared" si="42"/>
        <v>Neutro</v>
      </c>
      <c r="BT103" s="6" t="str">
        <f t="shared" si="43"/>
        <v>Bajo en grasas</v>
      </c>
      <c r="BU103" s="18" t="str">
        <f t="shared" si="52"/>
        <v>Equilibrio de líquidos ideal</v>
      </c>
      <c r="BV103" s="18" t="str">
        <f t="shared" si="53"/>
        <v>Alta fuente de magnesio</v>
      </c>
      <c r="BW103" s="18" t="str">
        <f t="shared" si="54"/>
        <v>Sin aporte de Omega 3</v>
      </c>
      <c r="BX103" s="18" t="str">
        <f t="shared" si="55"/>
        <v>Libre de grasas trans</v>
      </c>
      <c r="BY103" s="18" t="str">
        <f t="shared" si="56"/>
        <v>Medio poder antioxidante</v>
      </c>
      <c r="BZ103" s="6" t="str">
        <f t="shared" si="44"/>
        <v>Sin probióticos</v>
      </c>
      <c r="CA103" s="18" t="str">
        <f t="shared" si="57"/>
        <v>Poco inflamatorio</v>
      </c>
      <c r="CB103" s="18" t="str">
        <f>IF(ISNUMBER(SEARCH("miel", D103)), "No irritante (Uso condicionado SII)", IF(OR(J103&gt;0, ISNUMBER(SEARCH("cacao", D103)), ISNUMBER(SEARCH("chocolate puro", D103))), "Altamente irritante", IF(OR(AND(O103&gt;15, BI103&gt;1), ISNUMBER(SEARCH("chocolate", D103))), "Moderadamente irritante", "No irritante")))</f>
        <v>No irritante</v>
      </c>
      <c r="CC103" s="6" t="str">
        <f t="shared" si="45"/>
        <v>Exceso relativo de Omega 6</v>
      </c>
    </row>
    <row r="104" spans="1:81" ht="15" customHeight="1" x14ac:dyDescent="0.3">
      <c r="A104" s="2">
        <f t="shared" si="46"/>
        <v>103</v>
      </c>
      <c r="B104" s="3" t="s">
        <v>161</v>
      </c>
      <c r="C104" s="3" t="s">
        <v>194</v>
      </c>
      <c r="D104" s="3" t="s">
        <v>205</v>
      </c>
      <c r="E104" s="3"/>
      <c r="F104" s="4">
        <v>0.4</v>
      </c>
      <c r="G104" s="5">
        <v>0.67</v>
      </c>
      <c r="H104" s="5">
        <v>28.4</v>
      </c>
      <c r="I104" s="5">
        <v>92</v>
      </c>
      <c r="J104" s="5">
        <v>0</v>
      </c>
      <c r="K104" s="5">
        <v>1.1000000000000001</v>
      </c>
      <c r="L104" s="5">
        <v>4.5999999999999996</v>
      </c>
      <c r="M104" s="5">
        <v>0.7</v>
      </c>
      <c r="N104" s="5">
        <v>3.9</v>
      </c>
      <c r="O104" s="5">
        <v>0</v>
      </c>
      <c r="P104" s="5">
        <v>2.2000000000000002</v>
      </c>
      <c r="Q104" s="5">
        <v>0.13</v>
      </c>
      <c r="R104" s="5">
        <v>6.8000000000000005E-2</v>
      </c>
      <c r="S104" s="5">
        <v>1.7000000000000001E-2</v>
      </c>
      <c r="T104" s="5">
        <v>7.0000000000000001E-3</v>
      </c>
      <c r="U104" s="5">
        <v>0</v>
      </c>
      <c r="V104" s="5">
        <v>128</v>
      </c>
      <c r="W104" s="5">
        <v>0</v>
      </c>
      <c r="X104" s="5">
        <v>766</v>
      </c>
      <c r="Y104" s="5">
        <v>0</v>
      </c>
      <c r="Z104" s="5">
        <v>1.1000000000000001</v>
      </c>
      <c r="AA104" s="5">
        <v>1.1000000000000001</v>
      </c>
      <c r="AB104" s="5">
        <v>4.7E-2</v>
      </c>
      <c r="AC104" s="5">
        <v>6.7000000000000004E-2</v>
      </c>
      <c r="AD104" s="5">
        <v>0.35</v>
      </c>
      <c r="AE104" s="5">
        <v>0.11</v>
      </c>
      <c r="AF104" s="5">
        <v>36</v>
      </c>
      <c r="AG104" s="5">
        <v>0</v>
      </c>
      <c r="AH104" s="5">
        <v>0.4</v>
      </c>
      <c r="AI104" s="5">
        <v>0.4</v>
      </c>
      <c r="AJ104" s="5">
        <v>12</v>
      </c>
      <c r="AK104" s="5">
        <v>22</v>
      </c>
      <c r="AL104" s="5">
        <v>44</v>
      </c>
      <c r="AM104" s="5">
        <v>0.8</v>
      </c>
      <c r="AN104" s="5">
        <v>1.4</v>
      </c>
      <c r="AO104" s="5">
        <v>0.2</v>
      </c>
      <c r="AP104" s="5">
        <v>8</v>
      </c>
      <c r="AQ104" s="5">
        <v>3.1</v>
      </c>
      <c r="AR104" s="5">
        <v>304</v>
      </c>
      <c r="AS104" s="5">
        <v>6.6000000000000003E-2</v>
      </c>
      <c r="AT104" s="5">
        <v>0.08</v>
      </c>
      <c r="AU104" s="5">
        <v>0.3</v>
      </c>
      <c r="AV104" s="5">
        <f>IFERROR(VLOOKUP(IFERROR(VLOOKUP(D104,Mapa_Similitud!$A$2:$B$2000,2,FALSE()),D104),Hoja1!$A$2:$K$1000,2,FALSE()),IFERROR(VLOOKUP(IFERROR(VLOOKUP(D104,Mapa_Similitud!$A$2:$B$2000,2,FALSE()),D104),Omega3_Referencia!$A$2:$E$100,3,FALSE()),0))</f>
        <v>0.01</v>
      </c>
      <c r="AW104" s="3" t="str">
        <f>IFERROR(VLOOKUP(IFERROR(VLOOKUP(D104,Mapa_Similitud!$A$2:$B$2000,2,FALSE()),D104),Hoja1!$A$2:$K$1000,3,FALSE()),IFERROR(VLOOKUP(IFERROR(VLOOKUP(D104,Mapa_Similitud!$A$2:$B$2000,2,FALSE()),D104),Omega3_Referencia!$A$2:$E$100,4,FALSE()),"N/A"))</f>
        <v>ALA</v>
      </c>
      <c r="AX104" s="5">
        <f>IFERROR(VLOOKUP(IFERROR(VLOOKUP(D104,Mapa_Similitud!$A$2:$B$2000,2,FALSE()),D104),Hoja1!$A$2:$K$1000,5,FALSE()),0)</f>
        <v>0</v>
      </c>
      <c r="AY104" s="5">
        <f>IFERROR(VLOOKUP(IFERROR(VLOOKUP(D104,Mapa_Similitud!$A$2:$B$2000,2,FALSE()),D104),Hoja1!$A$2:$K$1000,7,FALSE()),0)</f>
        <v>40</v>
      </c>
      <c r="AZ104" s="5">
        <f>IFERROR(VLOOKUP(IFERROR(VLOOKUP(D104,Mapa_Similitud!$A$2:$B$2000,2,FALSE()),D104),Hoja1!$A$2:$K$1000,9,FALSE()),0)</f>
        <v>0</v>
      </c>
      <c r="BA104" s="25">
        <f t="shared" si="29"/>
        <v>3.8732394366197187E-2</v>
      </c>
      <c r="BB104" s="25">
        <f t="shared" si="30"/>
        <v>7.7464788732394374E-2</v>
      </c>
      <c r="BC104" s="25">
        <f t="shared" si="31"/>
        <v>0.77464788732394374</v>
      </c>
      <c r="BD104" s="25">
        <f t="shared" si="32"/>
        <v>2.8169014084507046E-2</v>
      </c>
      <c r="BE104" s="25">
        <f t="shared" si="33"/>
        <v>0.1091549295774648</v>
      </c>
      <c r="BF104" s="25">
        <f t="shared" si="34"/>
        <v>0.10294117647058823</v>
      </c>
      <c r="BG104" s="25">
        <f t="shared" si="35"/>
        <v>0.5</v>
      </c>
      <c r="BH104" s="25">
        <f t="shared" si="36"/>
        <v>0.52307692307692311</v>
      </c>
      <c r="BI104" s="25">
        <f t="shared" si="37"/>
        <v>1.0197368421052632E-2</v>
      </c>
      <c r="BJ104" s="25">
        <f t="shared" si="38"/>
        <v>0.84782608695652184</v>
      </c>
      <c r="BK104" s="25">
        <f t="shared" si="39"/>
        <v>0.47826086956521746</v>
      </c>
      <c r="BL104" s="25">
        <f t="shared" si="40"/>
        <v>4.119718309859155E-2</v>
      </c>
      <c r="BM104" s="25">
        <f t="shared" si="41"/>
        <v>0.28169014084507044</v>
      </c>
      <c r="BN104" s="18" t="str">
        <f t="shared" si="47"/>
        <v>Baja fuente de proteína</v>
      </c>
      <c r="BO104" s="18" t="str">
        <f t="shared" si="48"/>
        <v>Alta fuente de fibra</v>
      </c>
      <c r="BP104" s="18" t="str">
        <f t="shared" si="49"/>
        <v>Baja fuente de calcio</v>
      </c>
      <c r="BQ104" s="18" t="str">
        <f t="shared" si="50"/>
        <v>Alta fuente de hierro</v>
      </c>
      <c r="BR104" s="18" t="str">
        <f t="shared" si="51"/>
        <v>Bajo en sodio</v>
      </c>
      <c r="BS104" s="6" t="str">
        <f t="shared" si="42"/>
        <v>Proinflamatorio</v>
      </c>
      <c r="BT104" s="6" t="str">
        <f t="shared" si="43"/>
        <v>Bajo en grasas</v>
      </c>
      <c r="BU104" s="18" t="str">
        <f t="shared" si="52"/>
        <v>Equilibrio de líquidos ideal</v>
      </c>
      <c r="BV104" s="18" t="str">
        <f t="shared" si="53"/>
        <v>Media fuente de magnesio</v>
      </c>
      <c r="BW104" s="18" t="str">
        <f t="shared" si="54"/>
        <v>Sin aporte de Omega 3</v>
      </c>
      <c r="BX104" s="18" t="str">
        <f t="shared" si="55"/>
        <v>Libre de grasas trans</v>
      </c>
      <c r="BY104" s="18" t="str">
        <f t="shared" si="56"/>
        <v>Medio poder antioxidante</v>
      </c>
      <c r="BZ104" s="6" t="str">
        <f t="shared" si="44"/>
        <v>Sin probióticos</v>
      </c>
      <c r="CA104" s="18" t="str">
        <f t="shared" si="57"/>
        <v>Poco inflamatorio</v>
      </c>
      <c r="CB104" s="18" t="str">
        <f>IF(ISNUMBER(SEARCH("miel", D104)), "No irritante (Uso condicionado SII)", IF(OR(J104&gt;0, ISNUMBER(SEARCH("cacao", D104)), ISNUMBER(SEARCH("chocolate puro", D104))), "Altamente irritante", IF(OR(AND(O104&gt;15, BI104&gt;1), ISNUMBER(SEARCH("chocolate", D104))), "Moderadamente irritante", "No irritante")))</f>
        <v>No irritante</v>
      </c>
      <c r="CC104" s="6" t="str">
        <f t="shared" si="45"/>
        <v>Balance de omegas favorable</v>
      </c>
    </row>
    <row r="105" spans="1:81" ht="15" customHeight="1" x14ac:dyDescent="0.3">
      <c r="A105" s="2">
        <f t="shared" si="46"/>
        <v>104</v>
      </c>
      <c r="B105" s="3" t="s">
        <v>161</v>
      </c>
      <c r="C105" s="3" t="s">
        <v>194</v>
      </c>
      <c r="D105" s="3" t="s">
        <v>206</v>
      </c>
      <c r="E105" s="3"/>
      <c r="F105" s="4">
        <v>0.4</v>
      </c>
      <c r="G105" s="5">
        <v>0.91</v>
      </c>
      <c r="H105" s="5">
        <v>31.9</v>
      </c>
      <c r="I105" s="5">
        <v>91.5</v>
      </c>
      <c r="J105" s="5">
        <v>0</v>
      </c>
      <c r="K105" s="5">
        <v>1.2</v>
      </c>
      <c r="L105" s="5">
        <v>5.3</v>
      </c>
      <c r="M105" s="5">
        <v>0</v>
      </c>
      <c r="N105" s="5">
        <v>5.3</v>
      </c>
      <c r="O105" s="5">
        <v>0</v>
      </c>
      <c r="P105" s="5">
        <v>1.8</v>
      </c>
      <c r="Q105" s="5">
        <v>0.25</v>
      </c>
      <c r="R105" s="5">
        <v>9.4E-2</v>
      </c>
      <c r="S105" s="5">
        <v>0</v>
      </c>
      <c r="T105" s="5">
        <v>0.11</v>
      </c>
      <c r="U105" s="5">
        <v>0</v>
      </c>
      <c r="V105" s="5">
        <v>0.17</v>
      </c>
      <c r="W105" s="5">
        <v>0</v>
      </c>
      <c r="X105" s="5">
        <v>1</v>
      </c>
      <c r="Y105" s="5">
        <v>0</v>
      </c>
      <c r="Z105" s="5">
        <v>0.45</v>
      </c>
      <c r="AA105" s="5">
        <v>0.7</v>
      </c>
      <c r="AB105" s="5">
        <v>0.03</v>
      </c>
      <c r="AC105" s="5">
        <v>0.03</v>
      </c>
      <c r="AD105" s="5">
        <v>0.72</v>
      </c>
      <c r="AE105" s="5">
        <v>0.13</v>
      </c>
      <c r="AF105" s="5">
        <v>7</v>
      </c>
      <c r="AG105" s="5">
        <v>0</v>
      </c>
      <c r="AH105" s="5">
        <v>0.11</v>
      </c>
      <c r="AI105" s="5">
        <v>3.5</v>
      </c>
      <c r="AJ105" s="5">
        <v>6.9</v>
      </c>
      <c r="AK105" s="5">
        <v>25.4</v>
      </c>
      <c r="AL105" s="5">
        <v>33</v>
      </c>
      <c r="AM105" s="5">
        <v>0.27</v>
      </c>
      <c r="AN105" s="5">
        <v>8.9</v>
      </c>
      <c r="AO105" s="5">
        <v>0.26</v>
      </c>
      <c r="AP105" s="5">
        <v>4.2</v>
      </c>
      <c r="AQ105" s="5">
        <v>3</v>
      </c>
      <c r="AR105" s="5">
        <v>162</v>
      </c>
      <c r="AS105" s="5">
        <v>0.13</v>
      </c>
      <c r="AT105" s="5">
        <v>0.05</v>
      </c>
      <c r="AU105" s="5">
        <v>1.5</v>
      </c>
      <c r="AV105" s="5">
        <f>IFERROR(VLOOKUP(IFERROR(VLOOKUP(D105,Mapa_Similitud!$A$2:$B$2000,2,FALSE()),D105),Hoja1!$A$2:$K$1000,2,FALSE()),IFERROR(VLOOKUP(IFERROR(VLOOKUP(D105,Mapa_Similitud!$A$2:$B$2000,2,FALSE()),D105),Omega3_Referencia!$A$2:$E$100,3,FALSE()),0))</f>
        <v>0.01</v>
      </c>
      <c r="AW105" s="3" t="str">
        <f>IFERROR(VLOOKUP(IFERROR(VLOOKUP(D105,Mapa_Similitud!$A$2:$B$2000,2,FALSE()),D105),Hoja1!$A$2:$K$1000,3,FALSE()),IFERROR(VLOOKUP(IFERROR(VLOOKUP(D105,Mapa_Similitud!$A$2:$B$2000,2,FALSE()),D105),Omega3_Referencia!$A$2:$E$100,4,FALSE()),"N/A"))</f>
        <v>ALA</v>
      </c>
      <c r="AX105" s="5">
        <f>IFERROR(VLOOKUP(IFERROR(VLOOKUP(D105,Mapa_Similitud!$A$2:$B$2000,2,FALSE()),D105),Hoja1!$A$2:$K$1000,5,FALSE()),0)</f>
        <v>0</v>
      </c>
      <c r="AY105" s="5">
        <f>IFERROR(VLOOKUP(IFERROR(VLOOKUP(D105,Mapa_Similitud!$A$2:$B$2000,2,FALSE()),D105),Hoja1!$A$2:$K$1000,7,FALSE()),0)</f>
        <v>75</v>
      </c>
      <c r="AZ105" s="5">
        <f>IFERROR(VLOOKUP(IFERROR(VLOOKUP(D105,Mapa_Similitud!$A$2:$B$2000,2,FALSE()),D105),Hoja1!$A$2:$K$1000,9,FALSE()),0)</f>
        <v>0</v>
      </c>
      <c r="BA105" s="25">
        <f t="shared" si="29"/>
        <v>3.7617554858934171E-2</v>
      </c>
      <c r="BB105" s="25">
        <f t="shared" si="30"/>
        <v>5.6426332288401257E-2</v>
      </c>
      <c r="BC105" s="25">
        <f t="shared" si="31"/>
        <v>0.79623824451410652</v>
      </c>
      <c r="BD105" s="25">
        <f t="shared" si="32"/>
        <v>8.4639498432601892E-3</v>
      </c>
      <c r="BE105" s="25">
        <f t="shared" si="33"/>
        <v>9.4043887147335428E-2</v>
      </c>
      <c r="BF105" s="25">
        <f t="shared" si="34"/>
        <v>1.1702127659574468</v>
      </c>
      <c r="BG105" s="25">
        <f t="shared" si="35"/>
        <v>0.76969696969696966</v>
      </c>
      <c r="BH105" s="25">
        <f t="shared" si="36"/>
        <v>0.376</v>
      </c>
      <c r="BI105" s="25">
        <f t="shared" si="37"/>
        <v>1.8518518518518517E-2</v>
      </c>
      <c r="BJ105" s="25">
        <f t="shared" si="38"/>
        <v>1</v>
      </c>
      <c r="BK105" s="25">
        <f t="shared" si="39"/>
        <v>0.339622641509434</v>
      </c>
      <c r="BL105" s="25">
        <f t="shared" si="40"/>
        <v>7.0532915360501575E-2</v>
      </c>
      <c r="BM105" s="25">
        <f t="shared" si="41"/>
        <v>0.13166144200626961</v>
      </c>
      <c r="BN105" s="18" t="str">
        <f t="shared" si="47"/>
        <v>Baja fuente de proteína</v>
      </c>
      <c r="BO105" s="18" t="str">
        <f t="shared" si="48"/>
        <v>Alta fuente de fibra</v>
      </c>
      <c r="BP105" s="18" t="str">
        <f t="shared" si="49"/>
        <v>Baja fuente de calcio</v>
      </c>
      <c r="BQ105" s="18" t="str">
        <f t="shared" si="50"/>
        <v>Media fuente de hierro</v>
      </c>
      <c r="BR105" s="18" t="str">
        <f t="shared" si="51"/>
        <v>Bajo en sodio</v>
      </c>
      <c r="BS105" s="6" t="str">
        <f t="shared" si="42"/>
        <v>Ligeramente antiinflamatorio</v>
      </c>
      <c r="BT105" s="6" t="str">
        <f t="shared" si="43"/>
        <v>Bajo en grasas</v>
      </c>
      <c r="BU105" s="18" t="str">
        <f t="shared" si="52"/>
        <v>Equilibrio de líquidos ideal</v>
      </c>
      <c r="BV105" s="18" t="str">
        <f t="shared" si="53"/>
        <v>Baja fuente de magnesio</v>
      </c>
      <c r="BW105" s="18" t="str">
        <f t="shared" si="54"/>
        <v>Sin aporte de Omega 3</v>
      </c>
      <c r="BX105" s="18" t="str">
        <f t="shared" si="55"/>
        <v>Libre de grasas trans</v>
      </c>
      <c r="BY105" s="18" t="str">
        <f t="shared" si="56"/>
        <v>Alto poder antioxidante</v>
      </c>
      <c r="BZ105" s="6" t="str">
        <f t="shared" si="44"/>
        <v>Sin probióticos</v>
      </c>
      <c r="CA105" s="18" t="str">
        <f t="shared" si="57"/>
        <v>Antiinflamatorio</v>
      </c>
      <c r="CB105" s="18" t="str">
        <f>IF(ISNUMBER(SEARCH("miel", D105)), "No irritante (Uso condicionado SII)", IF(OR(J105&gt;0, ISNUMBER(SEARCH("cacao", D105)), ISNUMBER(SEARCH("chocolate puro", D105))), "Altamente irritante", IF(OR(AND(O105&gt;15, BI105&gt;1), ISNUMBER(SEARCH("chocolate", D105))), "Moderadamente irritante", "No irritante")))</f>
        <v>No irritante</v>
      </c>
      <c r="CC105" s="6" t="str">
        <f t="shared" si="45"/>
        <v>Exceso relativo de Omega 6</v>
      </c>
    </row>
    <row r="106" spans="1:81" ht="15" customHeight="1" x14ac:dyDescent="0.3">
      <c r="A106" s="2">
        <f t="shared" si="46"/>
        <v>105</v>
      </c>
      <c r="B106" s="3" t="s">
        <v>161</v>
      </c>
      <c r="C106" s="3" t="s">
        <v>194</v>
      </c>
      <c r="D106" s="3" t="s">
        <v>207</v>
      </c>
      <c r="E106" s="3"/>
      <c r="F106" s="4">
        <v>1.5</v>
      </c>
      <c r="G106" s="5">
        <v>1</v>
      </c>
      <c r="H106" s="5">
        <v>37</v>
      </c>
      <c r="I106" s="5">
        <v>90.3</v>
      </c>
      <c r="J106" s="5">
        <v>0</v>
      </c>
      <c r="K106" s="5">
        <v>1</v>
      </c>
      <c r="L106" s="5">
        <v>6.4</v>
      </c>
      <c r="M106" s="5">
        <v>1.8</v>
      </c>
      <c r="N106" s="5">
        <v>4.5999999999999996</v>
      </c>
      <c r="O106" s="5">
        <v>0</v>
      </c>
      <c r="P106" s="5">
        <v>1.9</v>
      </c>
      <c r="Q106" s="5">
        <v>0.4</v>
      </c>
      <c r="R106" s="5">
        <v>0.1</v>
      </c>
      <c r="S106" s="5">
        <v>0</v>
      </c>
      <c r="T106" s="5">
        <v>0.2</v>
      </c>
      <c r="U106" s="5">
        <v>0</v>
      </c>
      <c r="V106" s="5">
        <v>95.3</v>
      </c>
      <c r="W106" s="5">
        <v>0</v>
      </c>
      <c r="X106" s="5">
        <v>572</v>
      </c>
      <c r="Y106" s="5">
        <v>0</v>
      </c>
      <c r="Z106" s="5">
        <v>0.8</v>
      </c>
      <c r="AA106" s="5">
        <v>0</v>
      </c>
      <c r="AB106" s="5">
        <v>0.12</v>
      </c>
      <c r="AC106" s="5">
        <v>0.15</v>
      </c>
      <c r="AD106" s="5">
        <v>2.5</v>
      </c>
      <c r="AE106" s="5">
        <v>0</v>
      </c>
      <c r="AF106" s="5">
        <v>0</v>
      </c>
      <c r="AG106" s="5">
        <v>0</v>
      </c>
      <c r="AH106" s="5">
        <v>0.08</v>
      </c>
      <c r="AI106" s="5">
        <v>0</v>
      </c>
      <c r="AJ106" s="5">
        <v>225</v>
      </c>
      <c r="AK106" s="5">
        <v>16</v>
      </c>
      <c r="AL106" s="5">
        <v>39</v>
      </c>
      <c r="AM106" s="5">
        <v>1</v>
      </c>
      <c r="AN106" s="5">
        <v>1</v>
      </c>
      <c r="AO106" s="5">
        <v>0.3</v>
      </c>
      <c r="AP106" s="5">
        <v>21</v>
      </c>
      <c r="AQ106" s="5">
        <v>12</v>
      </c>
      <c r="AR106" s="5">
        <v>440</v>
      </c>
      <c r="AS106" s="5">
        <v>0</v>
      </c>
      <c r="AT106" s="5">
        <v>0.01</v>
      </c>
      <c r="AU106" s="5">
        <v>1E-4</v>
      </c>
      <c r="AV106" s="5">
        <f>IFERROR(VLOOKUP(IFERROR(VLOOKUP(D106,Mapa_Similitud!$A$2:$B$2000,2,FALSE()),D106),Hoja1!$A$2:$K$1000,2,FALSE()),IFERROR(VLOOKUP(IFERROR(VLOOKUP(D106,Mapa_Similitud!$A$2:$B$2000,2,FALSE()),D106),Omega3_Referencia!$A$2:$E$100,3,FALSE()),0))</f>
        <v>0.02</v>
      </c>
      <c r="AW106" s="3" t="str">
        <f>IFERROR(VLOOKUP(IFERROR(VLOOKUP(D106,Mapa_Similitud!$A$2:$B$2000,2,FALSE()),D106),Hoja1!$A$2:$K$1000,3,FALSE()),IFERROR(VLOOKUP(IFERROR(VLOOKUP(D106,Mapa_Similitud!$A$2:$B$2000,2,FALSE()),D106),Omega3_Referencia!$A$2:$E$100,4,FALSE()),"N/A"))</f>
        <v>ALA</v>
      </c>
      <c r="AX106" s="5">
        <f>IFERROR(VLOOKUP(IFERROR(VLOOKUP(D106,Mapa_Similitud!$A$2:$B$2000,2,FALSE()),D106),Hoja1!$A$2:$K$1000,5,FALSE()),0)</f>
        <v>0</v>
      </c>
      <c r="AY106" s="5">
        <f>IFERROR(VLOOKUP(IFERROR(VLOOKUP(D106,Mapa_Similitud!$A$2:$B$2000,2,FALSE()),D106),Hoja1!$A$2:$K$1000,7,FALSE()),0)</f>
        <v>115</v>
      </c>
      <c r="AZ106" s="5">
        <f>IFERROR(VLOOKUP(IFERROR(VLOOKUP(D106,Mapa_Similitud!$A$2:$B$2000,2,FALSE()),D106),Hoja1!$A$2:$K$1000,9,FALSE()),0)</f>
        <v>0</v>
      </c>
      <c r="BA106" s="25">
        <f t="shared" si="29"/>
        <v>2.7027027027027029E-2</v>
      </c>
      <c r="BB106" s="25">
        <f t="shared" si="30"/>
        <v>5.1351351351351347E-2</v>
      </c>
      <c r="BC106" s="25">
        <f t="shared" si="31"/>
        <v>0.43243243243243246</v>
      </c>
      <c r="BD106" s="25">
        <f t="shared" si="32"/>
        <v>2.7027027027027029E-2</v>
      </c>
      <c r="BE106" s="25">
        <f t="shared" si="33"/>
        <v>0.32432432432432434</v>
      </c>
      <c r="BF106" s="25">
        <f t="shared" si="34"/>
        <v>2</v>
      </c>
      <c r="BG106" s="25">
        <f t="shared" si="35"/>
        <v>0.41025641025641024</v>
      </c>
      <c r="BH106" s="25">
        <f t="shared" si="36"/>
        <v>0.25</v>
      </c>
      <c r="BI106" s="25">
        <f t="shared" si="37"/>
        <v>2.7272727272727271E-2</v>
      </c>
      <c r="BJ106" s="25">
        <f t="shared" si="38"/>
        <v>0.71874999999999989</v>
      </c>
      <c r="BK106" s="25">
        <f t="shared" si="39"/>
        <v>0.29687499999999994</v>
      </c>
      <c r="BL106" s="25">
        <f t="shared" si="40"/>
        <v>9.7297297297297303E-2</v>
      </c>
      <c r="BM106" s="25">
        <f t="shared" si="41"/>
        <v>0.56756756756756754</v>
      </c>
      <c r="BN106" s="18" t="str">
        <f t="shared" si="47"/>
        <v>Baja fuente de proteína</v>
      </c>
      <c r="BO106" s="18" t="str">
        <f t="shared" si="48"/>
        <v>Alta fuente de fibra</v>
      </c>
      <c r="BP106" s="18" t="str">
        <f t="shared" si="49"/>
        <v>Baja fuente de calcio</v>
      </c>
      <c r="BQ106" s="18" t="str">
        <f t="shared" si="50"/>
        <v>Alta fuente de hierro</v>
      </c>
      <c r="BR106" s="18" t="str">
        <f t="shared" si="51"/>
        <v>Bajo en sodio</v>
      </c>
      <c r="BS106" s="6" t="str">
        <f t="shared" si="42"/>
        <v>Ligeramente antiinflamatorio</v>
      </c>
      <c r="BT106" s="6" t="str">
        <f t="shared" si="43"/>
        <v>Bajo en grasas</v>
      </c>
      <c r="BU106" s="18" t="str">
        <f t="shared" si="52"/>
        <v>Equilibrio de líquidos ideal</v>
      </c>
      <c r="BV106" s="18" t="str">
        <f t="shared" si="53"/>
        <v>Alta fuente de magnesio</v>
      </c>
      <c r="BW106" s="18" t="str">
        <f t="shared" si="54"/>
        <v>Sin aporte de Omega 3</v>
      </c>
      <c r="BX106" s="18" t="str">
        <f t="shared" si="55"/>
        <v>Libre de grasas trans</v>
      </c>
      <c r="BY106" s="18" t="str">
        <f t="shared" si="56"/>
        <v>Alto poder antioxidante</v>
      </c>
      <c r="BZ106" s="6" t="str">
        <f t="shared" si="44"/>
        <v>Sin probióticos</v>
      </c>
      <c r="CA106" s="18" t="str">
        <f t="shared" si="57"/>
        <v>Antiinflamatorio</v>
      </c>
      <c r="CB106" s="18" t="str">
        <f>IF(ISNUMBER(SEARCH("miel", D106)), "No irritante (Uso condicionado SII)", IF(OR(J106&gt;0, ISNUMBER(SEARCH("cacao", D106)), ISNUMBER(SEARCH("chocolate puro", D106))), "Altamente irritante", IF(OR(AND(O106&gt;15, BI106&gt;1), ISNUMBER(SEARCH("chocolate", D106))), "Moderadamente irritante", "No irritante")))</f>
        <v>No irritante</v>
      </c>
      <c r="CC106" s="6" t="str">
        <f t="shared" si="45"/>
        <v>Exceso relativo de Omega 6</v>
      </c>
    </row>
    <row r="107" spans="1:81" ht="15" customHeight="1" x14ac:dyDescent="0.3">
      <c r="A107" s="2">
        <f t="shared" si="46"/>
        <v>106</v>
      </c>
      <c r="B107" s="3" t="s">
        <v>161</v>
      </c>
      <c r="C107" s="3" t="s">
        <v>194</v>
      </c>
      <c r="D107" s="3" t="s">
        <v>208</v>
      </c>
      <c r="E107" s="3"/>
      <c r="F107" s="4">
        <v>1.5</v>
      </c>
      <c r="G107" s="5">
        <v>1</v>
      </c>
      <c r="H107" s="5">
        <v>20.100000000000001</v>
      </c>
      <c r="I107" s="5">
        <v>94.4</v>
      </c>
      <c r="J107" s="5">
        <v>0</v>
      </c>
      <c r="K107" s="5">
        <v>0.8</v>
      </c>
      <c r="L107" s="5">
        <v>2.6</v>
      </c>
      <c r="M107" s="5">
        <v>0.93</v>
      </c>
      <c r="N107" s="5">
        <v>1.7</v>
      </c>
      <c r="O107" s="5">
        <v>0</v>
      </c>
      <c r="P107" s="5">
        <v>1.9</v>
      </c>
      <c r="Q107" s="5">
        <v>0.3</v>
      </c>
      <c r="R107" s="5">
        <v>0.1</v>
      </c>
      <c r="S107" s="5">
        <v>0</v>
      </c>
      <c r="T107" s="5">
        <v>0.2</v>
      </c>
      <c r="U107" s="5">
        <v>0</v>
      </c>
      <c r="V107" s="5">
        <v>37</v>
      </c>
      <c r="W107" s="5">
        <v>0</v>
      </c>
      <c r="X107" s="5">
        <v>222</v>
      </c>
      <c r="Y107" s="5">
        <v>0</v>
      </c>
      <c r="Z107" s="5">
        <v>0.8</v>
      </c>
      <c r="AA107" s="5">
        <v>0</v>
      </c>
      <c r="AB107" s="5">
        <v>7.0000000000000007E-2</v>
      </c>
      <c r="AC107" s="5">
        <v>0.08</v>
      </c>
      <c r="AD107" s="5">
        <v>1.6</v>
      </c>
      <c r="AE107" s="5">
        <v>0</v>
      </c>
      <c r="AF107" s="5">
        <v>0</v>
      </c>
      <c r="AG107" s="5">
        <v>0</v>
      </c>
      <c r="AH107" s="5">
        <v>0.08</v>
      </c>
      <c r="AI107" s="5">
        <v>0</v>
      </c>
      <c r="AJ107" s="5">
        <v>120</v>
      </c>
      <c r="AK107" s="5">
        <v>30</v>
      </c>
      <c r="AL107" s="5">
        <v>80</v>
      </c>
      <c r="AM107" s="5">
        <v>1.2</v>
      </c>
      <c r="AN107" s="5">
        <v>1</v>
      </c>
      <c r="AO107" s="5">
        <v>0.4</v>
      </c>
      <c r="AP107" s="5">
        <v>24</v>
      </c>
      <c r="AQ107" s="5">
        <v>7</v>
      </c>
      <c r="AR107" s="5">
        <v>220</v>
      </c>
      <c r="AS107" s="5">
        <v>0</v>
      </c>
      <c r="AT107" s="5">
        <v>0.02</v>
      </c>
      <c r="AU107" s="5">
        <v>0</v>
      </c>
      <c r="AV107" s="5">
        <f>IFERROR(VLOOKUP(IFERROR(VLOOKUP(D107,Mapa_Similitud!$A$2:$B$2000,2,FALSE()),D107),Hoja1!$A$2:$K$1000,2,FALSE()),IFERROR(VLOOKUP(IFERROR(VLOOKUP(D107,Mapa_Similitud!$A$2:$B$2000,2,FALSE()),D107),Omega3_Referencia!$A$2:$E$100,3,FALSE()),0))</f>
        <v>0.02</v>
      </c>
      <c r="AW107" s="3" t="str">
        <f>IFERROR(VLOOKUP(IFERROR(VLOOKUP(D107,Mapa_Similitud!$A$2:$B$2000,2,FALSE()),D107),Hoja1!$A$2:$K$1000,3,FALSE()),IFERROR(VLOOKUP(IFERROR(VLOOKUP(D107,Mapa_Similitud!$A$2:$B$2000,2,FALSE()),D107),Omega3_Referencia!$A$2:$E$100,4,FALSE()),"N/A"))</f>
        <v>ALA</v>
      </c>
      <c r="AX107" s="5">
        <f>IFERROR(VLOOKUP(IFERROR(VLOOKUP(D107,Mapa_Similitud!$A$2:$B$2000,2,FALSE()),D107),Hoja1!$A$2:$K$1000,5,FALSE()),0)</f>
        <v>0</v>
      </c>
      <c r="AY107" s="5">
        <f>IFERROR(VLOOKUP(IFERROR(VLOOKUP(D107,Mapa_Similitud!$A$2:$B$2000,2,FALSE()),D107),Hoja1!$A$2:$K$1000,7,FALSE()),0)</f>
        <v>110</v>
      </c>
      <c r="AZ107" s="5">
        <f>IFERROR(VLOOKUP(IFERROR(VLOOKUP(D107,Mapa_Similitud!$A$2:$B$2000,2,FALSE()),D107),Hoja1!$A$2:$K$1000,9,FALSE()),0)</f>
        <v>0</v>
      </c>
      <c r="BA107" s="25">
        <f t="shared" si="29"/>
        <v>3.9800995024875621E-2</v>
      </c>
      <c r="BB107" s="25">
        <f t="shared" si="30"/>
        <v>9.4527363184079588E-2</v>
      </c>
      <c r="BC107" s="25">
        <f t="shared" si="31"/>
        <v>1.4925373134328357</v>
      </c>
      <c r="BD107" s="25">
        <f t="shared" si="32"/>
        <v>5.9701492537313425E-2</v>
      </c>
      <c r="BE107" s="25">
        <f t="shared" si="33"/>
        <v>0.34825870646766166</v>
      </c>
      <c r="BF107" s="25">
        <f t="shared" si="34"/>
        <v>2</v>
      </c>
      <c r="BG107" s="25">
        <f t="shared" si="35"/>
        <v>0.375</v>
      </c>
      <c r="BH107" s="25">
        <f t="shared" si="36"/>
        <v>0.33333333333333337</v>
      </c>
      <c r="BI107" s="25">
        <f t="shared" si="37"/>
        <v>3.1818181818181815E-2</v>
      </c>
      <c r="BJ107" s="25">
        <f t="shared" si="38"/>
        <v>0.65384615384615385</v>
      </c>
      <c r="BK107" s="25">
        <f t="shared" si="39"/>
        <v>0.73076923076923073</v>
      </c>
      <c r="BL107" s="25">
        <f t="shared" si="40"/>
        <v>0.1343283582089552</v>
      </c>
      <c r="BM107" s="25">
        <f t="shared" si="41"/>
        <v>1.1940298507462686</v>
      </c>
      <c r="BN107" s="18" t="str">
        <f t="shared" si="47"/>
        <v>Baja fuente de proteína</v>
      </c>
      <c r="BO107" s="18" t="str">
        <f t="shared" si="48"/>
        <v>Alta fuente de fibra</v>
      </c>
      <c r="BP107" s="18" t="str">
        <f t="shared" si="49"/>
        <v>Media fuente de calcio</v>
      </c>
      <c r="BQ107" s="18" t="str">
        <f t="shared" si="50"/>
        <v>Alta fuente de hierro</v>
      </c>
      <c r="BR107" s="18" t="str">
        <f t="shared" si="51"/>
        <v>Bajo en sodio</v>
      </c>
      <c r="BS107" s="6" t="str">
        <f t="shared" si="42"/>
        <v>Ligeramente antiinflamatorio</v>
      </c>
      <c r="BT107" s="6" t="str">
        <f t="shared" si="43"/>
        <v>Bajo en grasas</v>
      </c>
      <c r="BU107" s="18" t="str">
        <f t="shared" si="52"/>
        <v>Equilibrio de líquidos ideal</v>
      </c>
      <c r="BV107" s="18" t="str">
        <f t="shared" si="53"/>
        <v>Alta fuente de magnesio</v>
      </c>
      <c r="BW107" s="18" t="str">
        <f t="shared" si="54"/>
        <v>Sin aporte de Omega 3</v>
      </c>
      <c r="BX107" s="18" t="str">
        <f t="shared" si="55"/>
        <v>Libre de grasas trans</v>
      </c>
      <c r="BY107" s="18" t="str">
        <f t="shared" si="56"/>
        <v>Alto poder antioxidante</v>
      </c>
      <c r="BZ107" s="6" t="str">
        <f t="shared" si="44"/>
        <v>Sin probióticos</v>
      </c>
      <c r="CA107" s="18" t="str">
        <f t="shared" si="57"/>
        <v>Antiinflamatorio</v>
      </c>
      <c r="CB107" s="18" t="str">
        <f>IF(ISNUMBER(SEARCH("miel", D107)), "No irritante (Uso condicionado SII)", IF(OR(J107&gt;0, ISNUMBER(SEARCH("cacao", D107)), ISNUMBER(SEARCH("chocolate puro", D107))), "Altamente irritante", IF(OR(AND(O107&gt;15, BI107&gt;1), ISNUMBER(SEARCH("chocolate", D107))), "Moderadamente irritante", "No irritante")))</f>
        <v>No irritante</v>
      </c>
      <c r="CC107" s="6" t="str">
        <f t="shared" si="45"/>
        <v>Exceso relativo de Omega 6</v>
      </c>
    </row>
    <row r="108" spans="1:81" ht="15" customHeight="1" x14ac:dyDescent="0.3">
      <c r="A108" s="2">
        <f t="shared" si="46"/>
        <v>107</v>
      </c>
      <c r="B108" s="3" t="s">
        <v>161</v>
      </c>
      <c r="C108" s="3" t="s">
        <v>194</v>
      </c>
      <c r="D108" s="3" t="s">
        <v>209</v>
      </c>
      <c r="E108" s="3"/>
      <c r="F108" s="4">
        <v>2</v>
      </c>
      <c r="G108" s="5">
        <v>1</v>
      </c>
      <c r="H108" s="5">
        <v>70.099999999999994</v>
      </c>
      <c r="I108" s="5">
        <v>81.7</v>
      </c>
      <c r="J108" s="5">
        <v>0</v>
      </c>
      <c r="K108" s="5">
        <v>1.8</v>
      </c>
      <c r="L108" s="5">
        <v>11.1</v>
      </c>
      <c r="M108" s="5">
        <v>5.6</v>
      </c>
      <c r="N108" s="5">
        <v>5.4</v>
      </c>
      <c r="O108" s="5">
        <v>0</v>
      </c>
      <c r="P108" s="5">
        <v>4.3</v>
      </c>
      <c r="Q108" s="5">
        <v>1.1000000000000001</v>
      </c>
      <c r="R108" s="5">
        <v>0.2</v>
      </c>
      <c r="S108" s="5">
        <v>0.5</v>
      </c>
      <c r="T108" s="5">
        <v>0.2</v>
      </c>
      <c r="U108" s="5">
        <v>0</v>
      </c>
      <c r="V108" s="5">
        <v>5</v>
      </c>
      <c r="W108" s="5">
        <v>0</v>
      </c>
      <c r="X108" s="5">
        <v>30</v>
      </c>
      <c r="Y108" s="5">
        <v>0</v>
      </c>
      <c r="Z108" s="5">
        <v>1</v>
      </c>
      <c r="AA108" s="5">
        <v>0</v>
      </c>
      <c r="AB108" s="5">
        <v>2.3E-2</v>
      </c>
      <c r="AC108" s="5">
        <v>0.01</v>
      </c>
      <c r="AD108" s="5">
        <v>1</v>
      </c>
      <c r="AE108" s="5">
        <v>0.11</v>
      </c>
      <c r="AF108" s="5">
        <v>87</v>
      </c>
      <c r="AG108" s="5">
        <v>0</v>
      </c>
      <c r="AH108" s="5">
        <v>0</v>
      </c>
      <c r="AI108" s="5">
        <v>0</v>
      </c>
      <c r="AJ108" s="5">
        <v>17</v>
      </c>
      <c r="AK108" s="5">
        <v>41</v>
      </c>
      <c r="AL108" s="5">
        <v>74</v>
      </c>
      <c r="AM108" s="5">
        <v>0.6</v>
      </c>
      <c r="AN108" s="5">
        <v>0</v>
      </c>
      <c r="AO108" s="5">
        <v>0.3</v>
      </c>
      <c r="AP108" s="5">
        <v>23</v>
      </c>
      <c r="AQ108" s="5">
        <v>10</v>
      </c>
      <c r="AR108" s="5">
        <v>450</v>
      </c>
      <c r="AS108" s="5">
        <v>0</v>
      </c>
      <c r="AT108" s="5">
        <v>0</v>
      </c>
      <c r="AU108" s="5">
        <v>0</v>
      </c>
      <c r="AV108" s="5">
        <f>IFERROR(VLOOKUP(IFERROR(VLOOKUP(D108,Mapa_Similitud!$A$2:$B$2000,2,FALSE()),D108),Hoja1!$A$2:$K$1000,2,FALSE()),IFERROR(VLOOKUP(IFERROR(VLOOKUP(D108,Mapa_Similitud!$A$2:$B$2000,2,FALSE()),D108),Omega3_Referencia!$A$2:$E$100,3,FALSE()),0))</f>
        <v>0.01</v>
      </c>
      <c r="AW108" s="3" t="str">
        <f>IFERROR(VLOOKUP(IFERROR(VLOOKUP(D108,Mapa_Similitud!$A$2:$B$2000,2,FALSE()),D108),Hoja1!$A$2:$K$1000,3,FALSE()),IFERROR(VLOOKUP(IFERROR(VLOOKUP(D108,Mapa_Similitud!$A$2:$B$2000,2,FALSE()),D108),Omega3_Referencia!$A$2:$E$100,4,FALSE()),"N/A"))</f>
        <v>ALA</v>
      </c>
      <c r="AX108" s="5">
        <f>IFERROR(VLOOKUP(IFERROR(VLOOKUP(D108,Mapa_Similitud!$A$2:$B$2000,2,FALSE()),D108),Hoja1!$A$2:$K$1000,5,FALSE()),0)</f>
        <v>0</v>
      </c>
      <c r="AY108" s="5">
        <f>IFERROR(VLOOKUP(IFERROR(VLOOKUP(D108,Mapa_Similitud!$A$2:$B$2000,2,FALSE()),D108),Hoja1!$A$2:$K$1000,7,FALSE()),0)</f>
        <v>25</v>
      </c>
      <c r="AZ108" s="5">
        <f>IFERROR(VLOOKUP(IFERROR(VLOOKUP(D108,Mapa_Similitud!$A$2:$B$2000,2,FALSE()),D108),Hoja1!$A$2:$K$1000,9,FALSE()),0)</f>
        <v>0</v>
      </c>
      <c r="BA108" s="25">
        <f t="shared" si="29"/>
        <v>2.5677603423680459E-2</v>
      </c>
      <c r="BB108" s="25">
        <f t="shared" si="30"/>
        <v>6.1340941512125539E-2</v>
      </c>
      <c r="BC108" s="25">
        <f t="shared" si="31"/>
        <v>0.58487874465049938</v>
      </c>
      <c r="BD108" s="25">
        <f t="shared" si="32"/>
        <v>8.5592011412268191E-3</v>
      </c>
      <c r="BE108" s="25">
        <f t="shared" si="33"/>
        <v>0.14265335235378032</v>
      </c>
      <c r="BF108" s="25">
        <f t="shared" si="34"/>
        <v>1</v>
      </c>
      <c r="BG108" s="25">
        <f t="shared" si="35"/>
        <v>0.55405405405405406</v>
      </c>
      <c r="BH108" s="25">
        <f t="shared" si="36"/>
        <v>0.18181818181818182</v>
      </c>
      <c r="BI108" s="25">
        <f t="shared" si="37"/>
        <v>2.2222222222222223E-2</v>
      </c>
      <c r="BJ108" s="25">
        <f t="shared" si="38"/>
        <v>0.48648648648648651</v>
      </c>
      <c r="BK108" s="25">
        <f t="shared" si="39"/>
        <v>0.38738738738738737</v>
      </c>
      <c r="BL108" s="25">
        <f t="shared" si="40"/>
        <v>0.14122681883024252</v>
      </c>
      <c r="BM108" s="25">
        <f t="shared" si="41"/>
        <v>0.32810271041369476</v>
      </c>
      <c r="BN108" s="18" t="str">
        <f t="shared" si="47"/>
        <v>Baja fuente de proteína</v>
      </c>
      <c r="BO108" s="18" t="str">
        <f t="shared" si="48"/>
        <v>Alta fuente de fibra</v>
      </c>
      <c r="BP108" s="18" t="str">
        <f t="shared" si="49"/>
        <v>Baja fuente de calcio</v>
      </c>
      <c r="BQ108" s="18" t="str">
        <f t="shared" si="50"/>
        <v>Media fuente de hierro</v>
      </c>
      <c r="BR108" s="18" t="str">
        <f t="shared" si="51"/>
        <v>Bajo en sodio</v>
      </c>
      <c r="BS108" s="6" t="str">
        <f t="shared" si="42"/>
        <v>Neutro</v>
      </c>
      <c r="BT108" s="6" t="str">
        <f t="shared" si="43"/>
        <v>Bajo en grasas</v>
      </c>
      <c r="BU108" s="18" t="str">
        <f t="shared" si="52"/>
        <v>Equilibrio de líquidos ideal</v>
      </c>
      <c r="BV108" s="18" t="str">
        <f t="shared" si="53"/>
        <v>Media fuente de magnesio</v>
      </c>
      <c r="BW108" s="18" t="str">
        <f t="shared" si="54"/>
        <v>Sin aporte de Omega 3</v>
      </c>
      <c r="BX108" s="18" t="str">
        <f t="shared" si="55"/>
        <v>Libre de grasas trans</v>
      </c>
      <c r="BY108" s="18" t="str">
        <f t="shared" si="56"/>
        <v>Medio poder antioxidante</v>
      </c>
      <c r="BZ108" s="6" t="str">
        <f t="shared" si="44"/>
        <v>Sin probióticos</v>
      </c>
      <c r="CA108" s="18" t="str">
        <f t="shared" si="57"/>
        <v>Poco inflamatorio</v>
      </c>
      <c r="CB108" s="18" t="str">
        <f>IF(ISNUMBER(SEARCH("miel", D108)), "No irritante (Uso condicionado SII)", IF(OR(J108&gt;0, ISNUMBER(SEARCH("cacao", D108)), ISNUMBER(SEARCH("chocolate puro", D108))), "Altamente irritante", IF(OR(AND(O108&gt;15, BI108&gt;1), ISNUMBER(SEARCH("chocolate", D108))), "Moderadamente irritante", "No irritante")))</f>
        <v>No irritante</v>
      </c>
      <c r="CC108" s="6" t="str">
        <f t="shared" si="45"/>
        <v>Exceso relativo de Omega 6</v>
      </c>
    </row>
    <row r="109" spans="1:81" ht="15" customHeight="1" x14ac:dyDescent="0.3">
      <c r="A109" s="2">
        <f t="shared" si="46"/>
        <v>108</v>
      </c>
      <c r="B109" s="3" t="s">
        <v>161</v>
      </c>
      <c r="C109" s="3" t="s">
        <v>194</v>
      </c>
      <c r="D109" s="3" t="s">
        <v>210</v>
      </c>
      <c r="E109" s="3"/>
      <c r="F109" s="4">
        <v>0.4</v>
      </c>
      <c r="G109" s="5">
        <v>0.77</v>
      </c>
      <c r="H109" s="5">
        <v>30.2</v>
      </c>
      <c r="I109" s="5">
        <v>90.6</v>
      </c>
      <c r="J109" s="5">
        <v>0</v>
      </c>
      <c r="K109" s="5">
        <v>1.4</v>
      </c>
      <c r="L109" s="5">
        <v>4.2</v>
      </c>
      <c r="M109" s="5">
        <v>0.03</v>
      </c>
      <c r="N109" s="5">
        <v>4.0999999999999996</v>
      </c>
      <c r="O109" s="5">
        <v>0</v>
      </c>
      <c r="P109" s="5">
        <v>3</v>
      </c>
      <c r="Q109" s="5">
        <v>0.2</v>
      </c>
      <c r="R109" s="5">
        <v>3.7999999999999999E-2</v>
      </c>
      <c r="S109" s="5">
        <v>4.1000000000000003E-3</v>
      </c>
      <c r="T109" s="5">
        <v>0.11</v>
      </c>
      <c r="U109" s="5">
        <v>0</v>
      </c>
      <c r="V109" s="5">
        <v>12</v>
      </c>
      <c r="W109" s="5">
        <v>0</v>
      </c>
      <c r="X109" s="5">
        <v>69</v>
      </c>
      <c r="Y109" s="5">
        <v>0</v>
      </c>
      <c r="Z109" s="5">
        <v>1.7</v>
      </c>
      <c r="AA109" s="5">
        <v>70</v>
      </c>
      <c r="AB109" s="5">
        <v>4.2999999999999997E-2</v>
      </c>
      <c r="AC109" s="5">
        <v>4.4999999999999998E-2</v>
      </c>
      <c r="AD109" s="5">
        <v>0.73</v>
      </c>
      <c r="AE109" s="5">
        <v>0.19</v>
      </c>
      <c r="AF109" s="5">
        <v>31</v>
      </c>
      <c r="AG109" s="5">
        <v>0</v>
      </c>
      <c r="AH109" s="5">
        <v>0.21</v>
      </c>
      <c r="AI109" s="5">
        <v>3.1</v>
      </c>
      <c r="AJ109" s="5">
        <v>48</v>
      </c>
      <c r="AK109" s="5">
        <v>45</v>
      </c>
      <c r="AL109" s="5">
        <v>36</v>
      </c>
      <c r="AM109" s="5">
        <v>0.41</v>
      </c>
      <c r="AN109" s="5">
        <v>3</v>
      </c>
      <c r="AO109" s="5">
        <v>0.22</v>
      </c>
      <c r="AP109" s="5">
        <v>14</v>
      </c>
      <c r="AQ109" s="5">
        <v>12</v>
      </c>
      <c r="AR109" s="5">
        <v>255</v>
      </c>
      <c r="AS109" s="5">
        <v>0.2</v>
      </c>
      <c r="AT109" s="5">
        <v>3.3000000000000002E-2</v>
      </c>
      <c r="AU109" s="5">
        <v>2.5</v>
      </c>
      <c r="AV109" s="5">
        <f>IFERROR(VLOOKUP(IFERROR(VLOOKUP(D109,Mapa_Similitud!$A$2:$B$2000,2,FALSE()),D109),Hoja1!$A$2:$K$1000,2,FALSE()),IFERROR(VLOOKUP(IFERROR(VLOOKUP(D109,Mapa_Similitud!$A$2:$B$2000,2,FALSE()),D109),Omega3_Referencia!$A$2:$E$100,3,FALSE()),0))</f>
        <v>0.03</v>
      </c>
      <c r="AW109" s="3" t="str">
        <f>IFERROR(VLOOKUP(IFERROR(VLOOKUP(D109,Mapa_Similitud!$A$2:$B$2000,2,FALSE()),D109),Hoja1!$A$2:$K$1000,3,FALSE()),IFERROR(VLOOKUP(IFERROR(VLOOKUP(D109,Mapa_Similitud!$A$2:$B$2000,2,FALSE()),D109),Omega3_Referencia!$A$2:$E$100,4,FALSE()),"N/A"))</f>
        <v>ALA</v>
      </c>
      <c r="AX109" s="5">
        <f>IFERROR(VLOOKUP(IFERROR(VLOOKUP(D109,Mapa_Similitud!$A$2:$B$2000,2,FALSE()),D109),Hoja1!$A$2:$K$1000,5,FALSE()),0)</f>
        <v>0</v>
      </c>
      <c r="AY109" s="5">
        <f>IFERROR(VLOOKUP(IFERROR(VLOOKUP(D109,Mapa_Similitud!$A$2:$B$2000,2,FALSE()),D109),Hoja1!$A$2:$K$1000,7,FALSE()),0)</f>
        <v>60</v>
      </c>
      <c r="AZ109" s="5">
        <f>IFERROR(VLOOKUP(IFERROR(VLOOKUP(D109,Mapa_Similitud!$A$2:$B$2000,2,FALSE()),D109),Hoja1!$A$2:$K$1000,9,FALSE()),0)</f>
        <v>0</v>
      </c>
      <c r="BA109" s="25">
        <f t="shared" si="29"/>
        <v>4.6357615894039736E-2</v>
      </c>
      <c r="BB109" s="25">
        <f t="shared" si="30"/>
        <v>9.9337748344370869E-2</v>
      </c>
      <c r="BC109" s="25">
        <f t="shared" si="31"/>
        <v>1.490066225165563</v>
      </c>
      <c r="BD109" s="25">
        <f t="shared" si="32"/>
        <v>1.357615894039735E-2</v>
      </c>
      <c r="BE109" s="25">
        <f t="shared" si="33"/>
        <v>0.39735099337748347</v>
      </c>
      <c r="BF109" s="25">
        <f t="shared" si="34"/>
        <v>2.8947368421052633</v>
      </c>
      <c r="BG109" s="25">
        <f t="shared" si="35"/>
        <v>1.25</v>
      </c>
      <c r="BH109" s="25">
        <f t="shared" si="36"/>
        <v>0.18999999999999997</v>
      </c>
      <c r="BI109" s="25">
        <f t="shared" si="37"/>
        <v>4.7058823529411764E-2</v>
      </c>
      <c r="BJ109" s="25">
        <f t="shared" si="38"/>
        <v>0.97619047619047605</v>
      </c>
      <c r="BK109" s="25">
        <f t="shared" si="39"/>
        <v>0.7142857142857143</v>
      </c>
      <c r="BL109" s="25">
        <f t="shared" si="40"/>
        <v>5.9602649006622523E-2</v>
      </c>
      <c r="BM109" s="25">
        <f t="shared" si="41"/>
        <v>0.46357615894039739</v>
      </c>
      <c r="BN109" s="18" t="str">
        <f t="shared" si="47"/>
        <v>Baja fuente de proteína</v>
      </c>
      <c r="BO109" s="18" t="str">
        <f t="shared" si="48"/>
        <v>Alta fuente de fibra</v>
      </c>
      <c r="BP109" s="18" t="str">
        <f t="shared" si="49"/>
        <v>Media fuente de calcio</v>
      </c>
      <c r="BQ109" s="18" t="str">
        <f t="shared" si="50"/>
        <v>Media fuente de hierro</v>
      </c>
      <c r="BR109" s="18" t="str">
        <f t="shared" si="51"/>
        <v>Bajo en sodio</v>
      </c>
      <c r="BS109" s="6" t="str">
        <f t="shared" si="42"/>
        <v>Altamente antiinflamatorio</v>
      </c>
      <c r="BT109" s="6" t="str">
        <f t="shared" si="43"/>
        <v>Bajo en grasas</v>
      </c>
      <c r="BU109" s="18" t="str">
        <f t="shared" si="52"/>
        <v>Equilibrio de líquidos ideal</v>
      </c>
      <c r="BV109" s="18" t="str">
        <f t="shared" si="53"/>
        <v>Media fuente de magnesio</v>
      </c>
      <c r="BW109" s="18" t="str">
        <f t="shared" si="54"/>
        <v>Sin aporte de Omega 3</v>
      </c>
      <c r="BX109" s="18" t="str">
        <f t="shared" si="55"/>
        <v>Libre de grasas trans</v>
      </c>
      <c r="BY109" s="18" t="str">
        <f t="shared" si="56"/>
        <v>Alto poder antioxidante</v>
      </c>
      <c r="BZ109" s="6" t="str">
        <f t="shared" si="44"/>
        <v>Sin probióticos</v>
      </c>
      <c r="CA109" s="18" t="str">
        <f t="shared" si="57"/>
        <v>Antiinflamatorio</v>
      </c>
      <c r="CB109" s="18" t="str">
        <f>IF(ISNUMBER(SEARCH("miel", D109)), "No irritante (Uso condicionado SII)", IF(OR(J109&gt;0, ISNUMBER(SEARCH("cacao", D109)), ISNUMBER(SEARCH("chocolate puro", D109))), "Altamente irritante", IF(OR(AND(O109&gt;15, BI109&gt;1), ISNUMBER(SEARCH("chocolate", D109))), "Moderadamente irritante", "No irritante")))</f>
        <v>No irritante</v>
      </c>
      <c r="CC109" s="6" t="str">
        <f t="shared" si="45"/>
        <v>Balance de omegas favorable</v>
      </c>
    </row>
    <row r="110" spans="1:81" ht="15" customHeight="1" x14ac:dyDescent="0.3">
      <c r="A110" s="2">
        <f t="shared" si="46"/>
        <v>109</v>
      </c>
      <c r="B110" s="3" t="s">
        <v>161</v>
      </c>
      <c r="C110" s="3" t="s">
        <v>194</v>
      </c>
      <c r="D110" s="3" t="s">
        <v>211</v>
      </c>
      <c r="E110" s="3"/>
      <c r="F110" s="4">
        <v>2.5</v>
      </c>
      <c r="G110" s="5">
        <v>0.78</v>
      </c>
      <c r="H110" s="5">
        <v>42.7</v>
      </c>
      <c r="I110" s="5">
        <v>87.5</v>
      </c>
      <c r="J110" s="5">
        <v>0</v>
      </c>
      <c r="K110" s="5">
        <v>4.4000000000000004</v>
      </c>
      <c r="L110" s="5">
        <v>3.3</v>
      </c>
      <c r="M110" s="5">
        <v>0.49</v>
      </c>
      <c r="N110" s="5">
        <v>2.8</v>
      </c>
      <c r="O110" s="5">
        <v>0</v>
      </c>
      <c r="P110" s="5">
        <v>4.4000000000000004</v>
      </c>
      <c r="Q110" s="5">
        <v>0.34</v>
      </c>
      <c r="R110" s="5">
        <v>4.7E-2</v>
      </c>
      <c r="S110" s="5">
        <v>7.0000000000000001E-3</v>
      </c>
      <c r="T110" s="5">
        <v>0.24</v>
      </c>
      <c r="U110" s="5">
        <v>0</v>
      </c>
      <c r="V110" s="5">
        <v>12.8</v>
      </c>
      <c r="W110" s="5">
        <v>0</v>
      </c>
      <c r="X110" s="5">
        <v>77</v>
      </c>
      <c r="Y110" s="5">
        <v>0</v>
      </c>
      <c r="Z110" s="5">
        <v>0.56000000000000005</v>
      </c>
      <c r="AA110" s="5">
        <v>236</v>
      </c>
      <c r="AB110" s="5">
        <v>0.13</v>
      </c>
      <c r="AC110" s="5">
        <v>0.13</v>
      </c>
      <c r="AD110" s="5">
        <v>1</v>
      </c>
      <c r="AE110" s="5">
        <v>0.34</v>
      </c>
      <c r="AF110" s="5">
        <v>101</v>
      </c>
      <c r="AG110" s="5">
        <v>0</v>
      </c>
      <c r="AH110" s="5">
        <v>1</v>
      </c>
      <c r="AI110" s="5">
        <v>0.4</v>
      </c>
      <c r="AJ110" s="5">
        <v>112</v>
      </c>
      <c r="AK110" s="5">
        <v>33</v>
      </c>
      <c r="AL110" s="5">
        <v>84</v>
      </c>
      <c r="AM110" s="5">
        <v>1</v>
      </c>
      <c r="AN110" s="5">
        <v>0.7</v>
      </c>
      <c r="AO110" s="5">
        <v>0.54</v>
      </c>
      <c r="AP110" s="5">
        <v>22</v>
      </c>
      <c r="AQ110" s="5">
        <v>9.1999999999999993</v>
      </c>
      <c r="AR110" s="5">
        <v>451</v>
      </c>
      <c r="AS110" s="5">
        <v>0.3</v>
      </c>
      <c r="AT110" s="5">
        <v>6.5000000000000002E-2</v>
      </c>
      <c r="AU110" s="5">
        <v>0.6</v>
      </c>
      <c r="AV110" s="5">
        <f>IFERROR(VLOOKUP(IFERROR(VLOOKUP(D110,Mapa_Similitud!$A$2:$B$2000,2,FALSE()),D110),Hoja1!$A$2:$K$1000,2,FALSE()),IFERROR(VLOOKUP(IFERROR(VLOOKUP(D110,Mapa_Similitud!$A$2:$B$2000,2,FALSE()),D110),Omega3_Referencia!$A$2:$E$100,3,FALSE()),0))</f>
        <v>0.09</v>
      </c>
      <c r="AW110" s="3" t="str">
        <f>IFERROR(VLOOKUP(IFERROR(VLOOKUP(D110,Mapa_Similitud!$A$2:$B$2000,2,FALSE()),D110),Hoja1!$A$2:$K$1000,3,FALSE()),IFERROR(VLOOKUP(IFERROR(VLOOKUP(D110,Mapa_Similitud!$A$2:$B$2000,2,FALSE()),D110),Omega3_Referencia!$A$2:$E$100,4,FALSE()),"N/A"))</f>
        <v>ALA</v>
      </c>
      <c r="AX110" s="5">
        <f>IFERROR(VLOOKUP(IFERROR(VLOOKUP(D110,Mapa_Similitud!$A$2:$B$2000,2,FALSE()),D110),Hoja1!$A$2:$K$1000,5,FALSE()),0)</f>
        <v>0</v>
      </c>
      <c r="AY110" s="5">
        <f>IFERROR(VLOOKUP(IFERROR(VLOOKUP(D110,Mapa_Similitud!$A$2:$B$2000,2,FALSE()),D110),Hoja1!$A$2:$K$1000,7,FALSE()),0)</f>
        <v>110</v>
      </c>
      <c r="AZ110" s="5">
        <f>IFERROR(VLOOKUP(IFERROR(VLOOKUP(D110,Mapa_Similitud!$A$2:$B$2000,2,FALSE()),D110),Hoja1!$A$2:$K$1000,9,FALSE()),0)</f>
        <v>0</v>
      </c>
      <c r="BA110" s="25">
        <f t="shared" si="29"/>
        <v>0.10304449648711944</v>
      </c>
      <c r="BB110" s="25">
        <f t="shared" si="30"/>
        <v>0.10304449648711944</v>
      </c>
      <c r="BC110" s="25">
        <f t="shared" si="31"/>
        <v>0.77283372365339575</v>
      </c>
      <c r="BD110" s="25">
        <f t="shared" si="32"/>
        <v>2.3419203747072598E-2</v>
      </c>
      <c r="BE110" s="25">
        <f t="shared" si="33"/>
        <v>0.21545667447306788</v>
      </c>
      <c r="BF110" s="25">
        <f t="shared" si="34"/>
        <v>5.1063829787234036</v>
      </c>
      <c r="BG110" s="25">
        <f t="shared" si="35"/>
        <v>0.39285714285714285</v>
      </c>
      <c r="BH110" s="25">
        <f t="shared" si="36"/>
        <v>0.13823529411764704</v>
      </c>
      <c r="BI110" s="25">
        <f t="shared" si="37"/>
        <v>2.039911308203991E-2</v>
      </c>
      <c r="BJ110" s="25">
        <f t="shared" si="38"/>
        <v>0.84848484848484851</v>
      </c>
      <c r="BK110" s="25">
        <f t="shared" si="39"/>
        <v>1.3333333333333335</v>
      </c>
      <c r="BL110" s="25">
        <f t="shared" si="40"/>
        <v>7.1662763466042154E-2</v>
      </c>
      <c r="BM110" s="25">
        <f t="shared" si="41"/>
        <v>0.51522248243559721</v>
      </c>
      <c r="BN110" s="18" t="str">
        <f t="shared" si="47"/>
        <v>Media fuente de proteína</v>
      </c>
      <c r="BO110" s="18" t="str">
        <f t="shared" si="48"/>
        <v>Alta fuente de fibra</v>
      </c>
      <c r="BP110" s="18" t="str">
        <f t="shared" si="49"/>
        <v>Baja fuente de calcio</v>
      </c>
      <c r="BQ110" s="18" t="str">
        <f t="shared" si="50"/>
        <v>Alta fuente de hierro</v>
      </c>
      <c r="BR110" s="18" t="str">
        <f t="shared" si="51"/>
        <v>Bajo en sodio</v>
      </c>
      <c r="BS110" s="6" t="str">
        <f t="shared" si="42"/>
        <v>Altamente antiinflamatorio</v>
      </c>
      <c r="BT110" s="6" t="str">
        <f t="shared" si="43"/>
        <v>Bajo en grasas</v>
      </c>
      <c r="BU110" s="18" t="str">
        <f t="shared" si="52"/>
        <v>Equilibrio de líquidos ideal</v>
      </c>
      <c r="BV110" s="18" t="str">
        <f t="shared" si="53"/>
        <v>Alta fuente de magnesio</v>
      </c>
      <c r="BW110" s="18" t="str">
        <f t="shared" si="54"/>
        <v>Sin aporte de Omega 3</v>
      </c>
      <c r="BX110" s="18" t="str">
        <f t="shared" si="55"/>
        <v>Libre de grasas trans</v>
      </c>
      <c r="BY110" s="18" t="str">
        <f t="shared" si="56"/>
        <v>Alto poder antioxidante</v>
      </c>
      <c r="BZ110" s="6" t="str">
        <f t="shared" si="44"/>
        <v>Sin probióticos</v>
      </c>
      <c r="CA110" s="18" t="str">
        <f t="shared" si="57"/>
        <v>Antiinflamatorio</v>
      </c>
      <c r="CB110" s="18" t="str">
        <f>IF(ISNUMBER(SEARCH("miel", D110)), "No irritante (Uso condicionado SII)", IF(OR(J110&gt;0, ISNUMBER(SEARCH("cacao", D110)), ISNUMBER(SEARCH("chocolate puro", D110))), "Altamente irritante", IF(OR(AND(O110&gt;15, BI110&gt;1), ISNUMBER(SEARCH("chocolate", D110))), "Moderadamente irritante", "No irritante")))</f>
        <v>No irritante</v>
      </c>
      <c r="CC110" s="6" t="str">
        <f t="shared" si="45"/>
        <v>Balance de omegas favorable</v>
      </c>
    </row>
    <row r="111" spans="1:81" ht="15" customHeight="1" x14ac:dyDescent="0.3">
      <c r="A111" s="2">
        <f t="shared" si="46"/>
        <v>110</v>
      </c>
      <c r="B111" s="3" t="s">
        <v>161</v>
      </c>
      <c r="C111" s="3" t="s">
        <v>194</v>
      </c>
      <c r="D111" s="3" t="s">
        <v>212</v>
      </c>
      <c r="E111" s="3"/>
      <c r="F111" s="4">
        <v>2</v>
      </c>
      <c r="G111" s="5">
        <v>0.85</v>
      </c>
      <c r="H111" s="5">
        <v>43.7</v>
      </c>
      <c r="I111" s="5">
        <v>88.1</v>
      </c>
      <c r="J111" s="5">
        <v>0</v>
      </c>
      <c r="K111" s="5">
        <v>4.3</v>
      </c>
      <c r="L111" s="5">
        <v>2.5</v>
      </c>
      <c r="M111" s="5">
        <v>0</v>
      </c>
      <c r="N111" s="5">
        <v>2.5</v>
      </c>
      <c r="O111" s="5">
        <v>0</v>
      </c>
      <c r="P111" s="5">
        <v>4.2</v>
      </c>
      <c r="Q111" s="5">
        <v>0.9</v>
      </c>
      <c r="R111" s="5">
        <v>0.11</v>
      </c>
      <c r="S111" s="5">
        <v>1.7000000000000001E-2</v>
      </c>
      <c r="T111" s="5">
        <v>0.49</v>
      </c>
      <c r="U111" s="5">
        <v>0</v>
      </c>
      <c r="V111" s="5">
        <v>867</v>
      </c>
      <c r="W111" s="5">
        <v>0</v>
      </c>
      <c r="X111" s="5">
        <v>5200</v>
      </c>
      <c r="Y111" s="5">
        <v>0</v>
      </c>
      <c r="Z111" s="5">
        <v>1.7</v>
      </c>
      <c r="AA111" s="5">
        <v>817</v>
      </c>
      <c r="AB111" s="5">
        <v>0.1</v>
      </c>
      <c r="AC111" s="5">
        <v>0.25</v>
      </c>
      <c r="AD111" s="5">
        <v>2.1</v>
      </c>
      <c r="AE111" s="5">
        <v>0.25</v>
      </c>
      <c r="AF111" s="5">
        <v>187</v>
      </c>
      <c r="AG111" s="5">
        <v>0</v>
      </c>
      <c r="AH111" s="5">
        <v>0.09</v>
      </c>
      <c r="AI111" s="5">
        <v>0.5</v>
      </c>
      <c r="AJ111" s="5">
        <v>105</v>
      </c>
      <c r="AK111" s="5">
        <v>212</v>
      </c>
      <c r="AL111" s="5">
        <v>87</v>
      </c>
      <c r="AM111" s="5">
        <v>1.9</v>
      </c>
      <c r="AN111" s="5">
        <v>4.5</v>
      </c>
      <c r="AO111" s="5">
        <v>0.33</v>
      </c>
      <c r="AP111" s="5">
        <v>31</v>
      </c>
      <c r="AQ111" s="5">
        <v>35</v>
      </c>
      <c r="AR111" s="5">
        <v>451</v>
      </c>
      <c r="AS111" s="5">
        <v>0.55000000000000004</v>
      </c>
      <c r="AT111" s="5">
        <v>5.6000000000000001E-2</v>
      </c>
      <c r="AU111" s="5">
        <v>1.4</v>
      </c>
      <c r="AV111" s="5">
        <f>IFERROR(VLOOKUP(IFERROR(VLOOKUP(D111,Mapa_Similitud!$A$2:$B$2000,2,FALSE()),D111),Hoja1!$A$2:$K$1000,2,FALSE()),IFERROR(VLOOKUP(IFERROR(VLOOKUP(D111,Mapa_Similitud!$A$2:$B$2000,2,FALSE()),D111),Omega3_Referencia!$A$2:$E$100,3,FALSE()),0))</f>
        <v>0.18</v>
      </c>
      <c r="AW111" s="3" t="str">
        <f>IFERROR(VLOOKUP(IFERROR(VLOOKUP(D111,Mapa_Similitud!$A$2:$B$2000,2,FALSE()),D111),Hoja1!$A$2:$K$1000,3,FALSE()),IFERROR(VLOOKUP(IFERROR(VLOOKUP(D111,Mapa_Similitud!$A$2:$B$2000,2,FALSE()),D111),Omega3_Referencia!$A$2:$E$100,4,FALSE()),"N/A"))</f>
        <v>ALA</v>
      </c>
      <c r="AX111" s="5">
        <f>IFERROR(VLOOKUP(IFERROR(VLOOKUP(D111,Mapa_Similitud!$A$2:$B$2000,2,FALSE()),D111),Hoja1!$A$2:$K$1000,5,FALSE()),0)</f>
        <v>0</v>
      </c>
      <c r="AY111" s="5">
        <f>IFERROR(VLOOKUP(IFERROR(VLOOKUP(D111,Mapa_Similitud!$A$2:$B$2000,2,FALSE()),D111),Hoja1!$A$2:$K$1000,7,FALSE()),0)</f>
        <v>250</v>
      </c>
      <c r="AZ111" s="5">
        <f>IFERROR(VLOOKUP(IFERROR(VLOOKUP(D111,Mapa_Similitud!$A$2:$B$2000,2,FALSE()),D111),Hoja1!$A$2:$K$1000,9,FALSE()),0)</f>
        <v>0</v>
      </c>
      <c r="BA111" s="25">
        <f t="shared" si="29"/>
        <v>9.8398169336384428E-2</v>
      </c>
      <c r="BB111" s="25">
        <f t="shared" si="30"/>
        <v>9.6109839816933634E-2</v>
      </c>
      <c r="BC111" s="25">
        <f t="shared" si="31"/>
        <v>4.8512585812356974</v>
      </c>
      <c r="BD111" s="25">
        <f t="shared" si="32"/>
        <v>4.3478260869565209E-2</v>
      </c>
      <c r="BE111" s="25">
        <f t="shared" si="33"/>
        <v>0.8009153318077803</v>
      </c>
      <c r="BF111" s="25">
        <f t="shared" si="34"/>
        <v>4.4545454545454541</v>
      </c>
      <c r="BG111" s="25">
        <f t="shared" si="35"/>
        <v>2.4367816091954024</v>
      </c>
      <c r="BH111" s="25">
        <f t="shared" si="36"/>
        <v>0.12222222222222222</v>
      </c>
      <c r="BI111" s="25">
        <f t="shared" si="37"/>
        <v>7.7605321507760533E-2</v>
      </c>
      <c r="BJ111" s="25">
        <f t="shared" si="38"/>
        <v>1</v>
      </c>
      <c r="BK111" s="25">
        <f t="shared" si="39"/>
        <v>1.6800000000000002</v>
      </c>
      <c r="BL111" s="25">
        <f t="shared" si="40"/>
        <v>0.18535469107551486</v>
      </c>
      <c r="BM111" s="25">
        <f t="shared" si="41"/>
        <v>0.70938215102974822</v>
      </c>
      <c r="BN111" s="18" t="str">
        <f t="shared" si="47"/>
        <v>Baja fuente de proteína</v>
      </c>
      <c r="BO111" s="18" t="str">
        <f t="shared" si="48"/>
        <v>Alta fuente de fibra</v>
      </c>
      <c r="BP111" s="18" t="str">
        <f t="shared" si="49"/>
        <v>Alta fuente de calcio</v>
      </c>
      <c r="BQ111" s="18" t="str">
        <f t="shared" si="50"/>
        <v>Alta fuente de hierro</v>
      </c>
      <c r="BR111" s="18" t="str">
        <f t="shared" si="51"/>
        <v>Moderado en sodio</v>
      </c>
      <c r="BS111" s="6" t="str">
        <f t="shared" si="42"/>
        <v>Altamente antiinflamatorio</v>
      </c>
      <c r="BT111" s="6" t="str">
        <f t="shared" si="43"/>
        <v>Bajo en grasas</v>
      </c>
      <c r="BU111" s="18" t="str">
        <f t="shared" si="52"/>
        <v>Equilibrio de líquidos ideal</v>
      </c>
      <c r="BV111" s="18" t="str">
        <f t="shared" si="53"/>
        <v>Alta fuente de magnesio</v>
      </c>
      <c r="BW111" s="18" t="str">
        <f t="shared" si="54"/>
        <v>Ligera fuente de Omega 3</v>
      </c>
      <c r="BX111" s="18" t="str">
        <f t="shared" si="55"/>
        <v>Libre de grasas trans</v>
      </c>
      <c r="BY111" s="18" t="str">
        <f t="shared" si="56"/>
        <v>Alto poder antioxidante</v>
      </c>
      <c r="BZ111" s="6" t="str">
        <f t="shared" si="44"/>
        <v>Sin probióticos</v>
      </c>
      <c r="CA111" s="18" t="str">
        <f t="shared" si="57"/>
        <v>Antiinflamatorio</v>
      </c>
      <c r="CB111" s="18" t="str">
        <f>IF(ISNUMBER(SEARCH("miel", D111)), "No irritante (Uso condicionado SII)", IF(OR(J111&gt;0, ISNUMBER(SEARCH("cacao", D111)), ISNUMBER(SEARCH("chocolate puro", D111))), "Altamente irritante", IF(OR(AND(O111&gt;15, BI111&gt;1), ISNUMBER(SEARCH("chocolate", D111))), "Moderadamente irritante", "No irritante")))</f>
        <v>No irritante</v>
      </c>
      <c r="CC111" s="6" t="str">
        <f t="shared" si="45"/>
        <v>Balance de omegas favorable</v>
      </c>
    </row>
    <row r="112" spans="1:81" ht="15" customHeight="1" x14ac:dyDescent="0.3">
      <c r="A112" s="2">
        <f t="shared" si="46"/>
        <v>111</v>
      </c>
      <c r="B112" s="3" t="s">
        <v>161</v>
      </c>
      <c r="C112" s="3" t="s">
        <v>194</v>
      </c>
      <c r="D112" s="3" t="s">
        <v>213</v>
      </c>
      <c r="E112" s="3"/>
      <c r="F112" s="4">
        <v>0.6</v>
      </c>
      <c r="G112" s="5">
        <v>0.8</v>
      </c>
      <c r="H112" s="5">
        <v>27.5</v>
      </c>
      <c r="I112" s="5">
        <v>92</v>
      </c>
      <c r="J112" s="5">
        <v>0</v>
      </c>
      <c r="K112" s="5">
        <v>2.4</v>
      </c>
      <c r="L112" s="5">
        <v>2.4</v>
      </c>
      <c r="M112" s="5">
        <v>0.28999999999999998</v>
      </c>
      <c r="N112" s="5">
        <v>2.1</v>
      </c>
      <c r="O112" s="5">
        <v>0</v>
      </c>
      <c r="P112" s="5">
        <v>2.9</v>
      </c>
      <c r="Q112" s="5">
        <v>0.28000000000000003</v>
      </c>
      <c r="R112" s="5">
        <v>4.2000000000000003E-2</v>
      </c>
      <c r="S112" s="5">
        <v>6.0000000000000001E-3</v>
      </c>
      <c r="T112" s="5">
        <v>0.14000000000000001</v>
      </c>
      <c r="U112" s="5">
        <v>0</v>
      </c>
      <c r="V112" s="5">
        <v>0.33</v>
      </c>
      <c r="W112" s="5">
        <v>0</v>
      </c>
      <c r="X112" s="5">
        <v>2</v>
      </c>
      <c r="Y112" s="5">
        <v>0</v>
      </c>
      <c r="Z112" s="5">
        <v>0.21</v>
      </c>
      <c r="AA112" s="5">
        <v>57</v>
      </c>
      <c r="AB112" s="5">
        <v>8.7999999999999995E-2</v>
      </c>
      <c r="AC112" s="5">
        <v>9.1999999999999998E-2</v>
      </c>
      <c r="AD112" s="5">
        <v>1.3</v>
      </c>
      <c r="AE112" s="5">
        <v>0.24</v>
      </c>
      <c r="AF112" s="5">
        <v>72.5</v>
      </c>
      <c r="AG112" s="5">
        <v>0</v>
      </c>
      <c r="AH112" s="5">
        <v>0.6</v>
      </c>
      <c r="AI112" s="5">
        <v>1.5</v>
      </c>
      <c r="AJ112" s="5">
        <v>58.8</v>
      </c>
      <c r="AK112" s="5">
        <v>19.3</v>
      </c>
      <c r="AL112" s="5">
        <v>52</v>
      </c>
      <c r="AM112" s="5">
        <v>0.84</v>
      </c>
      <c r="AN112" s="5">
        <v>5.9</v>
      </c>
      <c r="AO112" s="5">
        <v>0.32</v>
      </c>
      <c r="AP112" s="5">
        <v>15.9</v>
      </c>
      <c r="AQ112" s="5">
        <v>13</v>
      </c>
      <c r="AR112" s="5">
        <v>296</v>
      </c>
      <c r="AS112" s="5">
        <v>0.18</v>
      </c>
      <c r="AT112" s="5">
        <v>4.4999999999999998E-2</v>
      </c>
      <c r="AU112" s="5">
        <v>0.93</v>
      </c>
      <c r="AV112" s="5">
        <f>IFERROR(VLOOKUP(IFERROR(VLOOKUP(D112,Mapa_Similitud!$A$2:$B$2000,2,FALSE()),D112),Hoja1!$A$2:$K$1000,2,FALSE()),IFERROR(VLOOKUP(IFERROR(VLOOKUP(D112,Mapa_Similitud!$A$2:$B$2000,2,FALSE()),D112),Omega3_Referencia!$A$2:$E$100,3,FALSE()),0))</f>
        <v>0.04</v>
      </c>
      <c r="AW112" s="3" t="str">
        <f>IFERROR(VLOOKUP(IFERROR(VLOOKUP(D112,Mapa_Similitud!$A$2:$B$2000,2,FALSE()),D112),Hoja1!$A$2:$K$1000,3,FALSE()),IFERROR(VLOOKUP(IFERROR(VLOOKUP(D112,Mapa_Similitud!$A$2:$B$2000,2,FALSE()),D112),Omega3_Referencia!$A$2:$E$100,4,FALSE()),"N/A"))</f>
        <v>ALA</v>
      </c>
      <c r="AX112" s="5">
        <f>IFERROR(VLOOKUP(IFERROR(VLOOKUP(D112,Mapa_Similitud!$A$2:$B$2000,2,FALSE()),D112),Hoja1!$A$2:$K$1000,5,FALSE()),0)</f>
        <v>0</v>
      </c>
      <c r="AY112" s="5">
        <f>IFERROR(VLOOKUP(IFERROR(VLOOKUP(D112,Mapa_Similitud!$A$2:$B$2000,2,FALSE()),D112),Hoja1!$A$2:$K$1000,7,FALSE()),0)</f>
        <v>45</v>
      </c>
      <c r="AZ112" s="5">
        <f>IFERROR(VLOOKUP(IFERROR(VLOOKUP(D112,Mapa_Similitud!$A$2:$B$2000,2,FALSE()),D112),Hoja1!$A$2:$K$1000,9,FALSE()),0)</f>
        <v>0</v>
      </c>
      <c r="BA112" s="25">
        <f t="shared" si="29"/>
        <v>8.7272727272727266E-2</v>
      </c>
      <c r="BB112" s="25">
        <f t="shared" si="30"/>
        <v>0.10545454545454545</v>
      </c>
      <c r="BC112" s="25">
        <f t="shared" si="31"/>
        <v>0.7018181818181819</v>
      </c>
      <c r="BD112" s="25">
        <f t="shared" si="32"/>
        <v>3.0545454545454546E-2</v>
      </c>
      <c r="BE112" s="25">
        <f t="shared" si="33"/>
        <v>0.47272727272727272</v>
      </c>
      <c r="BF112" s="25">
        <f t="shared" si="34"/>
        <v>3.3333333333333335</v>
      </c>
      <c r="BG112" s="25">
        <f t="shared" si="35"/>
        <v>0.37115384615384617</v>
      </c>
      <c r="BH112" s="25">
        <f t="shared" si="36"/>
        <v>0.15</v>
      </c>
      <c r="BI112" s="25">
        <f t="shared" si="37"/>
        <v>4.3918918918918921E-2</v>
      </c>
      <c r="BJ112" s="25">
        <f t="shared" si="38"/>
        <v>0.87500000000000011</v>
      </c>
      <c r="BK112" s="25">
        <f t="shared" si="39"/>
        <v>1.2083333333333333</v>
      </c>
      <c r="BL112" s="25">
        <f t="shared" si="40"/>
        <v>9.1636363636363655E-2</v>
      </c>
      <c r="BM112" s="25">
        <f t="shared" si="41"/>
        <v>0.57818181818181824</v>
      </c>
      <c r="BN112" s="18" t="str">
        <f t="shared" si="47"/>
        <v>Baja fuente de proteína</v>
      </c>
      <c r="BO112" s="18" t="str">
        <f t="shared" si="48"/>
        <v>Alta fuente de fibra</v>
      </c>
      <c r="BP112" s="18" t="str">
        <f t="shared" si="49"/>
        <v>Baja fuente de calcio</v>
      </c>
      <c r="BQ112" s="18" t="str">
        <f t="shared" si="50"/>
        <v>Alta fuente de hierro</v>
      </c>
      <c r="BR112" s="18" t="str">
        <f t="shared" si="51"/>
        <v>Bajo en sodio</v>
      </c>
      <c r="BS112" s="6" t="str">
        <f t="shared" si="42"/>
        <v>Altamente antiinflamatorio</v>
      </c>
      <c r="BT112" s="6" t="str">
        <f t="shared" si="43"/>
        <v>Bajo en grasas</v>
      </c>
      <c r="BU112" s="18" t="str">
        <f t="shared" si="52"/>
        <v>Equilibrio de líquidos ideal</v>
      </c>
      <c r="BV112" s="18" t="str">
        <f t="shared" si="53"/>
        <v>Alta fuente de magnesio</v>
      </c>
      <c r="BW112" s="18" t="str">
        <f t="shared" si="54"/>
        <v>Sin aporte de Omega 3</v>
      </c>
      <c r="BX112" s="18" t="str">
        <f t="shared" si="55"/>
        <v>Libre de grasas trans</v>
      </c>
      <c r="BY112" s="18" t="str">
        <f t="shared" si="56"/>
        <v>Medio poder antioxidante</v>
      </c>
      <c r="BZ112" s="6" t="str">
        <f t="shared" si="44"/>
        <v>Sin probióticos</v>
      </c>
      <c r="CA112" s="18" t="str">
        <f t="shared" si="57"/>
        <v>Poco inflamatorio</v>
      </c>
      <c r="CB112" s="18" t="str">
        <f>IF(ISNUMBER(SEARCH("miel", D112)), "No irritante (Uso condicionado SII)", IF(OR(J112&gt;0, ISNUMBER(SEARCH("cacao", D112)), ISNUMBER(SEARCH("chocolate puro", D112))), "Altamente irritante", IF(OR(AND(O112&gt;15, BI112&gt;1), ISNUMBER(SEARCH("chocolate", D112))), "Moderadamente irritante", "No irritante")))</f>
        <v>No irritante</v>
      </c>
      <c r="CC112" s="6" t="str">
        <f t="shared" si="45"/>
        <v>Balance de omegas favorable</v>
      </c>
    </row>
    <row r="113" spans="1:81" ht="15" customHeight="1" x14ac:dyDescent="0.3">
      <c r="A113" s="2">
        <f t="shared" si="46"/>
        <v>112</v>
      </c>
      <c r="B113" s="3" t="s">
        <v>161</v>
      </c>
      <c r="C113" s="3" t="s">
        <v>194</v>
      </c>
      <c r="D113" s="3" t="s">
        <v>214</v>
      </c>
      <c r="E113" s="3"/>
      <c r="F113" s="4">
        <v>1</v>
      </c>
      <c r="G113" s="5">
        <v>0.79</v>
      </c>
      <c r="H113" s="5">
        <v>17.399999999999999</v>
      </c>
      <c r="I113" s="5">
        <v>94.6</v>
      </c>
      <c r="J113" s="5">
        <v>0</v>
      </c>
      <c r="K113" s="5">
        <v>1.6</v>
      </c>
      <c r="L113" s="5">
        <v>1</v>
      </c>
      <c r="M113" s="5">
        <v>0</v>
      </c>
      <c r="N113" s="5">
        <v>1</v>
      </c>
      <c r="O113" s="5">
        <v>0</v>
      </c>
      <c r="P113" s="5">
        <v>2.6</v>
      </c>
      <c r="Q113" s="5">
        <v>0.2</v>
      </c>
      <c r="R113" s="5">
        <v>0</v>
      </c>
      <c r="S113" s="5">
        <v>0</v>
      </c>
      <c r="T113" s="5">
        <v>0.1</v>
      </c>
      <c r="U113" s="5">
        <v>0</v>
      </c>
      <c r="V113" s="5">
        <v>94</v>
      </c>
      <c r="W113" s="5">
        <v>0</v>
      </c>
      <c r="X113" s="5">
        <v>0</v>
      </c>
      <c r="Y113" s="5">
        <v>0</v>
      </c>
      <c r="Z113" s="5">
        <v>0.6</v>
      </c>
      <c r="AA113" s="5">
        <v>200</v>
      </c>
      <c r="AB113" s="5">
        <v>0.06</v>
      </c>
      <c r="AC113" s="5">
        <v>0.09</v>
      </c>
      <c r="AD113" s="5">
        <v>0.6</v>
      </c>
      <c r="AE113" s="5">
        <v>0.05</v>
      </c>
      <c r="AF113" s="5">
        <v>110</v>
      </c>
      <c r="AG113" s="5">
        <v>0</v>
      </c>
      <c r="AH113" s="5">
        <v>0.11</v>
      </c>
      <c r="AI113" s="5">
        <v>0</v>
      </c>
      <c r="AJ113" s="5">
        <v>10</v>
      </c>
      <c r="AK113" s="5">
        <v>55</v>
      </c>
      <c r="AL113" s="5">
        <v>37</v>
      </c>
      <c r="AM113" s="5">
        <v>1</v>
      </c>
      <c r="AN113" s="5">
        <v>3</v>
      </c>
      <c r="AO113" s="5">
        <v>0.2</v>
      </c>
      <c r="AP113" s="5">
        <v>13</v>
      </c>
      <c r="AQ113" s="5">
        <v>14</v>
      </c>
      <c r="AR113" s="5">
        <v>327</v>
      </c>
      <c r="AS113" s="5">
        <v>0.3</v>
      </c>
      <c r="AT113" s="5">
        <v>0.01</v>
      </c>
      <c r="AU113" s="5">
        <v>1</v>
      </c>
      <c r="AV113" s="5">
        <f>IFERROR(VLOOKUP(IFERROR(VLOOKUP(D113,Mapa_Similitud!$A$2:$B$2000,2,FALSE()),D113),Hoja1!$A$2:$K$1000,2,FALSE()),IFERROR(VLOOKUP(IFERROR(VLOOKUP(D113,Mapa_Similitud!$A$2:$B$2000,2,FALSE()),D113),Omega3_Referencia!$A$2:$E$100,3,FALSE()),0))</f>
        <v>0.01</v>
      </c>
      <c r="AW113" s="3" t="str">
        <f>IFERROR(VLOOKUP(IFERROR(VLOOKUP(D113,Mapa_Similitud!$A$2:$B$2000,2,FALSE()),D113),Hoja1!$A$2:$K$1000,3,FALSE()),IFERROR(VLOOKUP(IFERROR(VLOOKUP(D113,Mapa_Similitud!$A$2:$B$2000,2,FALSE()),D113),Omega3_Referencia!$A$2:$E$100,4,FALSE()),"N/A"))</f>
        <v>ALA</v>
      </c>
      <c r="AX113" s="5">
        <f>IFERROR(VLOOKUP(IFERROR(VLOOKUP(D113,Mapa_Similitud!$A$2:$B$2000,2,FALSE()),D113),Hoja1!$A$2:$K$1000,5,FALSE()),0)</f>
        <v>0</v>
      </c>
      <c r="AY113" s="5">
        <f>IFERROR(VLOOKUP(IFERROR(VLOOKUP(D113,Mapa_Similitud!$A$2:$B$2000,2,FALSE()),D113),Hoja1!$A$2:$K$1000,7,FALSE()),0)</f>
        <v>55</v>
      </c>
      <c r="AZ113" s="5">
        <f>IFERROR(VLOOKUP(IFERROR(VLOOKUP(D113,Mapa_Similitud!$A$2:$B$2000,2,FALSE()),D113),Hoja1!$A$2:$K$1000,9,FALSE()),0)</f>
        <v>0</v>
      </c>
      <c r="BA113" s="25">
        <f t="shared" si="29"/>
        <v>9.195402298850576E-2</v>
      </c>
      <c r="BB113" s="25">
        <f t="shared" si="30"/>
        <v>0.14942528735632185</v>
      </c>
      <c r="BC113" s="25">
        <f t="shared" si="31"/>
        <v>3.1609195402298855</v>
      </c>
      <c r="BD113" s="25">
        <f t="shared" si="32"/>
        <v>5.7471264367816098E-2</v>
      </c>
      <c r="BE113" s="25">
        <f t="shared" si="33"/>
        <v>0.8045977011494253</v>
      </c>
      <c r="BF113" s="25">
        <f t="shared" si="34"/>
        <v>0</v>
      </c>
      <c r="BG113" s="25">
        <f t="shared" si="35"/>
        <v>1.4864864864864864</v>
      </c>
      <c r="BH113" s="25">
        <f t="shared" si="36"/>
        <v>0</v>
      </c>
      <c r="BI113" s="25">
        <f t="shared" si="37"/>
        <v>4.2813455657492352E-2</v>
      </c>
      <c r="BJ113" s="25">
        <f t="shared" si="38"/>
        <v>1</v>
      </c>
      <c r="BK113" s="25">
        <f t="shared" si="39"/>
        <v>2.6</v>
      </c>
      <c r="BL113" s="25">
        <f t="shared" si="40"/>
        <v>0.10344827586206898</v>
      </c>
      <c r="BM113" s="25">
        <f t="shared" si="41"/>
        <v>0.74712643678160928</v>
      </c>
      <c r="BN113" s="18" t="str">
        <f t="shared" si="47"/>
        <v>Baja fuente de proteína</v>
      </c>
      <c r="BO113" s="18" t="str">
        <f t="shared" si="48"/>
        <v>Alta fuente de fibra</v>
      </c>
      <c r="BP113" s="18" t="str">
        <f t="shared" si="49"/>
        <v>Alta fuente de calcio</v>
      </c>
      <c r="BQ113" s="18" t="str">
        <f t="shared" si="50"/>
        <v>Alta fuente de hierro</v>
      </c>
      <c r="BR113" s="18" t="str">
        <f t="shared" si="51"/>
        <v>Moderado en sodio</v>
      </c>
      <c r="BS113" s="6" t="str">
        <f t="shared" si="42"/>
        <v>Proinflamatorio</v>
      </c>
      <c r="BT113" s="6" t="str">
        <f t="shared" si="43"/>
        <v>Bajo en grasas</v>
      </c>
      <c r="BU113" s="18" t="str">
        <f t="shared" si="52"/>
        <v>Equilibrio de líquidos ideal</v>
      </c>
      <c r="BV113" s="18" t="str">
        <f t="shared" si="53"/>
        <v>Alta fuente de magnesio</v>
      </c>
      <c r="BW113" s="18" t="str">
        <f t="shared" si="54"/>
        <v>Sin aporte de Omega 3</v>
      </c>
      <c r="BX113" s="18" t="str">
        <f t="shared" si="55"/>
        <v>Libre de grasas trans</v>
      </c>
      <c r="BY113" s="18" t="str">
        <f t="shared" si="56"/>
        <v>Alto poder antioxidante</v>
      </c>
      <c r="BZ113" s="6" t="str">
        <f t="shared" si="44"/>
        <v>Sin probióticos</v>
      </c>
      <c r="CA113" s="18" t="str">
        <f t="shared" si="57"/>
        <v>Antiinflamatorio</v>
      </c>
      <c r="CB113" s="18" t="str">
        <f>IF(ISNUMBER(SEARCH("miel", D113)), "No irritante (Uso condicionado SII)", IF(OR(J113&gt;0, ISNUMBER(SEARCH("cacao", D113)), ISNUMBER(SEARCH("chocolate puro", D113))), "Altamente irritante", IF(OR(AND(O113&gt;15, BI113&gt;1), ISNUMBER(SEARCH("chocolate", D113))), "Moderadamente irritante", "No irritante")))</f>
        <v>No irritante</v>
      </c>
      <c r="CC113" s="6" t="str">
        <f t="shared" si="45"/>
        <v>Exceso relativo de Omega 6</v>
      </c>
    </row>
    <row r="114" spans="1:81" ht="15" customHeight="1" x14ac:dyDescent="0.3">
      <c r="A114" s="2">
        <f t="shared" si="46"/>
        <v>113</v>
      </c>
      <c r="B114" s="3" t="s">
        <v>161</v>
      </c>
      <c r="C114" s="3" t="s">
        <v>194</v>
      </c>
      <c r="D114" s="3" t="s">
        <v>215</v>
      </c>
      <c r="E114" s="3"/>
      <c r="F114" s="4">
        <v>0.6</v>
      </c>
      <c r="G114" s="5">
        <v>0.81</v>
      </c>
      <c r="H114" s="5">
        <v>20.7</v>
      </c>
      <c r="I114" s="5">
        <v>93.9</v>
      </c>
      <c r="J114" s="5">
        <v>0</v>
      </c>
      <c r="K114" s="5">
        <v>2.6</v>
      </c>
      <c r="L114" s="5">
        <v>0.61</v>
      </c>
      <c r="M114" s="5">
        <v>0.14000000000000001</v>
      </c>
      <c r="N114" s="5">
        <v>0.47</v>
      </c>
      <c r="O114" s="5">
        <v>0</v>
      </c>
      <c r="P114" s="5">
        <v>2.6</v>
      </c>
      <c r="Q114" s="5">
        <v>0.3</v>
      </c>
      <c r="R114" s="5">
        <v>0.03</v>
      </c>
      <c r="S114" s="5">
        <v>1.4999999999999999E-2</v>
      </c>
      <c r="T114" s="5">
        <v>0.16</v>
      </c>
      <c r="U114" s="5">
        <v>0</v>
      </c>
      <c r="V114" s="5">
        <v>542</v>
      </c>
      <c r="W114" s="5">
        <v>0</v>
      </c>
      <c r="X114" s="5">
        <v>3254</v>
      </c>
      <c r="Y114" s="5">
        <v>0</v>
      </c>
      <c r="Z114" s="5">
        <v>1.4</v>
      </c>
      <c r="AA114" s="5">
        <v>307</v>
      </c>
      <c r="AB114" s="5">
        <v>9.1999999999999998E-2</v>
      </c>
      <c r="AC114" s="5">
        <v>0.2</v>
      </c>
      <c r="AD114" s="5">
        <v>1.4</v>
      </c>
      <c r="AE114" s="5">
        <v>0.22</v>
      </c>
      <c r="AF114" s="5">
        <v>145</v>
      </c>
      <c r="AG114" s="5">
        <v>0</v>
      </c>
      <c r="AH114" s="5">
        <v>0.25</v>
      </c>
      <c r="AI114" s="5">
        <v>6.9</v>
      </c>
      <c r="AJ114" s="5">
        <v>40</v>
      </c>
      <c r="AK114" s="5">
        <v>117</v>
      </c>
      <c r="AL114" s="5">
        <v>46</v>
      </c>
      <c r="AM114" s="5">
        <v>2.7</v>
      </c>
      <c r="AN114" s="5">
        <v>12</v>
      </c>
      <c r="AO114" s="5">
        <v>0.6</v>
      </c>
      <c r="AP114" s="5">
        <v>60</v>
      </c>
      <c r="AQ114" s="5">
        <v>69</v>
      </c>
      <c r="AR114" s="5">
        <v>554</v>
      </c>
      <c r="AS114" s="5">
        <v>0.64</v>
      </c>
      <c r="AT114" s="5">
        <v>9.7000000000000003E-2</v>
      </c>
      <c r="AU114" s="5">
        <v>0.8</v>
      </c>
      <c r="AV114" s="5">
        <f>IFERROR(VLOOKUP(IFERROR(VLOOKUP(D114,Mapa_Similitud!$A$2:$B$2000,2,FALSE()),D114),Hoja1!$A$2:$K$1000,2,FALSE()),IFERROR(VLOOKUP(IFERROR(VLOOKUP(D114,Mapa_Similitud!$A$2:$B$2000,2,FALSE()),D114),Omega3_Referencia!$A$2:$E$100,3,FALSE()),0))</f>
        <v>0.14000000000000001</v>
      </c>
      <c r="AW114" s="3" t="str">
        <f>IFERROR(VLOOKUP(IFERROR(VLOOKUP(D114,Mapa_Similitud!$A$2:$B$2000,2,FALSE()),D114),Hoja1!$A$2:$K$1000,3,FALSE()),IFERROR(VLOOKUP(IFERROR(VLOOKUP(D114,Mapa_Similitud!$A$2:$B$2000,2,FALSE()),D114),Omega3_Referencia!$A$2:$E$100,4,FALSE()),"N/A"))</f>
        <v>ALA</v>
      </c>
      <c r="AX114" s="5">
        <f>IFERROR(VLOOKUP(IFERROR(VLOOKUP(D114,Mapa_Similitud!$A$2:$B$2000,2,FALSE()),D114),Hoja1!$A$2:$K$1000,5,FALSE()),0)</f>
        <v>0</v>
      </c>
      <c r="AY114" s="5">
        <f>IFERROR(VLOOKUP(IFERROR(VLOOKUP(D114,Mapa_Similitud!$A$2:$B$2000,2,FALSE()),D114),Hoja1!$A$2:$K$1000,7,FALSE()),0)</f>
        <v>120</v>
      </c>
      <c r="AZ114" s="5">
        <f>IFERROR(VLOOKUP(IFERROR(VLOOKUP(D114,Mapa_Similitud!$A$2:$B$2000,2,FALSE()),D114),Hoja1!$A$2:$K$1000,9,FALSE()),0)</f>
        <v>0</v>
      </c>
      <c r="BA114" s="25">
        <f t="shared" si="29"/>
        <v>0.12560386473429952</v>
      </c>
      <c r="BB114" s="25">
        <f t="shared" si="30"/>
        <v>0.12560386473429952</v>
      </c>
      <c r="BC114" s="25">
        <f t="shared" si="31"/>
        <v>5.6521739130434785</v>
      </c>
      <c r="BD114" s="25">
        <f t="shared" si="32"/>
        <v>0.13043478260869568</v>
      </c>
      <c r="BE114" s="25">
        <f t="shared" si="33"/>
        <v>3.3333333333333335</v>
      </c>
      <c r="BF114" s="25">
        <f t="shared" si="34"/>
        <v>5.3333333333333339</v>
      </c>
      <c r="BG114" s="25">
        <f t="shared" si="35"/>
        <v>2.5434782608695654</v>
      </c>
      <c r="BH114" s="25">
        <f t="shared" si="36"/>
        <v>0.1</v>
      </c>
      <c r="BI114" s="25">
        <f t="shared" si="37"/>
        <v>0.12454873646209386</v>
      </c>
      <c r="BJ114" s="25">
        <f t="shared" si="38"/>
        <v>0.77049180327868849</v>
      </c>
      <c r="BK114" s="25">
        <f t="shared" si="39"/>
        <v>4.2622950819672134</v>
      </c>
      <c r="BL114" s="25">
        <f t="shared" si="40"/>
        <v>0.13043478260869565</v>
      </c>
      <c r="BM114" s="25">
        <f t="shared" si="41"/>
        <v>2.8985507246376812</v>
      </c>
      <c r="BN114" s="18" t="str">
        <f t="shared" si="47"/>
        <v>Media fuente de proteína</v>
      </c>
      <c r="BO114" s="18" t="str">
        <f t="shared" si="48"/>
        <v>Alta fuente de fibra</v>
      </c>
      <c r="BP114" s="18" t="str">
        <f t="shared" si="49"/>
        <v>Alta fuente de calcio</v>
      </c>
      <c r="BQ114" s="18" t="str">
        <f t="shared" si="50"/>
        <v>Alta fuente de hierro</v>
      </c>
      <c r="BR114" s="18" t="str">
        <f t="shared" si="51"/>
        <v>Muy alto en sodio</v>
      </c>
      <c r="BS114" s="6" t="str">
        <f t="shared" si="42"/>
        <v>Altamente antiinflamatorio</v>
      </c>
      <c r="BT114" s="6" t="str">
        <f t="shared" si="43"/>
        <v>Bajo en grasas</v>
      </c>
      <c r="BU114" s="18" t="str">
        <f t="shared" si="52"/>
        <v>Equilibrio de líquidos ideal</v>
      </c>
      <c r="BV114" s="18" t="str">
        <f t="shared" si="53"/>
        <v>Alta fuente de magnesio</v>
      </c>
      <c r="BW114" s="18" t="str">
        <f t="shared" si="54"/>
        <v>Ligera fuente de Omega 3</v>
      </c>
      <c r="BX114" s="18" t="str">
        <f t="shared" si="55"/>
        <v>Libre de grasas trans</v>
      </c>
      <c r="BY114" s="18" t="str">
        <f t="shared" si="56"/>
        <v>Alto poder antioxidante</v>
      </c>
      <c r="BZ114" s="6" t="str">
        <f t="shared" si="44"/>
        <v>Sin probióticos</v>
      </c>
      <c r="CA114" s="18" t="str">
        <f t="shared" si="57"/>
        <v>Antiinflamatorio</v>
      </c>
      <c r="CB114" s="18" t="str">
        <f>IF(ISNUMBER(SEARCH("miel", D114)), "No irritante (Uso condicionado SII)", IF(OR(J114&gt;0, ISNUMBER(SEARCH("cacao", D114)), ISNUMBER(SEARCH("chocolate puro", D114))), "Altamente irritante", IF(OR(AND(O114&gt;15, BI114&gt;1), ISNUMBER(SEARCH("chocolate", D114))), "Moderadamente irritante", "No irritante")))</f>
        <v>No irritante</v>
      </c>
      <c r="CC114" s="6" t="str">
        <f t="shared" si="45"/>
        <v>Balance de omegas favorable</v>
      </c>
    </row>
    <row r="115" spans="1:81" ht="15" customHeight="1" x14ac:dyDescent="0.3">
      <c r="A115" s="2">
        <f t="shared" si="46"/>
        <v>114</v>
      </c>
      <c r="B115" s="3" t="s">
        <v>161</v>
      </c>
      <c r="C115" s="3" t="s">
        <v>194</v>
      </c>
      <c r="D115" s="3" t="s">
        <v>216</v>
      </c>
      <c r="E115" s="3"/>
      <c r="F115" s="4">
        <v>1</v>
      </c>
      <c r="G115" s="5">
        <v>0.37</v>
      </c>
      <c r="H115" s="5">
        <v>90.7</v>
      </c>
      <c r="I115" s="5">
        <v>76</v>
      </c>
      <c r="J115" s="5">
        <v>0</v>
      </c>
      <c r="K115" s="5">
        <v>6.9</v>
      </c>
      <c r="L115" s="5">
        <v>11.3</v>
      </c>
      <c r="M115" s="5">
        <v>10.1</v>
      </c>
      <c r="N115" s="5">
        <v>1.2</v>
      </c>
      <c r="O115" s="5">
        <v>0</v>
      </c>
      <c r="P115" s="5">
        <v>4.9000000000000004</v>
      </c>
      <c r="Q115" s="5">
        <v>0.9</v>
      </c>
      <c r="R115" s="5">
        <v>0.1</v>
      </c>
      <c r="S115" s="5">
        <v>0.1</v>
      </c>
      <c r="T115" s="5">
        <v>0.5</v>
      </c>
      <c r="U115" s="5">
        <v>0</v>
      </c>
      <c r="V115" s="5">
        <v>60.5</v>
      </c>
      <c r="W115" s="5">
        <v>0</v>
      </c>
      <c r="X115" s="5">
        <v>363</v>
      </c>
      <c r="Y115" s="5">
        <v>0</v>
      </c>
      <c r="Z115" s="5">
        <v>0.23</v>
      </c>
      <c r="AA115" s="5">
        <v>29</v>
      </c>
      <c r="AB115" s="5">
        <v>0.28999999999999998</v>
      </c>
      <c r="AC115" s="5">
        <v>0.16</v>
      </c>
      <c r="AD115" s="5">
        <v>4.0999999999999996</v>
      </c>
      <c r="AE115" s="5">
        <v>0.17</v>
      </c>
      <c r="AF115" s="5">
        <v>75.3</v>
      </c>
      <c r="AG115" s="5">
        <v>0</v>
      </c>
      <c r="AH115" s="5">
        <v>0.45</v>
      </c>
      <c r="AI115" s="5">
        <v>5.3</v>
      </c>
      <c r="AJ115" s="5">
        <v>21.9</v>
      </c>
      <c r="AK115" s="5">
        <v>25.4</v>
      </c>
      <c r="AL115" s="5">
        <v>113</v>
      </c>
      <c r="AM115" s="5">
        <v>1.9</v>
      </c>
      <c r="AN115" s="5">
        <v>4</v>
      </c>
      <c r="AO115" s="5">
        <v>0.7</v>
      </c>
      <c r="AP115" s="5">
        <v>32.299999999999997</v>
      </c>
      <c r="AQ115" s="5">
        <v>2</v>
      </c>
      <c r="AR115" s="5">
        <v>247</v>
      </c>
      <c r="AS115" s="5">
        <v>0.35</v>
      </c>
      <c r="AT115" s="5">
        <v>0.25</v>
      </c>
      <c r="AU115" s="5">
        <v>0.89</v>
      </c>
      <c r="AV115" s="5">
        <f>IFERROR(VLOOKUP(IFERROR(VLOOKUP(D115,Mapa_Similitud!$A$2:$B$2000,2,FALSE()),D115),Hoja1!$A$2:$K$1000,2,FALSE()),IFERROR(VLOOKUP(IFERROR(VLOOKUP(D115,Mapa_Similitud!$A$2:$B$2000,2,FALSE()),D115),Omega3_Referencia!$A$2:$E$100,3,FALSE()),0))</f>
        <v>0.04</v>
      </c>
      <c r="AW115" s="3" t="str">
        <f>IFERROR(VLOOKUP(IFERROR(VLOOKUP(D115,Mapa_Similitud!$A$2:$B$2000,2,FALSE()),D115),Hoja1!$A$2:$K$1000,3,FALSE()),IFERROR(VLOOKUP(IFERROR(VLOOKUP(D115,Mapa_Similitud!$A$2:$B$2000,2,FALSE()),D115),Omega3_Referencia!$A$2:$E$100,4,FALSE()),"N/A"))</f>
        <v>ALA</v>
      </c>
      <c r="AX115" s="5">
        <f>IFERROR(VLOOKUP(IFERROR(VLOOKUP(D115,Mapa_Similitud!$A$2:$B$2000,2,FALSE()),D115),Hoja1!$A$2:$K$1000,5,FALSE()),0)</f>
        <v>0</v>
      </c>
      <c r="AY115" s="5">
        <f>IFERROR(VLOOKUP(IFERROR(VLOOKUP(D115,Mapa_Similitud!$A$2:$B$2000,2,FALSE()),D115),Hoja1!$A$2:$K$1000,7,FALSE()),0)</f>
        <v>40</v>
      </c>
      <c r="AZ115" s="5">
        <f>IFERROR(VLOOKUP(IFERROR(VLOOKUP(D115,Mapa_Similitud!$A$2:$B$2000,2,FALSE()),D115),Hoja1!$A$2:$K$1000,9,FALSE()),0)</f>
        <v>0</v>
      </c>
      <c r="BA115" s="25">
        <f t="shared" si="29"/>
        <v>7.6074972436604188E-2</v>
      </c>
      <c r="BB115" s="25">
        <f t="shared" si="30"/>
        <v>5.4024255788313123E-2</v>
      </c>
      <c r="BC115" s="25">
        <f t="shared" si="31"/>
        <v>0.28004410143329656</v>
      </c>
      <c r="BD115" s="25">
        <f t="shared" si="32"/>
        <v>2.0948180815876516E-2</v>
      </c>
      <c r="BE115" s="25">
        <f t="shared" si="33"/>
        <v>2.2050716648291068E-2</v>
      </c>
      <c r="BF115" s="25">
        <f t="shared" si="34"/>
        <v>5</v>
      </c>
      <c r="BG115" s="25">
        <f t="shared" si="35"/>
        <v>0.22477876106194689</v>
      </c>
      <c r="BH115" s="25">
        <f t="shared" si="36"/>
        <v>0.11111111111111112</v>
      </c>
      <c r="BI115" s="25">
        <f t="shared" si="37"/>
        <v>8.0971659919028341E-3</v>
      </c>
      <c r="BJ115" s="25">
        <f t="shared" si="38"/>
        <v>0.10619469026548671</v>
      </c>
      <c r="BK115" s="25">
        <f t="shared" si="39"/>
        <v>0.4336283185840708</v>
      </c>
      <c r="BL115" s="25">
        <f t="shared" si="40"/>
        <v>8.9305402425578828E-2</v>
      </c>
      <c r="BM115" s="25">
        <f t="shared" si="41"/>
        <v>0.35611907386990072</v>
      </c>
      <c r="BN115" s="18" t="str">
        <f t="shared" si="47"/>
        <v>Baja fuente de proteína</v>
      </c>
      <c r="BO115" s="18" t="str">
        <f t="shared" si="48"/>
        <v>Alta fuente de fibra</v>
      </c>
      <c r="BP115" s="18" t="str">
        <f t="shared" si="49"/>
        <v>Baja fuente de calcio</v>
      </c>
      <c r="BQ115" s="18" t="str">
        <f t="shared" si="50"/>
        <v>Alta fuente de hierro</v>
      </c>
      <c r="BR115" s="18" t="str">
        <f t="shared" si="51"/>
        <v>Bajo en sodio</v>
      </c>
      <c r="BS115" s="6" t="str">
        <f t="shared" si="42"/>
        <v>Altamente antiinflamatorio</v>
      </c>
      <c r="BT115" s="6" t="str">
        <f t="shared" si="43"/>
        <v>Bajo en grasas</v>
      </c>
      <c r="BU115" s="18" t="str">
        <f t="shared" si="52"/>
        <v>Equilibrio de líquidos ideal</v>
      </c>
      <c r="BV115" s="18" t="str">
        <f t="shared" si="53"/>
        <v>Media fuente de magnesio</v>
      </c>
      <c r="BW115" s="18" t="str">
        <f t="shared" si="54"/>
        <v>Sin aporte de Omega 3</v>
      </c>
      <c r="BX115" s="18" t="str">
        <f t="shared" si="55"/>
        <v>Libre de grasas trans</v>
      </c>
      <c r="BY115" s="18" t="str">
        <f t="shared" si="56"/>
        <v>Medio poder antioxidante</v>
      </c>
      <c r="BZ115" s="6" t="str">
        <f t="shared" si="44"/>
        <v>Sin probióticos</v>
      </c>
      <c r="CA115" s="18" t="str">
        <f t="shared" si="57"/>
        <v>Poco inflamatorio</v>
      </c>
      <c r="CB115" s="18" t="str">
        <f>IF(ISNUMBER(SEARCH("miel", D115)), "No irritante (Uso condicionado SII)", IF(OR(J115&gt;0, ISNUMBER(SEARCH("cacao", D115)), ISNUMBER(SEARCH("chocolate puro", D115))), "Altamente irritante", IF(OR(AND(O115&gt;15, BI115&gt;1), ISNUMBER(SEARCH("chocolate", D115))), "Moderadamente irritante", "No irritante")))</f>
        <v>No irritante</v>
      </c>
      <c r="CC115" s="6" t="str">
        <f t="shared" si="45"/>
        <v>Exceso relativo de Omega 6</v>
      </c>
    </row>
    <row r="116" spans="1:81" ht="15" customHeight="1" x14ac:dyDescent="0.3">
      <c r="A116" s="2">
        <f t="shared" si="46"/>
        <v>115</v>
      </c>
      <c r="B116" s="3" t="s">
        <v>161</v>
      </c>
      <c r="C116" s="3" t="s">
        <v>194</v>
      </c>
      <c r="D116" s="3" t="s">
        <v>217</v>
      </c>
      <c r="E116" s="3"/>
      <c r="F116" s="4">
        <v>0.8</v>
      </c>
      <c r="G116" s="5">
        <v>0.4</v>
      </c>
      <c r="H116" s="5">
        <v>50.4</v>
      </c>
      <c r="I116" s="5">
        <v>85.1</v>
      </c>
      <c r="J116" s="5">
        <v>0</v>
      </c>
      <c r="K116" s="5">
        <v>5.4</v>
      </c>
      <c r="L116" s="5">
        <v>4.2</v>
      </c>
      <c r="M116" s="5">
        <v>3.8</v>
      </c>
      <c r="N116" s="5">
        <v>0.4</v>
      </c>
      <c r="O116" s="5">
        <v>0</v>
      </c>
      <c r="P116" s="5">
        <v>5.0999999999999996</v>
      </c>
      <c r="Q116" s="5">
        <v>0.2</v>
      </c>
      <c r="R116" s="5">
        <v>0.03</v>
      </c>
      <c r="S116" s="5">
        <v>0.04</v>
      </c>
      <c r="T116" s="5">
        <v>0.09</v>
      </c>
      <c r="U116" s="5">
        <v>0</v>
      </c>
      <c r="V116" s="5">
        <v>18</v>
      </c>
      <c r="W116" s="5">
        <v>0</v>
      </c>
      <c r="X116" s="5">
        <v>0</v>
      </c>
      <c r="Y116" s="5">
        <v>0</v>
      </c>
      <c r="Z116" s="5">
        <v>0.46</v>
      </c>
      <c r="AA116" s="5">
        <v>43</v>
      </c>
      <c r="AB116" s="5">
        <v>0.2</v>
      </c>
      <c r="AC116" s="5">
        <v>0.1</v>
      </c>
      <c r="AD116" s="5">
        <v>4.0999999999999996</v>
      </c>
      <c r="AE116" s="5">
        <v>0.06</v>
      </c>
      <c r="AF116" s="5">
        <v>145</v>
      </c>
      <c r="AG116" s="5">
        <v>0</v>
      </c>
      <c r="AH116" s="5">
        <v>0.09</v>
      </c>
      <c r="AI116" s="5">
        <v>0</v>
      </c>
      <c r="AJ116" s="5">
        <v>24</v>
      </c>
      <c r="AK116" s="5">
        <v>23</v>
      </c>
      <c r="AL116" s="5">
        <v>98</v>
      </c>
      <c r="AM116" s="5">
        <v>1.8</v>
      </c>
      <c r="AN116" s="5">
        <v>4</v>
      </c>
      <c r="AO116" s="5">
        <v>0.9</v>
      </c>
      <c r="AP116" s="5">
        <v>28</v>
      </c>
      <c r="AQ116" s="5">
        <v>18</v>
      </c>
      <c r="AR116" s="5">
        <v>210</v>
      </c>
      <c r="AS116" s="5">
        <v>0.22</v>
      </c>
      <c r="AT116" s="5">
        <v>0.08</v>
      </c>
      <c r="AU116" s="5">
        <v>1.4</v>
      </c>
      <c r="AV116" s="5">
        <f>IFERROR(VLOOKUP(IFERROR(VLOOKUP(D116,Mapa_Similitud!$A$2:$B$2000,2,FALSE()),D116),Hoja1!$A$2:$K$1000,2,FALSE()),IFERROR(VLOOKUP(IFERROR(VLOOKUP(D116,Mapa_Similitud!$A$2:$B$2000,2,FALSE()),D116),Omega3_Referencia!$A$2:$E$100,3,FALSE()),0))</f>
        <v>0.02</v>
      </c>
      <c r="AW116" s="3" t="str">
        <f>IFERROR(VLOOKUP(IFERROR(VLOOKUP(D116,Mapa_Similitud!$A$2:$B$2000,2,FALSE()),D116),Hoja1!$A$2:$K$1000,3,FALSE()),IFERROR(VLOOKUP(IFERROR(VLOOKUP(D116,Mapa_Similitud!$A$2:$B$2000,2,FALSE()),D116),Omega3_Referencia!$A$2:$E$100,4,FALSE()),"N/A"))</f>
        <v>ALA</v>
      </c>
      <c r="AX116" s="5">
        <f>IFERROR(VLOOKUP(IFERROR(VLOOKUP(D116,Mapa_Similitud!$A$2:$B$2000,2,FALSE()),D116),Hoja1!$A$2:$K$1000,5,FALSE()),0)</f>
        <v>0</v>
      </c>
      <c r="AY116" s="5">
        <f>IFERROR(VLOOKUP(IFERROR(VLOOKUP(D116,Mapa_Similitud!$A$2:$B$2000,2,FALSE()),D116),Hoja1!$A$2:$K$1000,7,FALSE()),0)</f>
        <v>50</v>
      </c>
      <c r="AZ116" s="5">
        <f>IFERROR(VLOOKUP(IFERROR(VLOOKUP(D116,Mapa_Similitud!$A$2:$B$2000,2,FALSE()),D116),Hoja1!$A$2:$K$1000,9,FALSE()),0)</f>
        <v>0</v>
      </c>
      <c r="BA116" s="25">
        <f t="shared" si="29"/>
        <v>0.10714285714285715</v>
      </c>
      <c r="BB116" s="25">
        <f t="shared" si="30"/>
        <v>0.10119047619047619</v>
      </c>
      <c r="BC116" s="25">
        <f t="shared" si="31"/>
        <v>0.45634920634920634</v>
      </c>
      <c r="BD116" s="25">
        <f t="shared" si="32"/>
        <v>3.5714285714285719E-2</v>
      </c>
      <c r="BE116" s="25">
        <f t="shared" si="33"/>
        <v>0.35714285714285715</v>
      </c>
      <c r="BF116" s="25">
        <f t="shared" si="34"/>
        <v>3</v>
      </c>
      <c r="BG116" s="25">
        <f t="shared" si="35"/>
        <v>0.23469387755102042</v>
      </c>
      <c r="BH116" s="25">
        <f t="shared" si="36"/>
        <v>0.15</v>
      </c>
      <c r="BI116" s="25">
        <f t="shared" si="37"/>
        <v>8.5714285714285715E-2</v>
      </c>
      <c r="BJ116" s="25">
        <f t="shared" si="38"/>
        <v>9.5238095238095233E-2</v>
      </c>
      <c r="BK116" s="25">
        <f t="shared" si="39"/>
        <v>1.2142857142857142</v>
      </c>
      <c r="BL116" s="25">
        <f t="shared" si="40"/>
        <v>3.5714285714285719E-2</v>
      </c>
      <c r="BM116" s="25">
        <f t="shared" si="41"/>
        <v>0.55555555555555558</v>
      </c>
      <c r="BN116" s="18" t="str">
        <f t="shared" si="47"/>
        <v>Media fuente de proteína</v>
      </c>
      <c r="BO116" s="18" t="str">
        <f t="shared" si="48"/>
        <v>Alta fuente de fibra</v>
      </c>
      <c r="BP116" s="18" t="str">
        <f t="shared" si="49"/>
        <v>Baja fuente de calcio</v>
      </c>
      <c r="BQ116" s="18" t="str">
        <f t="shared" si="50"/>
        <v>Alta fuente de hierro</v>
      </c>
      <c r="BR116" s="18" t="str">
        <f t="shared" si="51"/>
        <v>Bajo en sodio</v>
      </c>
      <c r="BS116" s="6" t="str">
        <f t="shared" si="42"/>
        <v>Altamente antiinflamatorio</v>
      </c>
      <c r="BT116" s="6" t="str">
        <f t="shared" si="43"/>
        <v>Bajo en grasas</v>
      </c>
      <c r="BU116" s="18" t="str">
        <f t="shared" si="52"/>
        <v>Equilibrio de líquidos ideal</v>
      </c>
      <c r="BV116" s="18" t="str">
        <f t="shared" si="53"/>
        <v>Alta fuente de magnesio</v>
      </c>
      <c r="BW116" s="18" t="str">
        <f t="shared" si="54"/>
        <v>Sin aporte de Omega 3</v>
      </c>
      <c r="BX116" s="18" t="str">
        <f t="shared" si="55"/>
        <v>Libre de grasas trans</v>
      </c>
      <c r="BY116" s="18" t="str">
        <f t="shared" si="56"/>
        <v>Alto poder antioxidante</v>
      </c>
      <c r="BZ116" s="6" t="str">
        <f t="shared" si="44"/>
        <v>Sin probióticos</v>
      </c>
      <c r="CA116" s="18" t="str">
        <f t="shared" si="57"/>
        <v>Antiinflamatorio</v>
      </c>
      <c r="CB116" s="18" t="str">
        <f>IF(ISNUMBER(SEARCH("miel", D116)), "No irritante (Uso condicionado SII)", IF(OR(J116&gt;0, ISNUMBER(SEARCH("cacao", D116)), ISNUMBER(SEARCH("chocolate puro", D116))), "Altamente irritante", IF(OR(AND(O116&gt;15, BI116&gt;1), ISNUMBER(SEARCH("chocolate", D116))), "Moderadamente irritante", "No irritante")))</f>
        <v>No irritante</v>
      </c>
      <c r="CC116" s="6" t="str">
        <f t="shared" si="45"/>
        <v>Balance de omegas favorable</v>
      </c>
    </row>
    <row r="117" spans="1:81" ht="15" customHeight="1" x14ac:dyDescent="0.3">
      <c r="A117" s="2">
        <f t="shared" si="46"/>
        <v>116</v>
      </c>
      <c r="B117" s="3" t="s">
        <v>161</v>
      </c>
      <c r="C117" s="3" t="s">
        <v>194</v>
      </c>
      <c r="D117" s="3" t="s">
        <v>218</v>
      </c>
      <c r="E117" s="3"/>
      <c r="F117" s="4">
        <v>0.7</v>
      </c>
      <c r="G117" s="5">
        <v>0.91</v>
      </c>
      <c r="H117" s="5">
        <v>36.4</v>
      </c>
      <c r="I117" s="5">
        <v>90.4</v>
      </c>
      <c r="J117" s="5">
        <v>0</v>
      </c>
      <c r="K117" s="5">
        <v>2.4</v>
      </c>
      <c r="L117" s="5">
        <v>4.2</v>
      </c>
      <c r="M117" s="5">
        <v>2</v>
      </c>
      <c r="N117" s="5">
        <v>2.2000000000000002</v>
      </c>
      <c r="O117" s="5">
        <v>0</v>
      </c>
      <c r="P117" s="5">
        <v>2.4</v>
      </c>
      <c r="Q117" s="5">
        <v>0.57999999999999996</v>
      </c>
      <c r="R117" s="5">
        <v>7.0000000000000007E-2</v>
      </c>
      <c r="S117" s="5">
        <v>0.06</v>
      </c>
      <c r="T117" s="5">
        <v>0.23</v>
      </c>
      <c r="U117" s="5">
        <v>0</v>
      </c>
      <c r="V117" s="5">
        <v>30.6</v>
      </c>
      <c r="W117" s="5">
        <v>0</v>
      </c>
      <c r="X117" s="5">
        <v>184</v>
      </c>
      <c r="Y117" s="5">
        <v>0</v>
      </c>
      <c r="Z117" s="5">
        <v>0.28000000000000003</v>
      </c>
      <c r="AA117" s="5">
        <v>43</v>
      </c>
      <c r="AB117" s="5">
        <v>0.06</v>
      </c>
      <c r="AC117" s="5">
        <v>0.1</v>
      </c>
      <c r="AD117" s="5">
        <v>1.5</v>
      </c>
      <c r="AE117" s="5">
        <v>0.22</v>
      </c>
      <c r="AF117" s="5">
        <v>62.3</v>
      </c>
      <c r="AG117" s="5">
        <v>0</v>
      </c>
      <c r="AH117" s="5">
        <v>0.09</v>
      </c>
      <c r="AI117" s="5">
        <v>7</v>
      </c>
      <c r="AJ117" s="5">
        <v>23.4</v>
      </c>
      <c r="AK117" s="5">
        <v>51.7</v>
      </c>
      <c r="AL117" s="5">
        <v>37</v>
      </c>
      <c r="AM117" s="5">
        <v>1</v>
      </c>
      <c r="AN117" s="5">
        <v>3.6</v>
      </c>
      <c r="AO117" s="5">
        <v>0.23</v>
      </c>
      <c r="AP117" s="5">
        <v>22.2</v>
      </c>
      <c r="AQ117" s="5">
        <v>1.5</v>
      </c>
      <c r="AR117" s="5">
        <v>238</v>
      </c>
      <c r="AS117" s="5">
        <v>0.22</v>
      </c>
      <c r="AT117" s="5">
        <v>0.08</v>
      </c>
      <c r="AU117" s="5">
        <v>1.4</v>
      </c>
      <c r="AV117" s="5">
        <f>IFERROR(VLOOKUP(IFERROR(VLOOKUP(D117,Mapa_Similitud!$A$2:$B$2000,2,FALSE()),D117),Hoja1!$A$2:$K$1000,2,FALSE()),IFERROR(VLOOKUP(IFERROR(VLOOKUP(D117,Mapa_Similitud!$A$2:$B$2000,2,FALSE()),D117),Omega3_Referencia!$A$2:$E$100,3,FALSE()),0))</f>
        <v>0.04</v>
      </c>
      <c r="AW117" s="3" t="str">
        <f>IFERROR(VLOOKUP(IFERROR(VLOOKUP(D117,Mapa_Similitud!$A$2:$B$2000,2,FALSE()),D117),Hoja1!$A$2:$K$1000,3,FALSE()),IFERROR(VLOOKUP(IFERROR(VLOOKUP(D117,Mapa_Similitud!$A$2:$B$2000,2,FALSE()),D117),Omega3_Referencia!$A$2:$E$100,4,FALSE()),"N/A"))</f>
        <v>ALA</v>
      </c>
      <c r="AX117" s="5">
        <f>IFERROR(VLOOKUP(IFERROR(VLOOKUP(D117,Mapa_Similitud!$A$2:$B$2000,2,FALSE()),D117),Hoja1!$A$2:$K$1000,5,FALSE()),0)</f>
        <v>0</v>
      </c>
      <c r="AY117" s="5">
        <f>IFERROR(VLOOKUP(IFERROR(VLOOKUP(D117,Mapa_Similitud!$A$2:$B$2000,2,FALSE()),D117),Hoja1!$A$2:$K$1000,7,FALSE()),0)</f>
        <v>45</v>
      </c>
      <c r="AZ117" s="5">
        <f>IFERROR(VLOOKUP(IFERROR(VLOOKUP(D117,Mapa_Similitud!$A$2:$B$2000,2,FALSE()),D117),Hoja1!$A$2:$K$1000,9,FALSE()),0)</f>
        <v>0</v>
      </c>
      <c r="BA117" s="25">
        <f t="shared" si="29"/>
        <v>6.5934065934065936E-2</v>
      </c>
      <c r="BB117" s="25">
        <f t="shared" si="30"/>
        <v>6.5934065934065936E-2</v>
      </c>
      <c r="BC117" s="25">
        <f t="shared" si="31"/>
        <v>1.4203296703296704</v>
      </c>
      <c r="BD117" s="25">
        <f t="shared" si="32"/>
        <v>2.7472527472527472E-2</v>
      </c>
      <c r="BE117" s="25">
        <f t="shared" si="33"/>
        <v>4.1208791208791208E-2</v>
      </c>
      <c r="BF117" s="25">
        <f t="shared" si="34"/>
        <v>3.2857142857142856</v>
      </c>
      <c r="BG117" s="25">
        <f t="shared" si="35"/>
        <v>1.3972972972972975</v>
      </c>
      <c r="BH117" s="25">
        <f t="shared" si="36"/>
        <v>0.12068965517241381</v>
      </c>
      <c r="BI117" s="25">
        <f t="shared" si="37"/>
        <v>6.3025210084033615E-3</v>
      </c>
      <c r="BJ117" s="25">
        <f t="shared" si="38"/>
        <v>0.52380952380952384</v>
      </c>
      <c r="BK117" s="25">
        <f t="shared" si="39"/>
        <v>0.5714285714285714</v>
      </c>
      <c r="BL117" s="25">
        <f t="shared" si="40"/>
        <v>0.1434065934065934</v>
      </c>
      <c r="BM117" s="25">
        <f t="shared" si="41"/>
        <v>0.60989010989010994</v>
      </c>
      <c r="BN117" s="18" t="str">
        <f t="shared" si="47"/>
        <v>Baja fuente de proteína</v>
      </c>
      <c r="BO117" s="18" t="str">
        <f t="shared" si="48"/>
        <v>Alta fuente de fibra</v>
      </c>
      <c r="BP117" s="18" t="str">
        <f t="shared" si="49"/>
        <v>Media fuente de calcio</v>
      </c>
      <c r="BQ117" s="18" t="str">
        <f t="shared" si="50"/>
        <v>Alta fuente de hierro</v>
      </c>
      <c r="BR117" s="18" t="str">
        <f t="shared" si="51"/>
        <v>Bajo en sodio</v>
      </c>
      <c r="BS117" s="6" t="str">
        <f t="shared" si="42"/>
        <v>Altamente antiinflamatorio</v>
      </c>
      <c r="BT117" s="6" t="str">
        <f t="shared" si="43"/>
        <v>Bajo en grasas</v>
      </c>
      <c r="BU117" s="18" t="str">
        <f t="shared" si="52"/>
        <v>Equilibrio de líquidos ideal</v>
      </c>
      <c r="BV117" s="18" t="str">
        <f t="shared" si="53"/>
        <v>Alta fuente de magnesio</v>
      </c>
      <c r="BW117" s="18" t="str">
        <f t="shared" si="54"/>
        <v>Sin aporte de Omega 3</v>
      </c>
      <c r="BX117" s="18" t="str">
        <f t="shared" si="55"/>
        <v>Libre de grasas trans</v>
      </c>
      <c r="BY117" s="18" t="str">
        <f t="shared" si="56"/>
        <v>Medio poder antioxidante</v>
      </c>
      <c r="BZ117" s="6" t="str">
        <f t="shared" si="44"/>
        <v>Sin probióticos</v>
      </c>
      <c r="CA117" s="18" t="str">
        <f t="shared" si="57"/>
        <v>Poco inflamatorio</v>
      </c>
      <c r="CB117" s="18" t="str">
        <f>IF(ISNUMBER(SEARCH("miel", D117)), "No irritante (Uso condicionado SII)", IF(OR(J117&gt;0, ISNUMBER(SEARCH("cacao", D117)), ISNUMBER(SEARCH("chocolate puro", D117))), "Altamente irritante", IF(OR(AND(O117&gt;15, BI117&gt;1), ISNUMBER(SEARCH("chocolate", D117))), "Moderadamente irritante", "No irritante")))</f>
        <v>No irritante</v>
      </c>
      <c r="CC117" s="6" t="str">
        <f t="shared" si="45"/>
        <v>Exceso relativo de Omega 6</v>
      </c>
    </row>
    <row r="118" spans="1:81" ht="15" customHeight="1" x14ac:dyDescent="0.3">
      <c r="A118" s="2">
        <f t="shared" si="46"/>
        <v>117</v>
      </c>
      <c r="B118" s="3" t="s">
        <v>161</v>
      </c>
      <c r="C118" s="3" t="s">
        <v>194</v>
      </c>
      <c r="D118" s="3" t="s">
        <v>219</v>
      </c>
      <c r="E118" s="3"/>
      <c r="F118" s="4">
        <v>0.5</v>
      </c>
      <c r="G118" s="5">
        <v>0.74</v>
      </c>
      <c r="H118" s="5">
        <v>19.600000000000001</v>
      </c>
      <c r="I118" s="5">
        <v>95.1</v>
      </c>
      <c r="J118" s="5">
        <v>0</v>
      </c>
      <c r="K118" s="5">
        <v>1.4</v>
      </c>
      <c r="L118" s="5">
        <v>1.4</v>
      </c>
      <c r="M118" s="5">
        <v>3.5999999999999997E-2</v>
      </c>
      <c r="N118" s="5">
        <v>1.4</v>
      </c>
      <c r="O118" s="5">
        <v>0</v>
      </c>
      <c r="P118" s="5">
        <v>1.5</v>
      </c>
      <c r="Q118" s="5">
        <v>0.6</v>
      </c>
      <c r="R118" s="5">
        <v>0.12</v>
      </c>
      <c r="S118" s="5">
        <v>6.1999999999999998E-3</v>
      </c>
      <c r="T118" s="5">
        <v>0.37</v>
      </c>
      <c r="U118" s="5">
        <v>0</v>
      </c>
      <c r="V118" s="5">
        <v>29.2</v>
      </c>
      <c r="W118" s="5">
        <v>0</v>
      </c>
      <c r="X118" s="5">
        <v>175</v>
      </c>
      <c r="Y118" s="5">
        <v>0</v>
      </c>
      <c r="Z118" s="5">
        <v>0.6</v>
      </c>
      <c r="AA118" s="5">
        <v>113</v>
      </c>
      <c r="AB118" s="5">
        <v>0.06</v>
      </c>
      <c r="AC118" s="5">
        <v>7.0000000000000007E-2</v>
      </c>
      <c r="AD118" s="5">
        <v>0.8</v>
      </c>
      <c r="AE118" s="5">
        <v>0.06</v>
      </c>
      <c r="AF118" s="5">
        <v>33.6</v>
      </c>
      <c r="AG118" s="5">
        <v>0</v>
      </c>
      <c r="AH118" s="5">
        <v>0.11</v>
      </c>
      <c r="AI118" s="5">
        <v>1.9</v>
      </c>
      <c r="AJ118" s="5">
        <v>13</v>
      </c>
      <c r="AK118" s="5">
        <v>34.700000000000003</v>
      </c>
      <c r="AL118" s="5">
        <v>28</v>
      </c>
      <c r="AM118" s="5">
        <v>1</v>
      </c>
      <c r="AN118" s="5">
        <v>3</v>
      </c>
      <c r="AO118" s="5">
        <v>0.23</v>
      </c>
      <c r="AP118" s="5">
        <v>8.6999999999999993</v>
      </c>
      <c r="AQ118" s="5">
        <v>3</v>
      </c>
      <c r="AR118" s="5">
        <v>220</v>
      </c>
      <c r="AS118" s="5">
        <v>0.3</v>
      </c>
      <c r="AT118" s="5">
        <v>0.01</v>
      </c>
      <c r="AU118" s="5">
        <v>1</v>
      </c>
      <c r="AV118" s="5">
        <f>IFERROR(VLOOKUP(IFERROR(VLOOKUP(D118,Mapa_Similitud!$A$2:$B$2000,2,FALSE()),D118),Hoja1!$A$2:$K$1000,2,FALSE()),IFERROR(VLOOKUP(IFERROR(VLOOKUP(D118,Mapa_Similitud!$A$2:$B$2000,2,FALSE()),D118),Omega3_Referencia!$A$2:$E$100,3,FALSE()),0))</f>
        <v>0.01</v>
      </c>
      <c r="AW118" s="3" t="str">
        <f>IFERROR(VLOOKUP(IFERROR(VLOOKUP(D118,Mapa_Similitud!$A$2:$B$2000,2,FALSE()),D118),Hoja1!$A$2:$K$1000,3,FALSE()),IFERROR(VLOOKUP(IFERROR(VLOOKUP(D118,Mapa_Similitud!$A$2:$B$2000,2,FALSE()),D118),Omega3_Referencia!$A$2:$E$100,4,FALSE()),"N/A"))</f>
        <v>ALA</v>
      </c>
      <c r="AX118" s="5">
        <f>IFERROR(VLOOKUP(IFERROR(VLOOKUP(D118,Mapa_Similitud!$A$2:$B$2000,2,FALSE()),D118),Hoja1!$A$2:$K$1000,5,FALSE()),0)</f>
        <v>0</v>
      </c>
      <c r="AY118" s="5">
        <f>IFERROR(VLOOKUP(IFERROR(VLOOKUP(D118,Mapa_Similitud!$A$2:$B$2000,2,FALSE()),D118),Hoja1!$A$2:$K$1000,7,FALSE()),0)</f>
        <v>25</v>
      </c>
      <c r="AZ118" s="5">
        <f>IFERROR(VLOOKUP(IFERROR(VLOOKUP(D118,Mapa_Similitud!$A$2:$B$2000,2,FALSE()),D118),Hoja1!$A$2:$K$1000,9,FALSE()),0)</f>
        <v>0</v>
      </c>
      <c r="BA118" s="25">
        <f t="shared" si="29"/>
        <v>7.1428571428571425E-2</v>
      </c>
      <c r="BB118" s="25">
        <f t="shared" si="30"/>
        <v>7.6530612244897947E-2</v>
      </c>
      <c r="BC118" s="25">
        <f t="shared" si="31"/>
        <v>1.7704081632653061</v>
      </c>
      <c r="BD118" s="25">
        <f t="shared" si="32"/>
        <v>5.10204081632653E-2</v>
      </c>
      <c r="BE118" s="25">
        <f t="shared" si="33"/>
        <v>0.15306122448979589</v>
      </c>
      <c r="BF118" s="25">
        <f t="shared" si="34"/>
        <v>3.0833333333333335</v>
      </c>
      <c r="BG118" s="25">
        <f t="shared" si="35"/>
        <v>1.2392857142857143</v>
      </c>
      <c r="BH118" s="25">
        <f t="shared" si="36"/>
        <v>0.2</v>
      </c>
      <c r="BI118" s="25">
        <f t="shared" si="37"/>
        <v>1.3636363636363636E-2</v>
      </c>
      <c r="BJ118" s="25">
        <f t="shared" si="38"/>
        <v>1</v>
      </c>
      <c r="BK118" s="25">
        <f t="shared" si="39"/>
        <v>1.0714285714285714</v>
      </c>
      <c r="BL118" s="25">
        <f t="shared" si="40"/>
        <v>0.27551020408163263</v>
      </c>
      <c r="BM118" s="25">
        <f t="shared" si="41"/>
        <v>0.4438775510204081</v>
      </c>
      <c r="BN118" s="18" t="str">
        <f t="shared" si="47"/>
        <v>Baja fuente de proteína</v>
      </c>
      <c r="BO118" s="18" t="str">
        <f t="shared" si="48"/>
        <v>Alta fuente de fibra</v>
      </c>
      <c r="BP118" s="18" t="str">
        <f t="shared" si="49"/>
        <v>Alta fuente de calcio</v>
      </c>
      <c r="BQ118" s="18" t="str">
        <f t="shared" si="50"/>
        <v>Alta fuente de hierro</v>
      </c>
      <c r="BR118" s="18" t="str">
        <f t="shared" si="51"/>
        <v>Bajo en sodio</v>
      </c>
      <c r="BS118" s="6" t="str">
        <f t="shared" si="42"/>
        <v>Altamente antiinflamatorio</v>
      </c>
      <c r="BT118" s="6" t="str">
        <f t="shared" si="43"/>
        <v>Moderado en grasas</v>
      </c>
      <c r="BU118" s="18" t="str">
        <f t="shared" si="52"/>
        <v>Equilibrio de líquidos ideal</v>
      </c>
      <c r="BV118" s="18" t="str">
        <f t="shared" si="53"/>
        <v>Media fuente de magnesio</v>
      </c>
      <c r="BW118" s="18" t="str">
        <f t="shared" si="54"/>
        <v>Sin aporte de Omega 3</v>
      </c>
      <c r="BX118" s="18" t="str">
        <f t="shared" si="55"/>
        <v>Libre de grasas trans</v>
      </c>
      <c r="BY118" s="18" t="str">
        <f t="shared" si="56"/>
        <v>Medio poder antioxidante</v>
      </c>
      <c r="BZ118" s="6" t="str">
        <f t="shared" si="44"/>
        <v>Sin probióticos</v>
      </c>
      <c r="CA118" s="18" t="str">
        <f t="shared" si="57"/>
        <v>Poco inflamatorio</v>
      </c>
      <c r="CB118" s="18" t="str">
        <f>IF(ISNUMBER(SEARCH("miel", D118)), "No irritante (Uso condicionado SII)", IF(OR(J118&gt;0, ISNUMBER(SEARCH("cacao", D118)), ISNUMBER(SEARCH("chocolate puro", D118))), "Altamente irritante", IF(OR(AND(O118&gt;15, BI118&gt;1), ISNUMBER(SEARCH("chocolate", D118))), "Moderadamente irritante", "No irritante")))</f>
        <v>No irritante</v>
      </c>
      <c r="CC118" s="6" t="str">
        <f t="shared" si="45"/>
        <v>Exceso relativo de Omega 6</v>
      </c>
    </row>
    <row r="119" spans="1:81" ht="15" customHeight="1" x14ac:dyDescent="0.3">
      <c r="A119" s="2">
        <f t="shared" si="46"/>
        <v>118</v>
      </c>
      <c r="B119" s="3" t="s">
        <v>161</v>
      </c>
      <c r="C119" s="3" t="s">
        <v>194</v>
      </c>
      <c r="D119" s="3" t="s">
        <v>220</v>
      </c>
      <c r="E119" s="3" t="s">
        <v>221</v>
      </c>
      <c r="F119" s="4">
        <v>0.6</v>
      </c>
      <c r="G119" s="5">
        <v>0.81</v>
      </c>
      <c r="H119" s="5">
        <v>26.6</v>
      </c>
      <c r="I119" s="5">
        <v>92.3</v>
      </c>
      <c r="J119" s="5">
        <v>0</v>
      </c>
      <c r="K119" s="5">
        <v>1.5</v>
      </c>
      <c r="L119" s="5">
        <v>3.5</v>
      </c>
      <c r="M119" s="5">
        <v>7.1999999999999995E-2</v>
      </c>
      <c r="N119" s="5">
        <v>3.5</v>
      </c>
      <c r="O119" s="5">
        <v>0</v>
      </c>
      <c r="P119" s="5">
        <v>2.5</v>
      </c>
      <c r="Q119" s="5">
        <v>0.18</v>
      </c>
      <c r="R119" s="5">
        <v>3.5999999999999997E-2</v>
      </c>
      <c r="S119" s="5">
        <v>6.0000000000000001E-3</v>
      </c>
      <c r="T119" s="5">
        <v>9.8000000000000004E-2</v>
      </c>
      <c r="U119" s="5">
        <v>0</v>
      </c>
      <c r="V119" s="5">
        <v>2.5</v>
      </c>
      <c r="W119" s="5">
        <v>0</v>
      </c>
      <c r="X119" s="5">
        <v>15</v>
      </c>
      <c r="Y119" s="5">
        <v>0</v>
      </c>
      <c r="Z119" s="5">
        <v>1.7</v>
      </c>
      <c r="AA119" s="5">
        <v>25</v>
      </c>
      <c r="AB119" s="5">
        <v>6.3E-2</v>
      </c>
      <c r="AC119" s="5">
        <v>4.3999999999999997E-2</v>
      </c>
      <c r="AD119" s="5">
        <v>0.5</v>
      </c>
      <c r="AE119" s="5">
        <v>0.15</v>
      </c>
      <c r="AF119" s="5">
        <v>35</v>
      </c>
      <c r="AG119" s="5">
        <v>0</v>
      </c>
      <c r="AH119" s="5">
        <v>0.32</v>
      </c>
      <c r="AI119" s="5">
        <v>2</v>
      </c>
      <c r="AJ119" s="5">
        <v>57</v>
      </c>
      <c r="AK119" s="5">
        <v>52</v>
      </c>
      <c r="AL119" s="5">
        <v>36</v>
      </c>
      <c r="AM119" s="5">
        <v>0.44</v>
      </c>
      <c r="AN119" s="5">
        <v>2.9</v>
      </c>
      <c r="AO119" s="5">
        <v>0.24</v>
      </c>
      <c r="AP119" s="5">
        <v>13</v>
      </c>
      <c r="AQ119" s="5">
        <v>10</v>
      </c>
      <c r="AR119" s="5">
        <v>250</v>
      </c>
      <c r="AS119" s="5">
        <v>0.16</v>
      </c>
      <c r="AT119" s="5">
        <v>4.1000000000000002E-2</v>
      </c>
      <c r="AU119" s="5">
        <v>0.92</v>
      </c>
      <c r="AV119" s="5">
        <f>IFERROR(VLOOKUP(IFERROR(VLOOKUP(D119,Mapa_Similitud!$A$2:$B$2000,2,FALSE()),D119),Hoja1!$A$2:$K$1000,2,FALSE()),IFERROR(VLOOKUP(IFERROR(VLOOKUP(D119,Mapa_Similitud!$A$2:$B$2000,2,FALSE()),D119),Omega3_Referencia!$A$2:$E$100,3,FALSE()),0))</f>
        <v>0.03</v>
      </c>
      <c r="AW119" s="3" t="str">
        <f>IFERROR(VLOOKUP(IFERROR(VLOOKUP(D119,Mapa_Similitud!$A$2:$B$2000,2,FALSE()),D119),Hoja1!$A$2:$K$1000,3,FALSE()),IFERROR(VLOOKUP(IFERROR(VLOOKUP(D119,Mapa_Similitud!$A$2:$B$2000,2,FALSE()),D119),Omega3_Referencia!$A$2:$E$100,4,FALSE()),"N/A"))</f>
        <v>ALA</v>
      </c>
      <c r="AX119" s="5">
        <f>IFERROR(VLOOKUP(IFERROR(VLOOKUP(D119,Mapa_Similitud!$A$2:$B$2000,2,FALSE()),D119),Hoja1!$A$2:$K$1000,5,FALSE()),0)</f>
        <v>0</v>
      </c>
      <c r="AY119" s="5">
        <f>IFERROR(VLOOKUP(IFERROR(VLOOKUP(D119,Mapa_Similitud!$A$2:$B$2000,2,FALSE()),D119),Hoja1!$A$2:$K$1000,7,FALSE()),0)</f>
        <v>180</v>
      </c>
      <c r="AZ119" s="5">
        <f>IFERROR(VLOOKUP(IFERROR(VLOOKUP(D119,Mapa_Similitud!$A$2:$B$2000,2,FALSE()),D119),Hoja1!$A$2:$K$1000,9,FALSE()),0)</f>
        <v>0</v>
      </c>
      <c r="BA119" s="25">
        <f t="shared" si="29"/>
        <v>5.6390977443609019E-2</v>
      </c>
      <c r="BB119" s="25">
        <f t="shared" si="30"/>
        <v>9.3984962406015032E-2</v>
      </c>
      <c r="BC119" s="25">
        <f t="shared" si="31"/>
        <v>1.9548872180451127</v>
      </c>
      <c r="BD119" s="25">
        <f t="shared" si="32"/>
        <v>1.6541353383458645E-2</v>
      </c>
      <c r="BE119" s="25">
        <f t="shared" si="33"/>
        <v>0.37593984962406013</v>
      </c>
      <c r="BF119" s="25">
        <f t="shared" si="34"/>
        <v>2.7222222222222223</v>
      </c>
      <c r="BG119" s="25">
        <f t="shared" si="35"/>
        <v>1.4444444444444444</v>
      </c>
      <c r="BH119" s="25">
        <f t="shared" si="36"/>
        <v>0.19999999999999998</v>
      </c>
      <c r="BI119" s="25">
        <f t="shared" si="37"/>
        <v>0.04</v>
      </c>
      <c r="BJ119" s="25">
        <f t="shared" si="38"/>
        <v>1</v>
      </c>
      <c r="BK119" s="25">
        <f t="shared" si="39"/>
        <v>0.7142857142857143</v>
      </c>
      <c r="BL119" s="25">
        <f t="shared" si="40"/>
        <v>6.0902255639097735E-2</v>
      </c>
      <c r="BM119" s="25">
        <f t="shared" si="41"/>
        <v>0.48872180451127817</v>
      </c>
      <c r="BN119" s="18" t="str">
        <f t="shared" si="47"/>
        <v>Baja fuente de proteína</v>
      </c>
      <c r="BO119" s="18" t="str">
        <f t="shared" si="48"/>
        <v>Alta fuente de fibra</v>
      </c>
      <c r="BP119" s="18" t="str">
        <f t="shared" si="49"/>
        <v>Alta fuente de calcio</v>
      </c>
      <c r="BQ119" s="18" t="str">
        <f t="shared" si="50"/>
        <v>Alta fuente de hierro</v>
      </c>
      <c r="BR119" s="18" t="str">
        <f t="shared" si="51"/>
        <v>Bajo en sodio</v>
      </c>
      <c r="BS119" s="6" t="str">
        <f t="shared" si="42"/>
        <v>Altamente antiinflamatorio</v>
      </c>
      <c r="BT119" s="6" t="str">
        <f t="shared" si="43"/>
        <v>Bajo en grasas</v>
      </c>
      <c r="BU119" s="18" t="str">
        <f t="shared" si="52"/>
        <v>Equilibrio de líquidos ideal</v>
      </c>
      <c r="BV119" s="18" t="str">
        <f t="shared" si="53"/>
        <v>Media fuente de magnesio</v>
      </c>
      <c r="BW119" s="18" t="str">
        <f t="shared" si="54"/>
        <v>Sin aporte de Omega 3</v>
      </c>
      <c r="BX119" s="18" t="str">
        <f t="shared" si="55"/>
        <v>Libre de grasas trans</v>
      </c>
      <c r="BY119" s="18" t="str">
        <f t="shared" si="56"/>
        <v>Alto poder antioxidante</v>
      </c>
      <c r="BZ119" s="6" t="str">
        <f t="shared" si="44"/>
        <v>Sin probióticos</v>
      </c>
      <c r="CA119" s="18" t="str">
        <f t="shared" si="57"/>
        <v>Antiinflamatorio</v>
      </c>
      <c r="CB119" s="18" t="str">
        <f>IF(ISNUMBER(SEARCH("miel", D119)), "No irritante (Uso condicionado SII)", IF(OR(J119&gt;0, ISNUMBER(SEARCH("cacao", D119)), ISNUMBER(SEARCH("chocolate puro", D119))), "Altamente irritante", IF(OR(AND(O119&gt;15, BI119&gt;1), ISNUMBER(SEARCH("chocolate", D119))), "Moderadamente irritante", "No irritante")))</f>
        <v>No irritante</v>
      </c>
      <c r="CC119" s="6" t="str">
        <f t="shared" si="45"/>
        <v>Balance de omegas favorable</v>
      </c>
    </row>
    <row r="120" spans="1:81" ht="15" customHeight="1" x14ac:dyDescent="0.3">
      <c r="A120" s="2">
        <f t="shared" si="46"/>
        <v>119</v>
      </c>
      <c r="B120" s="3" t="s">
        <v>161</v>
      </c>
      <c r="C120" s="3" t="s">
        <v>194</v>
      </c>
      <c r="D120" s="3" t="s">
        <v>222</v>
      </c>
      <c r="E120" s="3"/>
      <c r="F120" s="4">
        <v>1.5</v>
      </c>
      <c r="G120" s="5">
        <v>0.96</v>
      </c>
      <c r="H120" s="5">
        <v>23.6</v>
      </c>
      <c r="I120" s="5">
        <v>93.1</v>
      </c>
      <c r="J120" s="5">
        <v>0</v>
      </c>
      <c r="K120" s="5">
        <v>1.3</v>
      </c>
      <c r="L120" s="5">
        <v>3.3</v>
      </c>
      <c r="M120" s="5">
        <v>2.1</v>
      </c>
      <c r="N120" s="5">
        <v>1.2</v>
      </c>
      <c r="O120" s="5">
        <v>0</v>
      </c>
      <c r="P120" s="5">
        <v>2.2000000000000002</v>
      </c>
      <c r="Q120" s="5">
        <v>0.09</v>
      </c>
      <c r="R120" s="5">
        <v>1.6E-2</v>
      </c>
      <c r="S120" s="5">
        <v>1.7999999999999999E-2</v>
      </c>
      <c r="T120" s="5">
        <v>0.05</v>
      </c>
      <c r="U120" s="5">
        <v>0</v>
      </c>
      <c r="V120" s="5">
        <v>45.7</v>
      </c>
      <c r="W120" s="5">
        <v>0</v>
      </c>
      <c r="X120" s="5">
        <v>274</v>
      </c>
      <c r="Y120" s="5">
        <v>0</v>
      </c>
      <c r="Z120" s="5">
        <v>0</v>
      </c>
      <c r="AA120" s="5">
        <v>5.3</v>
      </c>
      <c r="AB120" s="5">
        <v>1.2E-2</v>
      </c>
      <c r="AC120" s="5">
        <v>4.1000000000000002E-2</v>
      </c>
      <c r="AD120" s="5">
        <v>0.41</v>
      </c>
      <c r="AE120" s="5">
        <v>7.0000000000000007E-2</v>
      </c>
      <c r="AF120" s="5">
        <v>3</v>
      </c>
      <c r="AG120" s="5">
        <v>0</v>
      </c>
      <c r="AH120" s="5">
        <v>0.17</v>
      </c>
      <c r="AI120" s="5">
        <v>0</v>
      </c>
      <c r="AJ120" s="5">
        <v>9.3000000000000007</v>
      </c>
      <c r="AK120" s="5">
        <v>164</v>
      </c>
      <c r="AL120" s="5">
        <v>16</v>
      </c>
      <c r="AM120" s="5">
        <v>0.59</v>
      </c>
      <c r="AN120" s="5">
        <v>0</v>
      </c>
      <c r="AO120" s="5">
        <v>0.25</v>
      </c>
      <c r="AP120" s="5">
        <v>52</v>
      </c>
      <c r="AQ120" s="5">
        <v>21</v>
      </c>
      <c r="AR120" s="5">
        <v>257</v>
      </c>
      <c r="AS120" s="5">
        <v>0.46</v>
      </c>
      <c r="AT120" s="5">
        <v>5.1999999999999998E-2</v>
      </c>
      <c r="AU120" s="5">
        <v>0.7</v>
      </c>
      <c r="AV120" s="5">
        <f>IFERROR(VLOOKUP(IFERROR(VLOOKUP(D120,Mapa_Similitud!$A$2:$B$2000,2,FALSE()),D120),Hoja1!$A$2:$K$1000,2,FALSE()),IFERROR(VLOOKUP(IFERROR(VLOOKUP(D120,Mapa_Similitud!$A$2:$B$2000,2,FALSE()),D120),Omega3_Referencia!$A$2:$E$100,3,FALSE()),0))</f>
        <v>0.01</v>
      </c>
      <c r="AW120" s="3" t="str">
        <f>IFERROR(VLOOKUP(IFERROR(VLOOKUP(D120,Mapa_Similitud!$A$2:$B$2000,2,FALSE()),D120),Hoja1!$A$2:$K$1000,3,FALSE()),IFERROR(VLOOKUP(IFERROR(VLOOKUP(D120,Mapa_Similitud!$A$2:$B$2000,2,FALSE()),D120),Omega3_Referencia!$A$2:$E$100,4,FALSE()),"N/A"))</f>
        <v>ALA</v>
      </c>
      <c r="AX120" s="5">
        <f>IFERROR(VLOOKUP(IFERROR(VLOOKUP(D120,Mapa_Similitud!$A$2:$B$2000,2,FALSE()),D120),Hoja1!$A$2:$K$1000,5,FALSE()),0)</f>
        <v>0</v>
      </c>
      <c r="AY120" s="5">
        <f>IFERROR(VLOOKUP(IFERROR(VLOOKUP(D120,Mapa_Similitud!$A$2:$B$2000,2,FALSE()),D120),Hoja1!$A$2:$K$1000,7,FALSE()),0)</f>
        <v>218.8</v>
      </c>
      <c r="AZ120" s="5">
        <f>IFERROR(VLOOKUP(IFERROR(VLOOKUP(D120,Mapa_Similitud!$A$2:$B$2000,2,FALSE()),D120),Hoja1!$A$2:$K$1000,9,FALSE()),0)</f>
        <v>0</v>
      </c>
      <c r="BA120" s="25">
        <f t="shared" si="29"/>
        <v>5.5084745762711863E-2</v>
      </c>
      <c r="BB120" s="25">
        <f t="shared" si="30"/>
        <v>9.3220338983050849E-2</v>
      </c>
      <c r="BC120" s="25">
        <f t="shared" si="31"/>
        <v>6.9491525423728806</v>
      </c>
      <c r="BD120" s="25">
        <f t="shared" si="32"/>
        <v>2.4999999999999998E-2</v>
      </c>
      <c r="BE120" s="25">
        <f t="shared" si="33"/>
        <v>0.88983050847457623</v>
      </c>
      <c r="BF120" s="25">
        <f t="shared" si="34"/>
        <v>3.125</v>
      </c>
      <c r="BG120" s="25">
        <f t="shared" si="35"/>
        <v>10.25</v>
      </c>
      <c r="BH120" s="25">
        <f t="shared" si="36"/>
        <v>0.17777777777777778</v>
      </c>
      <c r="BI120" s="25">
        <f t="shared" si="37"/>
        <v>8.171206225680934E-2</v>
      </c>
      <c r="BJ120" s="25">
        <f t="shared" si="38"/>
        <v>0.36363636363636365</v>
      </c>
      <c r="BK120" s="25">
        <f t="shared" si="39"/>
        <v>0.66666666666666674</v>
      </c>
      <c r="BL120" s="25">
        <f t="shared" si="40"/>
        <v>3.4322033898305078E-2</v>
      </c>
      <c r="BM120" s="25">
        <f t="shared" si="41"/>
        <v>2.2033898305084745</v>
      </c>
      <c r="BN120" s="18" t="str">
        <f t="shared" si="47"/>
        <v>Baja fuente de proteína</v>
      </c>
      <c r="BO120" s="18" t="str">
        <f t="shared" si="48"/>
        <v>Alta fuente de fibra</v>
      </c>
      <c r="BP120" s="18" t="str">
        <f t="shared" si="49"/>
        <v>Alta fuente de calcio</v>
      </c>
      <c r="BQ120" s="18" t="str">
        <f t="shared" si="50"/>
        <v>Alta fuente de hierro</v>
      </c>
      <c r="BR120" s="18" t="str">
        <f t="shared" si="51"/>
        <v>Moderado en sodio</v>
      </c>
      <c r="BS120" s="6" t="str">
        <f t="shared" si="42"/>
        <v>Altamente antiinflamatorio</v>
      </c>
      <c r="BT120" s="6" t="str">
        <f t="shared" si="43"/>
        <v>Bajo en grasas</v>
      </c>
      <c r="BU120" s="18" t="str">
        <f t="shared" si="52"/>
        <v>Equilibrio de líquidos ideal</v>
      </c>
      <c r="BV120" s="18" t="str">
        <f t="shared" si="53"/>
        <v>Alta fuente de magnesio</v>
      </c>
      <c r="BW120" s="18" t="str">
        <f t="shared" si="54"/>
        <v>Sin aporte de Omega 3</v>
      </c>
      <c r="BX120" s="18" t="str">
        <f t="shared" si="55"/>
        <v>Libre de grasas trans</v>
      </c>
      <c r="BY120" s="18" t="str">
        <f t="shared" si="56"/>
        <v>Alto poder antioxidante</v>
      </c>
      <c r="BZ120" s="6" t="str">
        <f t="shared" si="44"/>
        <v>Sin probióticos</v>
      </c>
      <c r="CA120" s="18" t="str">
        <f t="shared" si="57"/>
        <v>Antiinflamatorio</v>
      </c>
      <c r="CB120" s="18" t="str">
        <f>IF(ISNUMBER(SEARCH("miel", D120)), "No irritante (Uso condicionado SII)", IF(OR(J120&gt;0, ISNUMBER(SEARCH("cacao", D120)), ISNUMBER(SEARCH("chocolate puro", D120))), "Altamente irritante", IF(OR(AND(O120&gt;15, BI120&gt;1), ISNUMBER(SEARCH("chocolate", D120))), "Moderadamente irritante", "No irritante")))</f>
        <v>No irritante</v>
      </c>
      <c r="CC120" s="6" t="str">
        <f t="shared" si="45"/>
        <v>Balance de omegas favorable</v>
      </c>
    </row>
    <row r="121" spans="1:81" ht="15" customHeight="1" x14ac:dyDescent="0.3">
      <c r="A121" s="2">
        <f t="shared" si="46"/>
        <v>120</v>
      </c>
      <c r="B121" s="3" t="s">
        <v>161</v>
      </c>
      <c r="C121" s="3" t="s">
        <v>194</v>
      </c>
      <c r="D121" s="3" t="s">
        <v>223</v>
      </c>
      <c r="E121" s="3"/>
      <c r="F121" s="4">
        <v>0.4</v>
      </c>
      <c r="G121" s="5">
        <v>0.77</v>
      </c>
      <c r="H121" s="5">
        <v>13.3</v>
      </c>
      <c r="I121" s="5">
        <v>96.6</v>
      </c>
      <c r="J121" s="5">
        <v>0</v>
      </c>
      <c r="K121" s="5">
        <v>0.63</v>
      </c>
      <c r="L121" s="5">
        <v>1.9</v>
      </c>
      <c r="M121" s="5">
        <v>0.08</v>
      </c>
      <c r="N121" s="5">
        <v>1.8</v>
      </c>
      <c r="O121" s="5">
        <v>0</v>
      </c>
      <c r="P121" s="5">
        <v>0.7</v>
      </c>
      <c r="Q121" s="5">
        <v>0.2</v>
      </c>
      <c r="R121" s="5">
        <v>6.9000000000000006E-2</v>
      </c>
      <c r="S121" s="5">
        <v>8.0000000000000002E-3</v>
      </c>
      <c r="T121" s="5">
        <v>8.7999999999999995E-2</v>
      </c>
      <c r="U121" s="5">
        <v>0</v>
      </c>
      <c r="V121" s="5">
        <v>28.2</v>
      </c>
      <c r="W121" s="5">
        <v>0</v>
      </c>
      <c r="X121" s="5">
        <v>169</v>
      </c>
      <c r="Y121" s="5">
        <v>0</v>
      </c>
      <c r="Z121" s="5">
        <v>0.39</v>
      </c>
      <c r="AA121" s="5">
        <v>13</v>
      </c>
      <c r="AB121" s="5">
        <v>0.04</v>
      </c>
      <c r="AC121" s="5">
        <v>0.03</v>
      </c>
      <c r="AD121" s="5">
        <v>0.36</v>
      </c>
      <c r="AE121" s="5">
        <v>0.04</v>
      </c>
      <c r="AF121" s="5">
        <v>19.399999999999999</v>
      </c>
      <c r="AG121" s="5">
        <v>0</v>
      </c>
      <c r="AH121" s="5">
        <v>0.26</v>
      </c>
      <c r="AI121" s="5">
        <v>0.9</v>
      </c>
      <c r="AJ121" s="5">
        <v>7</v>
      </c>
      <c r="AK121" s="5">
        <v>18.5</v>
      </c>
      <c r="AL121" s="5">
        <v>23</v>
      </c>
      <c r="AM121" s="5">
        <v>0.2</v>
      </c>
      <c r="AN121" s="5">
        <v>0.3</v>
      </c>
      <c r="AO121" s="5">
        <v>0.14000000000000001</v>
      </c>
      <c r="AP121" s="5">
        <v>7.3</v>
      </c>
      <c r="AQ121" s="5">
        <v>3</v>
      </c>
      <c r="AR121" s="5">
        <v>140</v>
      </c>
      <c r="AS121" s="5">
        <v>0.08</v>
      </c>
      <c r="AT121" s="5">
        <v>3.9E-2</v>
      </c>
      <c r="AU121" s="5">
        <v>0.8</v>
      </c>
      <c r="AV121" s="5">
        <f>IFERROR(VLOOKUP(IFERROR(VLOOKUP(D121,Mapa_Similitud!$A$2:$B$2000,2,FALSE()),D121),Hoja1!$A$2:$K$1000,2,FALSE()),IFERROR(VLOOKUP(IFERROR(VLOOKUP(D121,Mapa_Similitud!$A$2:$B$2000,2,FALSE()),D121),Omega3_Referencia!$A$2:$E$100,3,FALSE()),0))</f>
        <v>0.01</v>
      </c>
      <c r="AW121" s="3" t="str">
        <f>IFERROR(VLOOKUP(IFERROR(VLOOKUP(D121,Mapa_Similitud!$A$2:$B$2000,2,FALSE()),D121),Hoja1!$A$2:$K$1000,3,FALSE()),IFERROR(VLOOKUP(IFERROR(VLOOKUP(D121,Mapa_Similitud!$A$2:$B$2000,2,FALSE()),D121),Omega3_Referencia!$A$2:$E$100,4,FALSE()),"N/A"))</f>
        <v>ALA</v>
      </c>
      <c r="AX121" s="5">
        <f>IFERROR(VLOOKUP(IFERROR(VLOOKUP(D121,Mapa_Similitud!$A$2:$B$2000,2,FALSE()),D121),Hoja1!$A$2:$K$1000,5,FALSE()),0)</f>
        <v>0</v>
      </c>
      <c r="AY121" s="5">
        <f>IFERROR(VLOOKUP(IFERROR(VLOOKUP(D121,Mapa_Similitud!$A$2:$B$2000,2,FALSE()),D121),Hoja1!$A$2:$K$1000,7,FALSE()),0)</f>
        <v>20</v>
      </c>
      <c r="AZ121" s="5">
        <f>IFERROR(VLOOKUP(IFERROR(VLOOKUP(D121,Mapa_Similitud!$A$2:$B$2000,2,FALSE()),D121),Hoja1!$A$2:$K$1000,9,FALSE()),0)</f>
        <v>0</v>
      </c>
      <c r="BA121" s="25">
        <f t="shared" si="29"/>
        <v>4.7368421052631574E-2</v>
      </c>
      <c r="BB121" s="25">
        <f t="shared" si="30"/>
        <v>5.2631578947368418E-2</v>
      </c>
      <c r="BC121" s="25">
        <f t="shared" si="31"/>
        <v>1.3909774436090225</v>
      </c>
      <c r="BD121" s="25">
        <f t="shared" si="32"/>
        <v>1.5037593984962405E-2</v>
      </c>
      <c r="BE121" s="25">
        <f t="shared" si="33"/>
        <v>0.22556390977443608</v>
      </c>
      <c r="BF121" s="25">
        <f t="shared" si="34"/>
        <v>1.2753623188405796</v>
      </c>
      <c r="BG121" s="25">
        <f t="shared" si="35"/>
        <v>0.80434782608695654</v>
      </c>
      <c r="BH121" s="25">
        <f t="shared" si="36"/>
        <v>0.34500000000000003</v>
      </c>
      <c r="BI121" s="25">
        <f t="shared" si="37"/>
        <v>2.1428571428571429E-2</v>
      </c>
      <c r="BJ121" s="25">
        <f t="shared" si="38"/>
        <v>0.94736842105263164</v>
      </c>
      <c r="BK121" s="25">
        <f t="shared" si="39"/>
        <v>0.36842105263157893</v>
      </c>
      <c r="BL121" s="25">
        <f t="shared" si="40"/>
        <v>0.13533834586466165</v>
      </c>
      <c r="BM121" s="25">
        <f t="shared" si="41"/>
        <v>0.54887218045112773</v>
      </c>
      <c r="BN121" s="18" t="str">
        <f t="shared" si="47"/>
        <v>Baja fuente de proteína</v>
      </c>
      <c r="BO121" s="18" t="str">
        <f t="shared" si="48"/>
        <v>Alta fuente de fibra</v>
      </c>
      <c r="BP121" s="18" t="str">
        <f t="shared" si="49"/>
        <v>Media fuente de calcio</v>
      </c>
      <c r="BQ121" s="18" t="str">
        <f t="shared" si="50"/>
        <v>Alta fuente de hierro</v>
      </c>
      <c r="BR121" s="18" t="str">
        <f t="shared" si="51"/>
        <v>Bajo en sodio</v>
      </c>
      <c r="BS121" s="6" t="str">
        <f t="shared" si="42"/>
        <v>Ligeramente antiinflamatorio</v>
      </c>
      <c r="BT121" s="6" t="str">
        <f t="shared" si="43"/>
        <v>Bajo en grasas</v>
      </c>
      <c r="BU121" s="18" t="str">
        <f t="shared" si="52"/>
        <v>Equilibrio de líquidos ideal</v>
      </c>
      <c r="BV121" s="18" t="str">
        <f t="shared" si="53"/>
        <v>Alta fuente de magnesio</v>
      </c>
      <c r="BW121" s="18" t="str">
        <f t="shared" si="54"/>
        <v>Sin aporte de Omega 3</v>
      </c>
      <c r="BX121" s="18" t="str">
        <f t="shared" si="55"/>
        <v>Libre de grasas trans</v>
      </c>
      <c r="BY121" s="18" t="str">
        <f t="shared" si="56"/>
        <v>Medio poder antioxidante</v>
      </c>
      <c r="BZ121" s="6" t="str">
        <f t="shared" si="44"/>
        <v>Sin probióticos</v>
      </c>
      <c r="CA121" s="18" t="str">
        <f t="shared" si="57"/>
        <v>Poco inflamatorio</v>
      </c>
      <c r="CB121" s="18" t="str">
        <f>IF(ISNUMBER(SEARCH("miel", D121)), "No irritante (Uso condicionado SII)", IF(OR(J121&gt;0, ISNUMBER(SEARCH("cacao", D121)), ISNUMBER(SEARCH("chocolate puro", D121))), "Altamente irritante", IF(OR(AND(O121&gt;15, BI121&gt;1), ISNUMBER(SEARCH("chocolate", D121))), "Moderadamente irritante", "No irritante")))</f>
        <v>No irritante</v>
      </c>
      <c r="CC121" s="6" t="str">
        <f t="shared" si="45"/>
        <v>Exceso relativo de Omega 6</v>
      </c>
    </row>
    <row r="122" spans="1:81" ht="15" customHeight="1" x14ac:dyDescent="0.3">
      <c r="A122" s="2">
        <f t="shared" si="46"/>
        <v>121</v>
      </c>
      <c r="B122" s="3" t="s">
        <v>161</v>
      </c>
      <c r="C122" s="3" t="s">
        <v>194</v>
      </c>
      <c r="D122" s="3" t="s">
        <v>224</v>
      </c>
      <c r="E122" s="3"/>
      <c r="F122" s="4">
        <v>0.9</v>
      </c>
      <c r="G122" s="5">
        <v>0.83</v>
      </c>
      <c r="H122" s="5">
        <v>33.1</v>
      </c>
      <c r="I122" s="5">
        <v>92.2</v>
      </c>
      <c r="J122" s="5">
        <v>0</v>
      </c>
      <c r="K122" s="5">
        <v>1.3</v>
      </c>
      <c r="L122" s="5">
        <v>4.2</v>
      </c>
      <c r="M122" s="5">
        <v>0</v>
      </c>
      <c r="N122" s="5">
        <v>4.2</v>
      </c>
      <c r="O122" s="5">
        <v>0</v>
      </c>
      <c r="P122" s="5">
        <v>1.5</v>
      </c>
      <c r="Q122" s="5">
        <v>0.9</v>
      </c>
      <c r="R122" s="5">
        <v>0.3</v>
      </c>
      <c r="S122" s="5">
        <v>0</v>
      </c>
      <c r="T122" s="5">
        <v>0.3</v>
      </c>
      <c r="U122" s="5">
        <v>0</v>
      </c>
      <c r="V122" s="5">
        <v>539</v>
      </c>
      <c r="W122" s="5">
        <v>0</v>
      </c>
      <c r="X122" s="5">
        <v>3236</v>
      </c>
      <c r="Y122" s="5">
        <v>0</v>
      </c>
      <c r="Z122" s="5">
        <v>0.8</v>
      </c>
      <c r="AA122" s="5">
        <v>17</v>
      </c>
      <c r="AB122" s="5">
        <v>0.04</v>
      </c>
      <c r="AC122" s="5">
        <v>0.03</v>
      </c>
      <c r="AD122" s="5">
        <v>1.1000000000000001</v>
      </c>
      <c r="AE122" s="5">
        <v>0.28000000000000003</v>
      </c>
      <c r="AF122" s="5">
        <v>23.7</v>
      </c>
      <c r="AG122" s="5">
        <v>0</v>
      </c>
      <c r="AH122" s="5">
        <v>0.08</v>
      </c>
      <c r="AI122" s="5">
        <v>0</v>
      </c>
      <c r="AJ122" s="5">
        <v>139</v>
      </c>
      <c r="AK122" s="5">
        <v>11.9</v>
      </c>
      <c r="AL122" s="5">
        <v>22</v>
      </c>
      <c r="AM122" s="5">
        <v>0.37</v>
      </c>
      <c r="AN122" s="5">
        <v>0.78</v>
      </c>
      <c r="AO122" s="5">
        <v>0.14000000000000001</v>
      </c>
      <c r="AP122" s="5">
        <v>12.8</v>
      </c>
      <c r="AQ122" s="5">
        <v>4</v>
      </c>
      <c r="AR122" s="5">
        <v>160</v>
      </c>
      <c r="AS122" s="5">
        <v>0.1</v>
      </c>
      <c r="AT122" s="5">
        <v>0.01</v>
      </c>
      <c r="AU122" s="5">
        <v>0.1</v>
      </c>
      <c r="AV122" s="5">
        <f>IFERROR(VLOOKUP(IFERROR(VLOOKUP(D122,Mapa_Similitud!$A$2:$B$2000,2,FALSE()),D122),Hoja1!$A$2:$K$1000,2,FALSE()),IFERROR(VLOOKUP(IFERROR(VLOOKUP(D122,Mapa_Similitud!$A$2:$B$2000,2,FALSE()),D122),Omega3_Referencia!$A$2:$E$100,3,FALSE()),0))</f>
        <v>0.01</v>
      </c>
      <c r="AW122" s="3" t="str">
        <f>IFERROR(VLOOKUP(IFERROR(VLOOKUP(D122,Mapa_Similitud!$A$2:$B$2000,2,FALSE()),D122),Hoja1!$A$2:$K$1000,3,FALSE()),IFERROR(VLOOKUP(IFERROR(VLOOKUP(D122,Mapa_Similitud!$A$2:$B$2000,2,FALSE()),D122),Omega3_Referencia!$A$2:$E$100,4,FALSE()),"N/A"))</f>
        <v>ALA</v>
      </c>
      <c r="AX122" s="5">
        <f>IFERROR(VLOOKUP(IFERROR(VLOOKUP(D122,Mapa_Similitud!$A$2:$B$2000,2,FALSE()),D122),Hoja1!$A$2:$K$1000,5,FALSE()),0)</f>
        <v>0</v>
      </c>
      <c r="AY122" s="5">
        <f>IFERROR(VLOOKUP(IFERROR(VLOOKUP(D122,Mapa_Similitud!$A$2:$B$2000,2,FALSE()),D122),Hoja1!$A$2:$K$1000,7,FALSE()),0)</f>
        <v>85</v>
      </c>
      <c r="AZ122" s="5">
        <f>IFERROR(VLOOKUP(IFERROR(VLOOKUP(D122,Mapa_Similitud!$A$2:$B$2000,2,FALSE()),D122),Hoja1!$A$2:$K$1000,9,FALSE()),0)</f>
        <v>0</v>
      </c>
      <c r="BA122" s="25">
        <f t="shared" si="29"/>
        <v>3.9274924471299093E-2</v>
      </c>
      <c r="BB122" s="25">
        <f t="shared" si="30"/>
        <v>4.5317220543806644E-2</v>
      </c>
      <c r="BC122" s="25">
        <f t="shared" si="31"/>
        <v>0.3595166163141994</v>
      </c>
      <c r="BD122" s="25">
        <f t="shared" si="32"/>
        <v>1.1178247734138972E-2</v>
      </c>
      <c r="BE122" s="25">
        <f t="shared" si="33"/>
        <v>0.12084592145015105</v>
      </c>
      <c r="BF122" s="25">
        <f t="shared" si="34"/>
        <v>1</v>
      </c>
      <c r="BG122" s="25">
        <f t="shared" si="35"/>
        <v>0.54090909090909089</v>
      </c>
      <c r="BH122" s="25">
        <f t="shared" si="36"/>
        <v>0.33333333333333331</v>
      </c>
      <c r="BI122" s="25">
        <f t="shared" si="37"/>
        <v>2.5000000000000001E-2</v>
      </c>
      <c r="BJ122" s="25">
        <f t="shared" si="38"/>
        <v>1</v>
      </c>
      <c r="BK122" s="25">
        <f t="shared" si="39"/>
        <v>0.35714285714285715</v>
      </c>
      <c r="BL122" s="25">
        <f t="shared" si="40"/>
        <v>0.24471299093655588</v>
      </c>
      <c r="BM122" s="25">
        <f t="shared" si="41"/>
        <v>0.38670694864048338</v>
      </c>
      <c r="BN122" s="18" t="str">
        <f t="shared" si="47"/>
        <v>Baja fuente de proteína</v>
      </c>
      <c r="BO122" s="18" t="str">
        <f t="shared" si="48"/>
        <v>Alta fuente de fibra</v>
      </c>
      <c r="BP122" s="18" t="str">
        <f t="shared" si="49"/>
        <v>Baja fuente de calcio</v>
      </c>
      <c r="BQ122" s="18" t="str">
        <f t="shared" si="50"/>
        <v>Media fuente de hierro</v>
      </c>
      <c r="BR122" s="18" t="str">
        <f t="shared" si="51"/>
        <v>Bajo en sodio</v>
      </c>
      <c r="BS122" s="6" t="str">
        <f t="shared" si="42"/>
        <v>Neutro</v>
      </c>
      <c r="BT122" s="6" t="str">
        <f t="shared" si="43"/>
        <v>Moderado en grasas</v>
      </c>
      <c r="BU122" s="18" t="str">
        <f t="shared" si="52"/>
        <v>Equilibrio de líquidos ideal</v>
      </c>
      <c r="BV122" s="18" t="str">
        <f t="shared" si="53"/>
        <v>Media fuente de magnesio</v>
      </c>
      <c r="BW122" s="18" t="str">
        <f t="shared" si="54"/>
        <v>Sin aporte de Omega 3</v>
      </c>
      <c r="BX122" s="18" t="str">
        <f t="shared" si="55"/>
        <v>Libre de grasas trans</v>
      </c>
      <c r="BY122" s="18" t="str">
        <f t="shared" si="56"/>
        <v>Alto poder antioxidante</v>
      </c>
      <c r="BZ122" s="6" t="str">
        <f t="shared" si="44"/>
        <v>Sin probióticos</v>
      </c>
      <c r="CA122" s="18" t="str">
        <f t="shared" si="57"/>
        <v>Antiinflamatorio</v>
      </c>
      <c r="CB122" s="18" t="str">
        <f>IF(ISNUMBER(SEARCH("miel", D122)), "No irritante (Uso condicionado SII)", IF(OR(J122&gt;0, ISNUMBER(SEARCH("cacao", D122)), ISNUMBER(SEARCH("chocolate puro", D122))), "Altamente irritante", IF(OR(AND(O122&gt;15, BI122&gt;1), ISNUMBER(SEARCH("chocolate", D122))), "Moderadamente irritante", "No irritante")))</f>
        <v>No irritante</v>
      </c>
      <c r="CC122" s="6" t="str">
        <f t="shared" si="45"/>
        <v>Exceso relativo de Omega 6</v>
      </c>
    </row>
    <row r="123" spans="1:81" ht="15" customHeight="1" x14ac:dyDescent="0.3">
      <c r="A123" s="2">
        <f t="shared" si="46"/>
        <v>122</v>
      </c>
      <c r="B123" s="3" t="s">
        <v>161</v>
      </c>
      <c r="C123" s="3" t="s">
        <v>194</v>
      </c>
      <c r="D123" s="3" t="s">
        <v>225</v>
      </c>
      <c r="E123" s="3"/>
      <c r="F123" s="4">
        <v>0.8</v>
      </c>
      <c r="G123" s="5">
        <v>0.84</v>
      </c>
      <c r="H123" s="5">
        <v>19.7</v>
      </c>
      <c r="I123" s="5">
        <v>95.2</v>
      </c>
      <c r="J123" s="5">
        <v>0</v>
      </c>
      <c r="K123" s="5">
        <v>0.63</v>
      </c>
      <c r="L123" s="5">
        <v>1.6</v>
      </c>
      <c r="M123" s="5">
        <v>7.0000000000000007E-2</v>
      </c>
      <c r="N123" s="5">
        <v>1.5</v>
      </c>
      <c r="O123" s="5">
        <v>0</v>
      </c>
      <c r="P123" s="5">
        <v>1.8</v>
      </c>
      <c r="Q123" s="5">
        <v>0.8</v>
      </c>
      <c r="R123" s="5">
        <v>0.3</v>
      </c>
      <c r="S123" s="5">
        <v>0.1</v>
      </c>
      <c r="T123" s="5">
        <v>0.3</v>
      </c>
      <c r="U123" s="5">
        <v>0</v>
      </c>
      <c r="V123" s="5">
        <v>32.799999999999997</v>
      </c>
      <c r="W123" s="5">
        <v>0</v>
      </c>
      <c r="X123" s="5">
        <v>197</v>
      </c>
      <c r="Y123" s="5">
        <v>0</v>
      </c>
      <c r="Z123" s="5">
        <v>0.87</v>
      </c>
      <c r="AA123" s="5">
        <v>11</v>
      </c>
      <c r="AB123" s="5">
        <v>0.01</v>
      </c>
      <c r="AC123" s="5">
        <v>0.02</v>
      </c>
      <c r="AD123" s="5">
        <v>0.23</v>
      </c>
      <c r="AE123" s="5">
        <v>0.27</v>
      </c>
      <c r="AF123" s="5">
        <v>25.1</v>
      </c>
      <c r="AG123" s="5">
        <v>0</v>
      </c>
      <c r="AH123" s="5">
        <v>0.06</v>
      </c>
      <c r="AI123" s="5">
        <v>0</v>
      </c>
      <c r="AJ123" s="5">
        <v>107</v>
      </c>
      <c r="AK123" s="5">
        <v>11.3</v>
      </c>
      <c r="AL123" s="5">
        <v>19</v>
      </c>
      <c r="AM123" s="5">
        <v>0.49</v>
      </c>
      <c r="AN123" s="5">
        <v>0.17</v>
      </c>
      <c r="AO123" s="5">
        <v>0.12</v>
      </c>
      <c r="AP123" s="5">
        <v>10.5</v>
      </c>
      <c r="AQ123" s="5">
        <v>4</v>
      </c>
      <c r="AR123" s="5">
        <v>120</v>
      </c>
      <c r="AS123" s="5">
        <v>0.13</v>
      </c>
      <c r="AT123" s="5">
        <v>0.02</v>
      </c>
      <c r="AU123" s="5">
        <v>0</v>
      </c>
      <c r="AV123" s="5">
        <f>IFERROR(VLOOKUP(IFERROR(VLOOKUP(D123,Mapa_Similitud!$A$2:$B$2000,2,FALSE()),D123),Hoja1!$A$2:$K$1000,2,FALSE()),IFERROR(VLOOKUP(IFERROR(VLOOKUP(D123,Mapa_Similitud!$A$2:$B$2000,2,FALSE()),D123),Omega3_Referencia!$A$2:$E$100,3,FALSE()),0))</f>
        <v>0.01</v>
      </c>
      <c r="AW123" s="3" t="str">
        <f>IFERROR(VLOOKUP(IFERROR(VLOOKUP(D123,Mapa_Similitud!$A$2:$B$2000,2,FALSE()),D123),Hoja1!$A$2:$K$1000,3,FALSE()),IFERROR(VLOOKUP(IFERROR(VLOOKUP(D123,Mapa_Similitud!$A$2:$B$2000,2,FALSE()),D123),Omega3_Referencia!$A$2:$E$100,4,FALSE()),"N/A"))</f>
        <v>ALA</v>
      </c>
      <c r="AX123" s="5">
        <f>IFERROR(VLOOKUP(IFERROR(VLOOKUP(D123,Mapa_Similitud!$A$2:$B$2000,2,FALSE()),D123),Hoja1!$A$2:$K$1000,5,FALSE()),0)</f>
        <v>0</v>
      </c>
      <c r="AY123" s="5">
        <f>IFERROR(VLOOKUP(IFERROR(VLOOKUP(D123,Mapa_Similitud!$A$2:$B$2000,2,FALSE()),D123),Hoja1!$A$2:$K$1000,7,FALSE()),0)</f>
        <v>70</v>
      </c>
      <c r="AZ123" s="5">
        <f>IFERROR(VLOOKUP(IFERROR(VLOOKUP(D123,Mapa_Similitud!$A$2:$B$2000,2,FALSE()),D123),Hoja1!$A$2:$K$1000,9,FALSE()),0)</f>
        <v>0</v>
      </c>
      <c r="BA123" s="25">
        <f t="shared" si="29"/>
        <v>3.1979695431472083E-2</v>
      </c>
      <c r="BB123" s="25">
        <f t="shared" si="30"/>
        <v>9.1370558375634528E-2</v>
      </c>
      <c r="BC123" s="25">
        <f t="shared" si="31"/>
        <v>0.57360406091370564</v>
      </c>
      <c r="BD123" s="25">
        <f t="shared" si="32"/>
        <v>2.4873096446700507E-2</v>
      </c>
      <c r="BE123" s="25">
        <f t="shared" si="33"/>
        <v>0.20304568527918782</v>
      </c>
      <c r="BF123" s="25">
        <f t="shared" si="34"/>
        <v>1</v>
      </c>
      <c r="BG123" s="25">
        <f t="shared" si="35"/>
        <v>0.59473684210526323</v>
      </c>
      <c r="BH123" s="25">
        <f t="shared" si="36"/>
        <v>0.37499999999999994</v>
      </c>
      <c r="BI123" s="25">
        <f t="shared" si="37"/>
        <v>3.3333333333333333E-2</v>
      </c>
      <c r="BJ123" s="25">
        <f t="shared" si="38"/>
        <v>0.9375</v>
      </c>
      <c r="BK123" s="25">
        <f t="shared" si="39"/>
        <v>1.125</v>
      </c>
      <c r="BL123" s="25">
        <f t="shared" si="40"/>
        <v>0.36548223350253811</v>
      </c>
      <c r="BM123" s="25">
        <f t="shared" si="41"/>
        <v>0.53299492385786806</v>
      </c>
      <c r="BN123" s="18" t="str">
        <f t="shared" si="47"/>
        <v>Baja fuente de proteína</v>
      </c>
      <c r="BO123" s="18" t="str">
        <f t="shared" si="48"/>
        <v>Alta fuente de fibra</v>
      </c>
      <c r="BP123" s="18" t="str">
        <f t="shared" si="49"/>
        <v>Baja fuente de calcio</v>
      </c>
      <c r="BQ123" s="18" t="str">
        <f t="shared" si="50"/>
        <v>Alta fuente de hierro</v>
      </c>
      <c r="BR123" s="18" t="str">
        <f t="shared" si="51"/>
        <v>Bajo en sodio</v>
      </c>
      <c r="BS123" s="6" t="str">
        <f t="shared" si="42"/>
        <v>Neutro</v>
      </c>
      <c r="BT123" s="6" t="str">
        <f t="shared" si="43"/>
        <v>Alto en grasas</v>
      </c>
      <c r="BU123" s="18" t="str">
        <f t="shared" si="52"/>
        <v>Equilibrio de líquidos ideal</v>
      </c>
      <c r="BV123" s="18" t="str">
        <f t="shared" si="53"/>
        <v>Alta fuente de magnesio</v>
      </c>
      <c r="BW123" s="18" t="str">
        <f t="shared" si="54"/>
        <v>Sin aporte de Omega 3</v>
      </c>
      <c r="BX123" s="18" t="str">
        <f t="shared" si="55"/>
        <v>Libre de grasas trans</v>
      </c>
      <c r="BY123" s="18" t="str">
        <f t="shared" si="56"/>
        <v>Alto poder antioxidante</v>
      </c>
      <c r="BZ123" s="6" t="str">
        <f t="shared" si="44"/>
        <v>Sin probióticos</v>
      </c>
      <c r="CA123" s="18" t="str">
        <f t="shared" si="57"/>
        <v>Antiinflamatorio</v>
      </c>
      <c r="CB123" s="18" t="str">
        <f>IF(ISNUMBER(SEARCH("miel", D123)), "No irritante (Uso condicionado SII)", IF(OR(J123&gt;0, ISNUMBER(SEARCH("cacao", D123)), ISNUMBER(SEARCH("chocolate puro", D123))), "Altamente irritante", IF(OR(AND(O123&gt;15, BI123&gt;1), ISNUMBER(SEARCH("chocolate", D123))), "Moderadamente irritante", "No irritante")))</f>
        <v>No irritante</v>
      </c>
      <c r="CC123" s="6" t="str">
        <f t="shared" si="45"/>
        <v>Exceso relativo de Omega 6</v>
      </c>
    </row>
    <row r="124" spans="1:81" ht="15" customHeight="1" x14ac:dyDescent="0.3">
      <c r="A124" s="2">
        <f t="shared" si="46"/>
        <v>123</v>
      </c>
      <c r="B124" s="3" t="s">
        <v>161</v>
      </c>
      <c r="C124" s="3" t="s">
        <v>194</v>
      </c>
      <c r="D124" s="3" t="s">
        <v>226</v>
      </c>
      <c r="E124" s="3"/>
      <c r="F124" s="4">
        <v>1</v>
      </c>
      <c r="G124" s="5">
        <v>0.86</v>
      </c>
      <c r="H124" s="5">
        <v>29.2</v>
      </c>
      <c r="I124" s="5">
        <v>92</v>
      </c>
      <c r="J124" s="5">
        <v>0</v>
      </c>
      <c r="K124" s="5">
        <v>2.2000000000000002</v>
      </c>
      <c r="L124" s="5">
        <v>3.3</v>
      </c>
      <c r="M124" s="5">
        <v>0.12</v>
      </c>
      <c r="N124" s="5">
        <v>3.1</v>
      </c>
      <c r="O124" s="5">
        <v>0</v>
      </c>
      <c r="P124" s="5">
        <v>2.2999999999999998</v>
      </c>
      <c r="Q124" s="5">
        <v>0.28999999999999998</v>
      </c>
      <c r="R124" s="5">
        <v>7.8E-2</v>
      </c>
      <c r="S124" s="5">
        <v>1.2999999999999999E-2</v>
      </c>
      <c r="T124" s="5">
        <v>0.18</v>
      </c>
      <c r="U124" s="5">
        <v>0</v>
      </c>
      <c r="V124" s="5">
        <v>123</v>
      </c>
      <c r="W124" s="5">
        <v>0</v>
      </c>
      <c r="X124" s="5">
        <v>739</v>
      </c>
      <c r="Y124" s="5">
        <v>0</v>
      </c>
      <c r="Z124" s="5">
        <v>0.53</v>
      </c>
      <c r="AA124" s="5">
        <v>47</v>
      </c>
      <c r="AB124" s="5">
        <v>8.5999999999999993E-2</v>
      </c>
      <c r="AC124" s="5">
        <v>6.8000000000000005E-2</v>
      </c>
      <c r="AD124" s="5">
        <v>0.77</v>
      </c>
      <c r="AE124" s="5">
        <v>0.26</v>
      </c>
      <c r="AF124" s="5">
        <v>103</v>
      </c>
      <c r="AG124" s="5">
        <v>0</v>
      </c>
      <c r="AH124" s="5">
        <v>0.14000000000000001</v>
      </c>
      <c r="AI124" s="5">
        <v>1.6</v>
      </c>
      <c r="AJ124" s="5">
        <v>26</v>
      </c>
      <c r="AK124" s="5">
        <v>63</v>
      </c>
      <c r="AL124" s="5">
        <v>48</v>
      </c>
      <c r="AM124" s="5">
        <v>0.81</v>
      </c>
      <c r="AN124" s="5">
        <v>8.6</v>
      </c>
      <c r="AO124" s="5">
        <v>0.31</v>
      </c>
      <c r="AP124" s="5">
        <v>16</v>
      </c>
      <c r="AQ124" s="5">
        <v>4.4000000000000004</v>
      </c>
      <c r="AR124" s="5">
        <v>267</v>
      </c>
      <c r="AS124" s="5">
        <v>0.19</v>
      </c>
      <c r="AT124" s="5">
        <v>5.2999999999999999E-2</v>
      </c>
      <c r="AU124" s="5">
        <v>0.76</v>
      </c>
      <c r="AV124" s="5">
        <f>IFERROR(VLOOKUP(IFERROR(VLOOKUP(D124,Mapa_Similitud!$A$2:$B$2000,2,FALSE()),D124),Hoja1!$A$2:$K$1000,2,FALSE()),IFERROR(VLOOKUP(IFERROR(VLOOKUP(D124,Mapa_Similitud!$A$2:$B$2000,2,FALSE()),D124),Omega3_Referencia!$A$2:$E$100,3,FALSE()),0))</f>
        <v>0.02</v>
      </c>
      <c r="AW124" s="3" t="str">
        <f>IFERROR(VLOOKUP(IFERROR(VLOOKUP(D124,Mapa_Similitud!$A$2:$B$2000,2,FALSE()),D124),Hoja1!$A$2:$K$1000,3,FALSE()),IFERROR(VLOOKUP(IFERROR(VLOOKUP(D124,Mapa_Similitud!$A$2:$B$2000,2,FALSE()),D124),Omega3_Referencia!$A$2:$E$100,4,FALSE()),"N/A"))</f>
        <v>ALA</v>
      </c>
      <c r="AX124" s="5">
        <f>IFERROR(VLOOKUP(IFERROR(VLOOKUP(D124,Mapa_Similitud!$A$2:$B$2000,2,FALSE()),D124),Hoja1!$A$2:$K$1000,5,FALSE()),0)</f>
        <v>0</v>
      </c>
      <c r="AY124" s="5">
        <f>IFERROR(VLOOKUP(IFERROR(VLOOKUP(D124,Mapa_Similitud!$A$2:$B$2000,2,FALSE()),D124),Hoja1!$A$2:$K$1000,7,FALSE()),0)</f>
        <v>45</v>
      </c>
      <c r="AZ124" s="5">
        <f>IFERROR(VLOOKUP(IFERROR(VLOOKUP(D124,Mapa_Similitud!$A$2:$B$2000,2,FALSE()),D124),Hoja1!$A$2:$K$1000,9,FALSE()),0)</f>
        <v>0</v>
      </c>
      <c r="BA124" s="25">
        <f t="shared" si="29"/>
        <v>7.5342465753424667E-2</v>
      </c>
      <c r="BB124" s="25">
        <f t="shared" si="30"/>
        <v>7.8767123287671229E-2</v>
      </c>
      <c r="BC124" s="25">
        <f t="shared" si="31"/>
        <v>2.1575342465753424</v>
      </c>
      <c r="BD124" s="25">
        <f t="shared" si="32"/>
        <v>2.7739726027397264E-2</v>
      </c>
      <c r="BE124" s="25">
        <f t="shared" si="33"/>
        <v>0.15068493150684933</v>
      </c>
      <c r="BF124" s="25">
        <f t="shared" si="34"/>
        <v>2.3076923076923075</v>
      </c>
      <c r="BG124" s="25">
        <f t="shared" si="35"/>
        <v>1.3125</v>
      </c>
      <c r="BH124" s="25">
        <f t="shared" si="36"/>
        <v>0.26896551724137935</v>
      </c>
      <c r="BI124" s="25">
        <f t="shared" si="37"/>
        <v>1.647940074906367E-2</v>
      </c>
      <c r="BJ124" s="25">
        <f t="shared" si="38"/>
        <v>0.93939393939393945</v>
      </c>
      <c r="BK124" s="25">
        <f t="shared" si="39"/>
        <v>0.69696969696969691</v>
      </c>
      <c r="BL124" s="25">
        <f t="shared" si="40"/>
        <v>8.938356164383561E-2</v>
      </c>
      <c r="BM124" s="25">
        <f t="shared" si="41"/>
        <v>0.54794520547945202</v>
      </c>
      <c r="BN124" s="18" t="str">
        <f t="shared" si="47"/>
        <v>Baja fuente de proteína</v>
      </c>
      <c r="BO124" s="18" t="str">
        <f t="shared" si="48"/>
        <v>Alta fuente de fibra</v>
      </c>
      <c r="BP124" s="18" t="str">
        <f t="shared" si="49"/>
        <v>Alta fuente de calcio</v>
      </c>
      <c r="BQ124" s="18" t="str">
        <f t="shared" si="50"/>
        <v>Alta fuente de hierro</v>
      </c>
      <c r="BR124" s="18" t="str">
        <f t="shared" si="51"/>
        <v>Bajo en sodio</v>
      </c>
      <c r="BS124" s="6" t="str">
        <f t="shared" si="42"/>
        <v>Altamente antiinflamatorio</v>
      </c>
      <c r="BT124" s="6" t="str">
        <f t="shared" si="43"/>
        <v>Bajo en grasas</v>
      </c>
      <c r="BU124" s="18" t="str">
        <f t="shared" si="52"/>
        <v>Equilibrio de líquidos ideal</v>
      </c>
      <c r="BV124" s="18" t="str">
        <f t="shared" si="53"/>
        <v>Alta fuente de magnesio</v>
      </c>
      <c r="BW124" s="18" t="str">
        <f t="shared" si="54"/>
        <v>Sin aporte de Omega 3</v>
      </c>
      <c r="BX124" s="18" t="str">
        <f t="shared" si="55"/>
        <v>Libre de grasas trans</v>
      </c>
      <c r="BY124" s="18" t="str">
        <f t="shared" si="56"/>
        <v>Medio poder antioxidante</v>
      </c>
      <c r="BZ124" s="6" t="str">
        <f t="shared" si="44"/>
        <v>Sin probióticos</v>
      </c>
      <c r="CA124" s="18" t="str">
        <f t="shared" si="57"/>
        <v>Poco inflamatorio</v>
      </c>
      <c r="CB124" s="18" t="str">
        <f>IF(ISNUMBER(SEARCH("miel", D124)), "No irritante (Uso condicionado SII)", IF(OR(J124&gt;0, ISNUMBER(SEARCH("cacao", D124)), ISNUMBER(SEARCH("chocolate puro", D124))), "Altamente irritante", IF(OR(AND(O124&gt;15, BI124&gt;1), ISNUMBER(SEARCH("chocolate", D124))), "Moderadamente irritante", "No irritante")))</f>
        <v>No irritante</v>
      </c>
      <c r="CC124" s="6" t="str">
        <f t="shared" si="45"/>
        <v>Exceso relativo de Omega 6</v>
      </c>
    </row>
    <row r="125" spans="1:81" ht="15" customHeight="1" x14ac:dyDescent="0.3">
      <c r="A125" s="2">
        <f t="shared" si="46"/>
        <v>124</v>
      </c>
      <c r="B125" s="3" t="s">
        <v>161</v>
      </c>
      <c r="C125" s="3" t="s">
        <v>194</v>
      </c>
      <c r="D125" s="3" t="s">
        <v>227</v>
      </c>
      <c r="E125" s="3"/>
      <c r="F125" s="4">
        <v>0.4</v>
      </c>
      <c r="G125" s="5">
        <v>0.77</v>
      </c>
      <c r="H125" s="5">
        <v>32.1</v>
      </c>
      <c r="I125" s="5">
        <v>91.4</v>
      </c>
      <c r="J125" s="5">
        <v>0</v>
      </c>
      <c r="K125" s="5">
        <v>1.7</v>
      </c>
      <c r="L125" s="5">
        <v>4.0999999999999996</v>
      </c>
      <c r="M125" s="5">
        <v>0.09</v>
      </c>
      <c r="N125" s="5">
        <v>4</v>
      </c>
      <c r="O125" s="5">
        <v>0</v>
      </c>
      <c r="P125" s="5">
        <v>2.4</v>
      </c>
      <c r="Q125" s="5">
        <v>0.45</v>
      </c>
      <c r="R125" s="5">
        <v>0.1</v>
      </c>
      <c r="S125" s="5">
        <v>4.7E-2</v>
      </c>
      <c r="T125" s="5">
        <v>0.3</v>
      </c>
      <c r="U125" s="5">
        <v>0</v>
      </c>
      <c r="V125" s="5">
        <v>64.2</v>
      </c>
      <c r="W125" s="5">
        <v>0</v>
      </c>
      <c r="X125" s="5">
        <v>385</v>
      </c>
      <c r="Y125" s="5">
        <v>0</v>
      </c>
      <c r="Z125" s="5">
        <v>0.2</v>
      </c>
      <c r="AA125" s="5">
        <v>70</v>
      </c>
      <c r="AB125" s="5">
        <v>0.15</v>
      </c>
      <c r="AC125" s="5">
        <v>0.02</v>
      </c>
      <c r="AD125" s="5">
        <v>0.8</v>
      </c>
      <c r="AE125" s="5">
        <v>0.17</v>
      </c>
      <c r="AF125" s="5">
        <v>75</v>
      </c>
      <c r="AG125" s="5">
        <v>0</v>
      </c>
      <c r="AH125" s="5">
        <v>0.21</v>
      </c>
      <c r="AI125" s="5">
        <v>0.1</v>
      </c>
      <c r="AJ125" s="5">
        <v>49</v>
      </c>
      <c r="AK125" s="5">
        <v>52</v>
      </c>
      <c r="AL125" s="5">
        <v>41</v>
      </c>
      <c r="AM125" s="5">
        <v>0.7</v>
      </c>
      <c r="AN125" s="5">
        <v>2</v>
      </c>
      <c r="AO125" s="5">
        <v>0.3</v>
      </c>
      <c r="AP125" s="5">
        <v>8</v>
      </c>
      <c r="AQ125" s="5">
        <v>5</v>
      </c>
      <c r="AR125" s="5">
        <v>270</v>
      </c>
      <c r="AS125" s="5">
        <v>0.2</v>
      </c>
      <c r="AT125" s="5">
        <v>0.02</v>
      </c>
      <c r="AU125" s="5">
        <v>1</v>
      </c>
      <c r="AV125" s="5">
        <f>IFERROR(VLOOKUP(IFERROR(VLOOKUP(D125,Mapa_Similitud!$A$2:$B$2000,2,FALSE()),D125),Hoja1!$A$2:$K$1000,2,FALSE()),IFERROR(VLOOKUP(IFERROR(VLOOKUP(D125,Mapa_Similitud!$A$2:$B$2000,2,FALSE()),D125),Omega3_Referencia!$A$2:$E$100,3,FALSE()),0))</f>
        <v>0.03</v>
      </c>
      <c r="AW125" s="3" t="str">
        <f>IFERROR(VLOOKUP(IFERROR(VLOOKUP(D125,Mapa_Similitud!$A$2:$B$2000,2,FALSE()),D125),Hoja1!$A$2:$K$1000,3,FALSE()),IFERROR(VLOOKUP(IFERROR(VLOOKUP(D125,Mapa_Similitud!$A$2:$B$2000,2,FALSE()),D125),Omega3_Referencia!$A$2:$E$100,4,FALSE()),"N/A"))</f>
        <v>ALA</v>
      </c>
      <c r="AX125" s="5">
        <f>IFERROR(VLOOKUP(IFERROR(VLOOKUP(D125,Mapa_Similitud!$A$2:$B$2000,2,FALSE()),D125),Hoja1!$A$2:$K$1000,5,FALSE()),0)</f>
        <v>0</v>
      </c>
      <c r="AY125" s="5">
        <f>IFERROR(VLOOKUP(IFERROR(VLOOKUP(D125,Mapa_Similitud!$A$2:$B$2000,2,FALSE()),D125),Hoja1!$A$2:$K$1000,7,FALSE()),0)</f>
        <v>55</v>
      </c>
      <c r="AZ125" s="5">
        <f>IFERROR(VLOOKUP(IFERROR(VLOOKUP(D125,Mapa_Similitud!$A$2:$B$2000,2,FALSE()),D125),Hoja1!$A$2:$K$1000,9,FALSE()),0)</f>
        <v>0</v>
      </c>
      <c r="BA125" s="25">
        <f t="shared" si="29"/>
        <v>5.2959501557632398E-2</v>
      </c>
      <c r="BB125" s="25">
        <f t="shared" si="30"/>
        <v>7.476635514018691E-2</v>
      </c>
      <c r="BC125" s="25">
        <f t="shared" si="31"/>
        <v>1.6199376947040498</v>
      </c>
      <c r="BD125" s="25">
        <f t="shared" si="32"/>
        <v>2.1806853582554516E-2</v>
      </c>
      <c r="BE125" s="25">
        <f t="shared" si="33"/>
        <v>0.1557632398753894</v>
      </c>
      <c r="BF125" s="25">
        <f t="shared" si="34"/>
        <v>2.9999999999999996</v>
      </c>
      <c r="BG125" s="25">
        <f t="shared" si="35"/>
        <v>1.2682926829268293</v>
      </c>
      <c r="BH125" s="25">
        <f t="shared" si="36"/>
        <v>0.22222222222222224</v>
      </c>
      <c r="BI125" s="25">
        <f t="shared" si="37"/>
        <v>1.8518518518518517E-2</v>
      </c>
      <c r="BJ125" s="25">
        <f t="shared" si="38"/>
        <v>0.97560975609756106</v>
      </c>
      <c r="BK125" s="25">
        <f t="shared" si="39"/>
        <v>0.58536585365853666</v>
      </c>
      <c r="BL125" s="25">
        <f t="shared" si="40"/>
        <v>0.12616822429906541</v>
      </c>
      <c r="BM125" s="25">
        <f t="shared" si="41"/>
        <v>0.24922118380062305</v>
      </c>
      <c r="BN125" s="18" t="str">
        <f t="shared" si="47"/>
        <v>Baja fuente de proteína</v>
      </c>
      <c r="BO125" s="18" t="str">
        <f t="shared" si="48"/>
        <v>Alta fuente de fibra</v>
      </c>
      <c r="BP125" s="18" t="str">
        <f t="shared" si="49"/>
        <v>Alta fuente de calcio</v>
      </c>
      <c r="BQ125" s="18" t="str">
        <f t="shared" si="50"/>
        <v>Alta fuente de hierro</v>
      </c>
      <c r="BR125" s="18" t="str">
        <f t="shared" si="51"/>
        <v>Bajo en sodio</v>
      </c>
      <c r="BS125" s="6" t="str">
        <f t="shared" si="42"/>
        <v>Altamente antiinflamatorio</v>
      </c>
      <c r="BT125" s="6" t="str">
        <f t="shared" si="43"/>
        <v>Bajo en grasas</v>
      </c>
      <c r="BU125" s="18" t="str">
        <f t="shared" si="52"/>
        <v>Equilibrio de líquidos ideal</v>
      </c>
      <c r="BV125" s="18" t="str">
        <f t="shared" si="53"/>
        <v>Media fuente de magnesio</v>
      </c>
      <c r="BW125" s="18" t="str">
        <f t="shared" si="54"/>
        <v>Sin aporte de Omega 3</v>
      </c>
      <c r="BX125" s="18" t="str">
        <f t="shared" si="55"/>
        <v>Libre de grasas trans</v>
      </c>
      <c r="BY125" s="18" t="str">
        <f t="shared" si="56"/>
        <v>Alto poder antioxidante</v>
      </c>
      <c r="BZ125" s="6" t="str">
        <f t="shared" si="44"/>
        <v>Sin probióticos</v>
      </c>
      <c r="CA125" s="18" t="str">
        <f t="shared" si="57"/>
        <v>Antiinflamatorio</v>
      </c>
      <c r="CB125" s="18" t="str">
        <f>IF(ISNUMBER(SEARCH("miel", D125)), "No irritante (Uso condicionado SII)", IF(OR(J125&gt;0, ISNUMBER(SEARCH("cacao", D125)), ISNUMBER(SEARCH("chocolate puro", D125))), "Altamente irritante", IF(OR(AND(O125&gt;15, BI125&gt;1), ISNUMBER(SEARCH("chocolate", D125))), "Moderadamente irritante", "No irritante")))</f>
        <v>No irritante</v>
      </c>
      <c r="CC125" s="6" t="str">
        <f t="shared" si="45"/>
        <v>Exceso relativo de Omega 6</v>
      </c>
    </row>
    <row r="126" spans="1:81" ht="15" customHeight="1" x14ac:dyDescent="0.3">
      <c r="A126" s="2">
        <f t="shared" si="46"/>
        <v>125</v>
      </c>
      <c r="B126" s="3" t="s">
        <v>161</v>
      </c>
      <c r="C126" s="3" t="s">
        <v>194</v>
      </c>
      <c r="D126" s="3" t="s">
        <v>228</v>
      </c>
      <c r="E126" s="3"/>
      <c r="F126" s="4">
        <v>0.5</v>
      </c>
      <c r="G126" s="5">
        <v>0.94</v>
      </c>
      <c r="H126" s="5">
        <v>22.2</v>
      </c>
      <c r="I126" s="5">
        <v>94</v>
      </c>
      <c r="J126" s="5">
        <v>0</v>
      </c>
      <c r="K126" s="5">
        <v>0.88</v>
      </c>
      <c r="L126" s="5">
        <v>3.5</v>
      </c>
      <c r="M126" s="5">
        <v>0.1</v>
      </c>
      <c r="N126" s="5">
        <v>3.4</v>
      </c>
      <c r="O126" s="5">
        <v>0</v>
      </c>
      <c r="P126" s="5">
        <v>1.4</v>
      </c>
      <c r="Q126" s="5">
        <v>0.21</v>
      </c>
      <c r="R126" s="5">
        <v>3.6999999999999998E-2</v>
      </c>
      <c r="S126" s="5">
        <v>2.5000000000000001E-2</v>
      </c>
      <c r="T126" s="5">
        <v>0.1</v>
      </c>
      <c r="U126" s="5">
        <v>0</v>
      </c>
      <c r="V126" s="5">
        <v>217</v>
      </c>
      <c r="W126" s="5">
        <v>0</v>
      </c>
      <c r="X126" s="5">
        <v>1302</v>
      </c>
      <c r="Y126" s="5">
        <v>0</v>
      </c>
      <c r="Z126" s="5">
        <v>0.89</v>
      </c>
      <c r="AA126" s="5">
        <v>5.7</v>
      </c>
      <c r="AB126" s="5">
        <v>7.0000000000000007E-2</v>
      </c>
      <c r="AC126" s="5">
        <v>0.04</v>
      </c>
      <c r="AD126" s="5">
        <v>0.9</v>
      </c>
      <c r="AE126" s="5">
        <v>0.13</v>
      </c>
      <c r="AF126" s="5">
        <v>28.8</v>
      </c>
      <c r="AG126" s="5">
        <v>0</v>
      </c>
      <c r="AH126" s="5">
        <v>0.28000000000000003</v>
      </c>
      <c r="AI126" s="5">
        <v>1.5</v>
      </c>
      <c r="AJ126" s="5">
        <v>26.6</v>
      </c>
      <c r="AK126" s="5">
        <v>10.6</v>
      </c>
      <c r="AL126" s="5">
        <v>24</v>
      </c>
      <c r="AM126" s="5">
        <v>0.7</v>
      </c>
      <c r="AN126" s="5">
        <v>2.2000000000000002</v>
      </c>
      <c r="AO126" s="5">
        <v>0.16</v>
      </c>
      <c r="AP126" s="5">
        <v>8.3000000000000007</v>
      </c>
      <c r="AQ126" s="5">
        <v>9</v>
      </c>
      <c r="AR126" s="5">
        <v>242</v>
      </c>
      <c r="AS126" s="5">
        <v>0.11</v>
      </c>
      <c r="AT126" s="5">
        <v>5.8000000000000003E-2</v>
      </c>
      <c r="AU126" s="5">
        <v>0.99</v>
      </c>
      <c r="AV126" s="5">
        <f>IFERROR(VLOOKUP(IFERROR(VLOOKUP(D126,Mapa_Similitud!$A$2:$B$2000,2,FALSE()),D126),Hoja1!$A$2:$K$1000,2,FALSE()),IFERROR(VLOOKUP(IFERROR(VLOOKUP(D126,Mapa_Similitud!$A$2:$B$2000,2,FALSE()),D126),Omega3_Referencia!$A$2:$E$100,3,FALSE()),0))</f>
        <v>0.01</v>
      </c>
      <c r="AW126" s="3" t="str">
        <f>IFERROR(VLOOKUP(IFERROR(VLOOKUP(D126,Mapa_Similitud!$A$2:$B$2000,2,FALSE()),D126),Hoja1!$A$2:$K$1000,3,FALSE()),IFERROR(VLOOKUP(IFERROR(VLOOKUP(D126,Mapa_Similitud!$A$2:$B$2000,2,FALSE()),D126),Omega3_Referencia!$A$2:$E$100,4,FALSE()),"N/A"))</f>
        <v>ALA</v>
      </c>
      <c r="AX126" s="5">
        <f>IFERROR(VLOOKUP(IFERROR(VLOOKUP(D126,Mapa_Similitud!$A$2:$B$2000,2,FALSE()),D126),Hoja1!$A$2:$K$1000,5,FALSE()),0)</f>
        <v>0</v>
      </c>
      <c r="AY126" s="5">
        <f>IFERROR(VLOOKUP(IFERROR(VLOOKUP(D126,Mapa_Similitud!$A$2:$B$2000,2,FALSE()),D126),Hoja1!$A$2:$K$1000,7,FALSE()),0)</f>
        <v>60</v>
      </c>
      <c r="AZ126" s="5">
        <f>IFERROR(VLOOKUP(IFERROR(VLOOKUP(D126,Mapa_Similitud!$A$2:$B$2000,2,FALSE()),D126),Hoja1!$A$2:$K$1000,9,FALSE()),0)</f>
        <v>0</v>
      </c>
      <c r="BA126" s="25">
        <f t="shared" si="29"/>
        <v>3.9639639639639644E-2</v>
      </c>
      <c r="BB126" s="25">
        <f t="shared" si="30"/>
        <v>6.3063063063063057E-2</v>
      </c>
      <c r="BC126" s="25">
        <f t="shared" si="31"/>
        <v>0.47747747747747749</v>
      </c>
      <c r="BD126" s="25">
        <f t="shared" si="32"/>
        <v>3.1531531531531529E-2</v>
      </c>
      <c r="BE126" s="25">
        <f t="shared" si="33"/>
        <v>0.40540540540540543</v>
      </c>
      <c r="BF126" s="25">
        <f t="shared" si="34"/>
        <v>2.7027027027027031</v>
      </c>
      <c r="BG126" s="25">
        <f t="shared" si="35"/>
        <v>0.44166666666666665</v>
      </c>
      <c r="BH126" s="25">
        <f t="shared" si="36"/>
        <v>0.17619047619047618</v>
      </c>
      <c r="BI126" s="25">
        <f t="shared" si="37"/>
        <v>3.71900826446281E-2</v>
      </c>
      <c r="BJ126" s="25">
        <f t="shared" si="38"/>
        <v>0.97142857142857142</v>
      </c>
      <c r="BK126" s="25">
        <f t="shared" si="39"/>
        <v>0.39999999999999997</v>
      </c>
      <c r="BL126" s="25">
        <f t="shared" si="40"/>
        <v>8.513513513513514E-2</v>
      </c>
      <c r="BM126" s="25">
        <f t="shared" si="41"/>
        <v>0.37387387387387394</v>
      </c>
      <c r="BN126" s="18" t="str">
        <f t="shared" si="47"/>
        <v>Baja fuente de proteína</v>
      </c>
      <c r="BO126" s="18" t="str">
        <f t="shared" si="48"/>
        <v>Alta fuente de fibra</v>
      </c>
      <c r="BP126" s="18" t="str">
        <f t="shared" si="49"/>
        <v>Baja fuente de calcio</v>
      </c>
      <c r="BQ126" s="18" t="str">
        <f t="shared" si="50"/>
        <v>Alta fuente de hierro</v>
      </c>
      <c r="BR126" s="18" t="str">
        <f t="shared" si="51"/>
        <v>Bajo en sodio</v>
      </c>
      <c r="BS126" s="6" t="str">
        <f t="shared" si="42"/>
        <v>Altamente antiinflamatorio</v>
      </c>
      <c r="BT126" s="6" t="str">
        <f t="shared" si="43"/>
        <v>Bajo en grasas</v>
      </c>
      <c r="BU126" s="18" t="str">
        <f t="shared" si="52"/>
        <v>Equilibrio de líquidos ideal</v>
      </c>
      <c r="BV126" s="18" t="str">
        <f t="shared" si="53"/>
        <v>Media fuente de magnesio</v>
      </c>
      <c r="BW126" s="18" t="str">
        <f t="shared" si="54"/>
        <v>Sin aporte de Omega 3</v>
      </c>
      <c r="BX126" s="18" t="str">
        <f t="shared" si="55"/>
        <v>Libre de grasas trans</v>
      </c>
      <c r="BY126" s="18" t="str">
        <f t="shared" si="56"/>
        <v>Alto poder antioxidante</v>
      </c>
      <c r="BZ126" s="6" t="str">
        <f t="shared" si="44"/>
        <v>Sin probióticos</v>
      </c>
      <c r="CA126" s="18" t="str">
        <f t="shared" si="57"/>
        <v>Antiinflamatorio</v>
      </c>
      <c r="CB126" s="18" t="str">
        <f>IF(ISNUMBER(SEARCH("miel", D126)), "No irritante (Uso condicionado SII)", IF(OR(J126&gt;0, ISNUMBER(SEARCH("cacao", D126)), ISNUMBER(SEARCH("chocolate puro", D126))), "Altamente irritante", IF(OR(AND(O126&gt;15, BI126&gt;1), ISNUMBER(SEARCH("chocolate", D126))), "Moderadamente irritante", "No irritante")))</f>
        <v>No irritante</v>
      </c>
      <c r="CC126" s="6" t="str">
        <f t="shared" si="45"/>
        <v>Exceso relativo de Omega 6</v>
      </c>
    </row>
    <row r="127" spans="1:81" ht="15" customHeight="1" x14ac:dyDescent="0.3">
      <c r="A127" s="2">
        <f t="shared" si="46"/>
        <v>126</v>
      </c>
      <c r="B127" s="3" t="s">
        <v>161</v>
      </c>
      <c r="C127" s="3" t="s">
        <v>194</v>
      </c>
      <c r="D127" s="3" t="s">
        <v>229</v>
      </c>
      <c r="E127" s="3"/>
      <c r="F127" s="4">
        <v>1.5</v>
      </c>
      <c r="G127" s="5">
        <v>1</v>
      </c>
      <c r="H127" s="5">
        <v>33</v>
      </c>
      <c r="I127" s="5">
        <v>92</v>
      </c>
      <c r="J127" s="5">
        <v>0</v>
      </c>
      <c r="K127" s="5">
        <v>0.8</v>
      </c>
      <c r="L127" s="5">
        <v>5</v>
      </c>
      <c r="M127" s="5">
        <v>0.03</v>
      </c>
      <c r="N127" s="5">
        <v>3</v>
      </c>
      <c r="O127" s="5">
        <v>0</v>
      </c>
      <c r="P127" s="5">
        <v>1.3</v>
      </c>
      <c r="Q127" s="5">
        <v>0.8</v>
      </c>
      <c r="R127" s="5">
        <v>1.7999999999999999E-2</v>
      </c>
      <c r="S127" s="5">
        <v>1.9E-2</v>
      </c>
      <c r="T127" s="5">
        <v>5.2999999999999999E-2</v>
      </c>
      <c r="U127" s="5">
        <v>0</v>
      </c>
      <c r="V127" s="5">
        <v>132</v>
      </c>
      <c r="W127" s="5">
        <v>0</v>
      </c>
      <c r="X127" s="5">
        <v>792</v>
      </c>
      <c r="Y127" s="5">
        <v>0</v>
      </c>
      <c r="Z127" s="5">
        <v>1.2</v>
      </c>
      <c r="AA127" s="5">
        <v>0</v>
      </c>
      <c r="AB127" s="5">
        <v>0.06</v>
      </c>
      <c r="AC127" s="5">
        <v>0.04</v>
      </c>
      <c r="AD127" s="5">
        <v>1</v>
      </c>
      <c r="AE127" s="5">
        <v>0.14000000000000001</v>
      </c>
      <c r="AF127" s="5">
        <v>17</v>
      </c>
      <c r="AG127" s="5">
        <v>0</v>
      </c>
      <c r="AH127" s="5">
        <v>0</v>
      </c>
      <c r="AI127" s="5">
        <v>0</v>
      </c>
      <c r="AJ127" s="5">
        <v>28</v>
      </c>
      <c r="AK127" s="5">
        <v>11</v>
      </c>
      <c r="AL127" s="5">
        <v>30</v>
      </c>
      <c r="AM127" s="5">
        <v>0.4</v>
      </c>
      <c r="AN127" s="5">
        <v>2</v>
      </c>
      <c r="AO127" s="5">
        <v>0.2</v>
      </c>
      <c r="AP127" s="5">
        <v>11</v>
      </c>
      <c r="AQ127" s="5">
        <v>13</v>
      </c>
      <c r="AR127" s="5">
        <v>290</v>
      </c>
      <c r="AS127" s="5">
        <v>0</v>
      </c>
      <c r="AT127" s="5">
        <v>0</v>
      </c>
      <c r="AU127" s="5">
        <v>0</v>
      </c>
      <c r="AV127" s="5">
        <f>IFERROR(VLOOKUP(IFERROR(VLOOKUP(D127,Mapa_Similitud!$A$2:$B$2000,2,FALSE()),D127),Hoja1!$A$2:$K$1000,2,FALSE()),IFERROR(VLOOKUP(IFERROR(VLOOKUP(D127,Mapa_Similitud!$A$2:$B$2000,2,FALSE()),D127),Omega3_Referencia!$A$2:$E$100,3,FALSE()),0))</f>
        <v>0.01</v>
      </c>
      <c r="AW127" s="3" t="str">
        <f>IFERROR(VLOOKUP(IFERROR(VLOOKUP(D127,Mapa_Similitud!$A$2:$B$2000,2,FALSE()),D127),Hoja1!$A$2:$K$1000,3,FALSE()),IFERROR(VLOOKUP(IFERROR(VLOOKUP(D127,Mapa_Similitud!$A$2:$B$2000,2,FALSE()),D127),Omega3_Referencia!$A$2:$E$100,4,FALSE()),"N/A"))</f>
        <v>ALA</v>
      </c>
      <c r="AX127" s="5">
        <f>IFERROR(VLOOKUP(IFERROR(VLOOKUP(D127,Mapa_Similitud!$A$2:$B$2000,2,FALSE()),D127),Hoja1!$A$2:$K$1000,5,FALSE()),0)</f>
        <v>0</v>
      </c>
      <c r="AY127" s="5">
        <f>IFERROR(VLOOKUP(IFERROR(VLOOKUP(D127,Mapa_Similitud!$A$2:$B$2000,2,FALSE()),D127),Hoja1!$A$2:$K$1000,7,FALSE()),0)</f>
        <v>65</v>
      </c>
      <c r="AZ127" s="5">
        <f>IFERROR(VLOOKUP(IFERROR(VLOOKUP(D127,Mapa_Similitud!$A$2:$B$2000,2,FALSE()),D127),Hoja1!$A$2:$K$1000,9,FALSE()),0)</f>
        <v>0</v>
      </c>
      <c r="BA127" s="25">
        <f t="shared" si="29"/>
        <v>2.4242424242424242E-2</v>
      </c>
      <c r="BB127" s="25">
        <f t="shared" si="30"/>
        <v>3.9393939393939398E-2</v>
      </c>
      <c r="BC127" s="25">
        <f t="shared" si="31"/>
        <v>0.33333333333333331</v>
      </c>
      <c r="BD127" s="25">
        <f t="shared" si="32"/>
        <v>1.2121212121212121E-2</v>
      </c>
      <c r="BE127" s="25">
        <f t="shared" si="33"/>
        <v>0.39393939393939392</v>
      </c>
      <c r="BF127" s="25">
        <f t="shared" si="34"/>
        <v>2.9444444444444446</v>
      </c>
      <c r="BG127" s="25">
        <f t="shared" si="35"/>
        <v>0.36666666666666664</v>
      </c>
      <c r="BH127" s="25">
        <f t="shared" si="36"/>
        <v>2.2499999999999996E-2</v>
      </c>
      <c r="BI127" s="25">
        <f t="shared" si="37"/>
        <v>4.4827586206896551E-2</v>
      </c>
      <c r="BJ127" s="25">
        <f t="shared" si="38"/>
        <v>0.6</v>
      </c>
      <c r="BK127" s="25">
        <f t="shared" si="39"/>
        <v>0.26</v>
      </c>
      <c r="BL127" s="25">
        <f t="shared" si="40"/>
        <v>0.2181818181818182</v>
      </c>
      <c r="BM127" s="25">
        <f t="shared" si="41"/>
        <v>0.33333333333333331</v>
      </c>
      <c r="BN127" s="18" t="str">
        <f t="shared" si="47"/>
        <v>Baja fuente de proteína</v>
      </c>
      <c r="BO127" s="18" t="str">
        <f t="shared" si="48"/>
        <v>Alta fuente de fibra</v>
      </c>
      <c r="BP127" s="18" t="str">
        <f t="shared" si="49"/>
        <v>Baja fuente de calcio</v>
      </c>
      <c r="BQ127" s="18" t="str">
        <f t="shared" si="50"/>
        <v>Media fuente de hierro</v>
      </c>
      <c r="BR127" s="18" t="str">
        <f t="shared" si="51"/>
        <v>Bajo en sodio</v>
      </c>
      <c r="BS127" s="6" t="str">
        <f t="shared" si="42"/>
        <v>Altamente antiinflamatorio</v>
      </c>
      <c r="BT127" s="6" t="str">
        <f t="shared" si="43"/>
        <v>Moderado en grasas</v>
      </c>
      <c r="BU127" s="18" t="str">
        <f t="shared" si="52"/>
        <v>Equilibrio de líquidos ideal</v>
      </c>
      <c r="BV127" s="18" t="str">
        <f t="shared" si="53"/>
        <v>Media fuente de magnesio</v>
      </c>
      <c r="BW127" s="18" t="str">
        <f t="shared" si="54"/>
        <v>Sin aporte de Omega 3</v>
      </c>
      <c r="BX127" s="18" t="str">
        <f t="shared" si="55"/>
        <v>Libre de grasas trans</v>
      </c>
      <c r="BY127" s="18" t="str">
        <f t="shared" si="56"/>
        <v>Alto poder antioxidante</v>
      </c>
      <c r="BZ127" s="6" t="str">
        <f t="shared" si="44"/>
        <v>Sin probióticos</v>
      </c>
      <c r="CA127" s="18" t="str">
        <f t="shared" si="57"/>
        <v>Antiinflamatorio</v>
      </c>
      <c r="CB127" s="18" t="str">
        <f>IF(ISNUMBER(SEARCH("miel", D127)), "No irritante (Uso condicionado SII)", IF(OR(J127&gt;0, ISNUMBER(SEARCH("cacao", D127)), ISNUMBER(SEARCH("chocolate puro", D127))), "Altamente irritante", IF(OR(AND(O127&gt;15, BI127&gt;1), ISNUMBER(SEARCH("chocolate", D127))), "Moderadamente irritante", "No irritante")))</f>
        <v>No irritante</v>
      </c>
      <c r="CC127" s="6" t="str">
        <f t="shared" si="45"/>
        <v>Exceso relativo de Omega 6</v>
      </c>
    </row>
    <row r="128" spans="1:81" ht="15" customHeight="1" x14ac:dyDescent="0.3">
      <c r="A128" s="2">
        <f t="shared" si="46"/>
        <v>127</v>
      </c>
      <c r="B128" s="3" t="s">
        <v>161</v>
      </c>
      <c r="C128" s="3" t="s">
        <v>230</v>
      </c>
      <c r="D128" s="3" t="s">
        <v>231</v>
      </c>
      <c r="E128" s="3"/>
      <c r="F128" s="4">
        <v>2.5</v>
      </c>
      <c r="G128" s="5">
        <v>1</v>
      </c>
      <c r="H128" s="5">
        <v>15</v>
      </c>
      <c r="I128" s="5">
        <v>96.2</v>
      </c>
      <c r="J128" s="5">
        <v>0</v>
      </c>
      <c r="K128" s="5">
        <v>0</v>
      </c>
      <c r="L128" s="5">
        <v>3.8</v>
      </c>
      <c r="M128" s="5">
        <v>0</v>
      </c>
      <c r="N128" s="5">
        <v>3.8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3.8</v>
      </c>
      <c r="AK128" s="5">
        <v>8</v>
      </c>
      <c r="AL128" s="5">
        <v>0</v>
      </c>
      <c r="AM128" s="5">
        <v>0.15</v>
      </c>
      <c r="AN128" s="5">
        <v>0</v>
      </c>
      <c r="AO128" s="5">
        <v>0</v>
      </c>
      <c r="AP128" s="5">
        <v>0</v>
      </c>
      <c r="AQ128" s="5">
        <v>8</v>
      </c>
      <c r="AR128" s="5">
        <v>0</v>
      </c>
      <c r="AS128" s="5">
        <v>0</v>
      </c>
      <c r="AT128" s="5">
        <v>0</v>
      </c>
      <c r="AU128" s="5">
        <v>0</v>
      </c>
      <c r="AV128" s="5">
        <f>IFERROR(VLOOKUP(IFERROR(VLOOKUP(D128,Mapa_Similitud!$A$2:$B$2000,2,FALSE()),D128),Hoja1!$A$2:$K$1000,2,FALSE()),IFERROR(VLOOKUP(IFERROR(VLOOKUP(D128,Mapa_Similitud!$A$2:$B$2000,2,FALSE()),D128),Omega3_Referencia!$A$2:$E$100,3,FALSE()),0))</f>
        <v>0</v>
      </c>
      <c r="AW128" s="3" t="str">
        <f>IFERROR(VLOOKUP(IFERROR(VLOOKUP(D128,Mapa_Similitud!$A$2:$B$2000,2,FALSE()),D128),Hoja1!$A$2:$K$1000,3,FALSE()),IFERROR(VLOOKUP(IFERROR(VLOOKUP(D128,Mapa_Similitud!$A$2:$B$2000,2,FALSE()),D128),Omega3_Referencia!$A$2:$E$100,4,FALSE()),"N/A"))</f>
        <v>N/A</v>
      </c>
      <c r="AX128" s="5">
        <f>IFERROR(VLOOKUP(IFERROR(VLOOKUP(D128,Mapa_Similitud!$A$2:$B$2000,2,FALSE()),D128),Hoja1!$A$2:$K$1000,5,FALSE()),0)</f>
        <v>0</v>
      </c>
      <c r="AY128" s="5">
        <f>IFERROR(VLOOKUP(IFERROR(VLOOKUP(D128,Mapa_Similitud!$A$2:$B$2000,2,FALSE()),D128),Hoja1!$A$2:$K$1000,7,FALSE()),0)</f>
        <v>30</v>
      </c>
      <c r="AZ128" s="5">
        <f>IFERROR(VLOOKUP(IFERROR(VLOOKUP(D128,Mapa_Similitud!$A$2:$B$2000,2,FALSE()),D128),Hoja1!$A$2:$K$1000,9,FALSE()),0)</f>
        <v>0</v>
      </c>
      <c r="BA128" s="25">
        <f t="shared" si="29"/>
        <v>0</v>
      </c>
      <c r="BB128" s="25">
        <f t="shared" si="30"/>
        <v>0</v>
      </c>
      <c r="BC128" s="25">
        <f t="shared" si="31"/>
        <v>0.53333333333333333</v>
      </c>
      <c r="BD128" s="25">
        <f t="shared" si="32"/>
        <v>0.01</v>
      </c>
      <c r="BE128" s="25">
        <f t="shared" si="33"/>
        <v>0.53333333333333333</v>
      </c>
      <c r="BF128" s="25">
        <f t="shared" si="34"/>
        <v>0</v>
      </c>
      <c r="BG128" s="25">
        <f t="shared" si="35"/>
        <v>0</v>
      </c>
      <c r="BH128" s="25">
        <f t="shared" si="36"/>
        <v>0</v>
      </c>
      <c r="BI128" s="25">
        <f t="shared" si="37"/>
        <v>0</v>
      </c>
      <c r="BJ128" s="25">
        <f t="shared" si="38"/>
        <v>1</v>
      </c>
      <c r="BK128" s="25">
        <f t="shared" si="39"/>
        <v>0</v>
      </c>
      <c r="BL128" s="25">
        <f t="shared" si="40"/>
        <v>0</v>
      </c>
      <c r="BM128" s="25">
        <f t="shared" si="41"/>
        <v>0</v>
      </c>
      <c r="BN128" s="18" t="str">
        <f t="shared" si="47"/>
        <v>Baja fuente de proteína</v>
      </c>
      <c r="BO128" s="18" t="str">
        <f t="shared" si="48"/>
        <v>Baja fuente de fibra</v>
      </c>
      <c r="BP128" s="18" t="str">
        <f t="shared" si="49"/>
        <v>Baja fuente de calcio</v>
      </c>
      <c r="BQ128" s="18" t="str">
        <f t="shared" si="50"/>
        <v>Media fuente de hierro</v>
      </c>
      <c r="BR128" s="18" t="str">
        <f t="shared" si="51"/>
        <v>Moderado en sodio</v>
      </c>
      <c r="BS128" s="6" t="str">
        <f t="shared" si="42"/>
        <v>Proinflamatorio</v>
      </c>
      <c r="BT128" s="6" t="str">
        <f t="shared" si="43"/>
        <v>Bajo en grasas</v>
      </c>
      <c r="BU128" s="18" t="str">
        <f t="shared" si="52"/>
        <v>Equilibrio de líquidos ideal</v>
      </c>
      <c r="BV128" s="18" t="str">
        <f t="shared" si="53"/>
        <v>Baja fuente de magnesio</v>
      </c>
      <c r="BW128" s="18" t="str">
        <f t="shared" si="54"/>
        <v>Sin aporte de Omega 3</v>
      </c>
      <c r="BX128" s="18" t="str">
        <f t="shared" si="55"/>
        <v>Libre de grasas trans</v>
      </c>
      <c r="BY128" s="18" t="str">
        <f t="shared" si="56"/>
        <v>Medio poder antioxidante</v>
      </c>
      <c r="BZ128" s="6" t="str">
        <f t="shared" si="44"/>
        <v>Sin probióticos</v>
      </c>
      <c r="CA128" s="18" t="str">
        <f t="shared" si="57"/>
        <v>Poco inflamatorio</v>
      </c>
      <c r="CB128" s="18" t="str">
        <f>IF(ISNUMBER(SEARCH("miel", D128)), "No irritante (Uso condicionado SII)", IF(OR(J128&gt;0, ISNUMBER(SEARCH("cacao", D128)), ISNUMBER(SEARCH("chocolate puro", D128))), "Altamente irritante", IF(OR(AND(O128&gt;15, BI128&gt;1), ISNUMBER(SEARCH("chocolate", D128))), "Moderadamente irritante", "No irritante")))</f>
        <v>No irritante</v>
      </c>
      <c r="CC128" s="6" t="str">
        <f t="shared" si="45"/>
        <v>Sin Omega 3 para evaluar</v>
      </c>
    </row>
    <row r="129" spans="1:81" ht="15" customHeight="1" x14ac:dyDescent="0.3">
      <c r="A129" s="2">
        <f t="shared" si="46"/>
        <v>128</v>
      </c>
      <c r="B129" s="3" t="s">
        <v>161</v>
      </c>
      <c r="C129" s="3" t="s">
        <v>230</v>
      </c>
      <c r="D129" s="3" t="s">
        <v>232</v>
      </c>
      <c r="E129" s="3"/>
      <c r="F129" s="4">
        <v>1.5</v>
      </c>
      <c r="G129" s="5">
        <v>1</v>
      </c>
      <c r="H129" s="5">
        <v>16.7</v>
      </c>
      <c r="I129" s="5">
        <v>95.6</v>
      </c>
      <c r="J129" s="5">
        <v>0</v>
      </c>
      <c r="K129" s="5">
        <v>0.76</v>
      </c>
      <c r="L129" s="5">
        <v>3</v>
      </c>
      <c r="M129" s="5">
        <v>0.1</v>
      </c>
      <c r="N129" s="5">
        <v>2.8</v>
      </c>
      <c r="O129" s="5">
        <v>0</v>
      </c>
      <c r="P129" s="5">
        <v>0.6</v>
      </c>
      <c r="Q129" s="5">
        <v>0.05</v>
      </c>
      <c r="R129" s="5">
        <v>6.6E-3</v>
      </c>
      <c r="S129" s="5">
        <v>7.4999999999999997E-3</v>
      </c>
      <c r="T129" s="5">
        <v>0.02</v>
      </c>
      <c r="U129" s="5">
        <v>0</v>
      </c>
      <c r="V129" s="5">
        <v>70.5</v>
      </c>
      <c r="W129" s="5">
        <v>0</v>
      </c>
      <c r="X129" s="5">
        <v>423</v>
      </c>
      <c r="Y129" s="5">
        <v>0</v>
      </c>
      <c r="Z129" s="5">
        <v>1</v>
      </c>
      <c r="AA129" s="5">
        <v>4</v>
      </c>
      <c r="AB129" s="5">
        <v>5.6000000000000001E-2</v>
      </c>
      <c r="AC129" s="5">
        <v>2.5999999999999999E-2</v>
      </c>
      <c r="AD129" s="5">
        <v>0.77</v>
      </c>
      <c r="AE129" s="5">
        <v>0.11</v>
      </c>
      <c r="AF129" s="5">
        <v>13</v>
      </c>
      <c r="AG129" s="5">
        <v>0</v>
      </c>
      <c r="AH129" s="5">
        <v>0.2</v>
      </c>
      <c r="AI129" s="5">
        <v>2.5</v>
      </c>
      <c r="AJ129" s="5">
        <v>15</v>
      </c>
      <c r="AK129" s="5">
        <v>15</v>
      </c>
      <c r="AL129" s="5">
        <v>16</v>
      </c>
      <c r="AM129" s="5">
        <v>0.56000000000000005</v>
      </c>
      <c r="AN129" s="5">
        <v>2</v>
      </c>
      <c r="AO129" s="5">
        <v>8.5999999999999993E-2</v>
      </c>
      <c r="AP129" s="5">
        <v>9.5</v>
      </c>
      <c r="AQ129" s="5">
        <v>4.8</v>
      </c>
      <c r="AR129" s="5">
        <v>236</v>
      </c>
      <c r="AS129" s="5">
        <v>7.0000000000000001E-3</v>
      </c>
      <c r="AT129" s="5">
        <v>0.12</v>
      </c>
      <c r="AU129" s="5">
        <v>0.6</v>
      </c>
      <c r="AV129" s="5">
        <f>IFERROR(VLOOKUP(IFERROR(VLOOKUP(D129,Mapa_Similitud!$A$2:$B$2000,2,FALSE()),D129),Hoja1!$A$2:$K$1000,2,FALSE()),IFERROR(VLOOKUP(IFERROR(VLOOKUP(D129,Mapa_Similitud!$A$2:$B$2000,2,FALSE()),D129),Omega3_Referencia!$A$2:$E$100,3,FALSE()),0))</f>
        <v>0.01</v>
      </c>
      <c r="AW129" s="3" t="str">
        <f>IFERROR(VLOOKUP(IFERROR(VLOOKUP(D129,Mapa_Similitud!$A$2:$B$2000,2,FALSE()),D129),Hoja1!$A$2:$K$1000,3,FALSE()),IFERROR(VLOOKUP(IFERROR(VLOOKUP(D129,Mapa_Similitud!$A$2:$B$2000,2,FALSE()),D129),Omega3_Referencia!$A$2:$E$100,4,FALSE()),"N/A"))</f>
        <v>ALA</v>
      </c>
      <c r="AX129" s="5">
        <f>IFERROR(VLOOKUP(IFERROR(VLOOKUP(D129,Mapa_Similitud!$A$2:$B$2000,2,FALSE()),D129),Hoja1!$A$2:$K$1000,5,FALSE()),0)</f>
        <v>0</v>
      </c>
      <c r="AY129" s="5">
        <f>IFERROR(VLOOKUP(IFERROR(VLOOKUP(D129,Mapa_Similitud!$A$2:$B$2000,2,FALSE()),D129),Hoja1!$A$2:$K$1000,7,FALSE()),0)</f>
        <v>50</v>
      </c>
      <c r="AZ129" s="5">
        <f>IFERROR(VLOOKUP(IFERROR(VLOOKUP(D129,Mapa_Similitud!$A$2:$B$2000,2,FALSE()),D129),Hoja1!$A$2:$K$1000,9,FALSE()),0)</f>
        <v>0</v>
      </c>
      <c r="BA129" s="25">
        <f t="shared" si="29"/>
        <v>4.5508982035928146E-2</v>
      </c>
      <c r="BB129" s="25">
        <f t="shared" si="30"/>
        <v>3.5928143712574849E-2</v>
      </c>
      <c r="BC129" s="25">
        <f t="shared" si="31"/>
        <v>0.89820359281437134</v>
      </c>
      <c r="BD129" s="25">
        <f t="shared" si="32"/>
        <v>3.3532934131736532E-2</v>
      </c>
      <c r="BE129" s="25">
        <f t="shared" si="33"/>
        <v>0.28742514970059879</v>
      </c>
      <c r="BF129" s="25">
        <f t="shared" si="34"/>
        <v>3.0303030303030303</v>
      </c>
      <c r="BG129" s="25">
        <f t="shared" si="35"/>
        <v>0.9375</v>
      </c>
      <c r="BH129" s="25">
        <f t="shared" si="36"/>
        <v>0.13199999999999998</v>
      </c>
      <c r="BI129" s="25">
        <f t="shared" si="37"/>
        <v>2.0338983050847456E-2</v>
      </c>
      <c r="BJ129" s="25">
        <f t="shared" si="38"/>
        <v>0.93333333333333324</v>
      </c>
      <c r="BK129" s="25">
        <f t="shared" si="39"/>
        <v>0.19999999999999998</v>
      </c>
      <c r="BL129" s="25">
        <f t="shared" si="40"/>
        <v>2.6946107784431138E-2</v>
      </c>
      <c r="BM129" s="25">
        <f t="shared" si="41"/>
        <v>0.56886227544910184</v>
      </c>
      <c r="BN129" s="18" t="str">
        <f t="shared" si="47"/>
        <v>Baja fuente de proteína</v>
      </c>
      <c r="BO129" s="18" t="str">
        <f t="shared" si="48"/>
        <v>Alta fuente de fibra</v>
      </c>
      <c r="BP129" s="18" t="str">
        <f t="shared" si="49"/>
        <v>Media fuente de calcio</v>
      </c>
      <c r="BQ129" s="18" t="str">
        <f t="shared" si="50"/>
        <v>Alta fuente de hierro</v>
      </c>
      <c r="BR129" s="18" t="str">
        <f t="shared" si="51"/>
        <v>Bajo en sodio</v>
      </c>
      <c r="BS129" s="6" t="str">
        <f t="shared" si="42"/>
        <v>Altamente antiinflamatorio</v>
      </c>
      <c r="BT129" s="6" t="str">
        <f t="shared" si="43"/>
        <v>Bajo en grasas</v>
      </c>
      <c r="BU129" s="18" t="str">
        <f t="shared" si="52"/>
        <v>Equilibrio de líquidos ideal</v>
      </c>
      <c r="BV129" s="18" t="str">
        <f t="shared" si="53"/>
        <v>Alta fuente de magnesio</v>
      </c>
      <c r="BW129" s="18" t="str">
        <f t="shared" si="54"/>
        <v>Sin aporte de Omega 3</v>
      </c>
      <c r="BX129" s="18" t="str">
        <f t="shared" si="55"/>
        <v>Libre de grasas trans</v>
      </c>
      <c r="BY129" s="18" t="str">
        <f t="shared" si="56"/>
        <v>Alto poder antioxidante</v>
      </c>
      <c r="BZ129" s="6" t="str">
        <f t="shared" si="44"/>
        <v>Sin probióticos</v>
      </c>
      <c r="CA129" s="18" t="str">
        <f t="shared" si="57"/>
        <v>Antiinflamatorio</v>
      </c>
      <c r="CB129" s="18" t="str">
        <f>IF(ISNUMBER(SEARCH("miel", D129)), "No irritante (Uso condicionado SII)", IF(OR(J129&gt;0, ISNUMBER(SEARCH("cacao", D129)), ISNUMBER(SEARCH("chocolate puro", D129))), "Altamente irritante", IF(OR(AND(O129&gt;15, BI129&gt;1), ISNUMBER(SEARCH("chocolate", D129))), "Moderadamente irritante", "No irritante")))</f>
        <v>No irritante</v>
      </c>
      <c r="CC129" s="6" t="str">
        <f t="shared" si="45"/>
        <v>Balance de omegas favorable</v>
      </c>
    </row>
    <row r="130" spans="1:81" ht="15" customHeight="1" x14ac:dyDescent="0.3">
      <c r="A130" s="2">
        <f t="shared" si="46"/>
        <v>129</v>
      </c>
      <c r="B130" s="3" t="s">
        <v>161</v>
      </c>
      <c r="C130" s="3" t="s">
        <v>230</v>
      </c>
      <c r="D130" s="3" t="s">
        <v>233</v>
      </c>
      <c r="E130" s="3"/>
      <c r="F130" s="4">
        <v>1.5</v>
      </c>
      <c r="G130" s="5">
        <v>1</v>
      </c>
      <c r="H130" s="5">
        <v>24.3</v>
      </c>
      <c r="I130" s="5">
        <v>93.9</v>
      </c>
      <c r="J130" s="5">
        <v>0</v>
      </c>
      <c r="K130" s="5">
        <v>0.63</v>
      </c>
      <c r="L130" s="5">
        <v>4.8</v>
      </c>
      <c r="M130" s="5">
        <v>0</v>
      </c>
      <c r="N130" s="5">
        <v>4.8</v>
      </c>
      <c r="O130" s="5">
        <v>0</v>
      </c>
      <c r="P130" s="5">
        <v>0.62</v>
      </c>
      <c r="Q130" s="5">
        <v>0.15</v>
      </c>
      <c r="R130" s="5">
        <v>2.7E-2</v>
      </c>
      <c r="S130" s="5">
        <v>7.0000000000000001E-3</v>
      </c>
      <c r="T130" s="5">
        <v>7.0999999999999994E-2</v>
      </c>
      <c r="U130" s="5">
        <v>0</v>
      </c>
      <c r="V130" s="5">
        <v>437</v>
      </c>
      <c r="W130" s="5">
        <v>0</v>
      </c>
      <c r="X130" s="5">
        <v>2622</v>
      </c>
      <c r="Y130" s="5">
        <v>0</v>
      </c>
      <c r="Z130" s="5">
        <v>0.56000000000000005</v>
      </c>
      <c r="AA130" s="5">
        <v>15</v>
      </c>
      <c r="AB130" s="5">
        <v>0.06</v>
      </c>
      <c r="AC130" s="5">
        <v>0.06</v>
      </c>
      <c r="AD130" s="5">
        <v>0.77</v>
      </c>
      <c r="AE130" s="5">
        <v>0.2</v>
      </c>
      <c r="AF130" s="5">
        <v>4</v>
      </c>
      <c r="AG130" s="5">
        <v>0</v>
      </c>
      <c r="AH130" s="5">
        <v>0.23</v>
      </c>
      <c r="AI130" s="5">
        <v>0</v>
      </c>
      <c r="AJ130" s="5">
        <v>3.8</v>
      </c>
      <c r="AK130" s="5">
        <v>27</v>
      </c>
      <c r="AL130" s="5">
        <v>31</v>
      </c>
      <c r="AM130" s="5">
        <v>0.5</v>
      </c>
      <c r="AN130" s="5">
        <v>7</v>
      </c>
      <c r="AO130" s="5">
        <v>0</v>
      </c>
      <c r="AP130" s="5">
        <v>13</v>
      </c>
      <c r="AQ130" s="5">
        <v>52</v>
      </c>
      <c r="AR130" s="5">
        <v>219</v>
      </c>
      <c r="AS130" s="5">
        <v>0.13</v>
      </c>
      <c r="AT130" s="5">
        <v>4.5999999999999999E-2</v>
      </c>
      <c r="AU130" s="5">
        <v>0.6</v>
      </c>
      <c r="AV130" s="5">
        <f>IFERROR(VLOOKUP(IFERROR(VLOOKUP(D130,Mapa_Similitud!$A$2:$B$2000,2,FALSE()),D130),Hoja1!$A$2:$K$1000,2,FALSE()),IFERROR(VLOOKUP(IFERROR(VLOOKUP(D130,Mapa_Similitud!$A$2:$B$2000,2,FALSE()),D130),Omega3_Referencia!$A$2:$E$100,3,FALSE()),0))</f>
        <v>0</v>
      </c>
      <c r="AW130" s="3" t="str">
        <f>IFERROR(VLOOKUP(IFERROR(VLOOKUP(D130,Mapa_Similitud!$A$2:$B$2000,2,FALSE()),D130),Hoja1!$A$2:$K$1000,3,FALSE()),IFERROR(VLOOKUP(IFERROR(VLOOKUP(D130,Mapa_Similitud!$A$2:$B$2000,2,FALSE()),D130),Omega3_Referencia!$A$2:$E$100,4,FALSE()),"N/A"))</f>
        <v>N/A</v>
      </c>
      <c r="AX130" s="5">
        <f>IFERROR(VLOOKUP(IFERROR(VLOOKUP(D130,Mapa_Similitud!$A$2:$B$2000,2,FALSE()),D130),Hoja1!$A$2:$K$1000,5,FALSE()),0)</f>
        <v>0</v>
      </c>
      <c r="AY130" s="5">
        <f>IFERROR(VLOOKUP(IFERROR(VLOOKUP(D130,Mapa_Similitud!$A$2:$B$2000,2,FALSE()),D130),Hoja1!$A$2:$K$1000,7,FALSE()),0)</f>
        <v>20</v>
      </c>
      <c r="AZ130" s="5">
        <f>IFERROR(VLOOKUP(IFERROR(VLOOKUP(D130,Mapa_Similitud!$A$2:$B$2000,2,FALSE()),D130),Hoja1!$A$2:$K$1000,9,FALSE()),0)</f>
        <v>0</v>
      </c>
      <c r="BA130" s="25">
        <f t="shared" ref="BA130:BA193" si="58">IFERROR(K130/H130,0)</f>
        <v>2.5925925925925925E-2</v>
      </c>
      <c r="BB130" s="25">
        <f t="shared" ref="BB130:BB193" si="59">IFERROR(P130/H130,0)</f>
        <v>2.5514403292181069E-2</v>
      </c>
      <c r="BC130" s="25">
        <f t="shared" ref="BC130:BC193" si="60">IFERROR(AK130/H130,0)</f>
        <v>1.1111111111111112</v>
      </c>
      <c r="BD130" s="25">
        <f t="shared" ref="BD130:BD193" si="61">IFERROR(AM130/H130,0)</f>
        <v>2.0576131687242798E-2</v>
      </c>
      <c r="BE130" s="25">
        <f t="shared" ref="BE130:BE193" si="62">IFERROR(AQ130/H130,0)</f>
        <v>2.1399176954732511</v>
      </c>
      <c r="BF130" s="25">
        <f t="shared" ref="BF130:BF193" si="63">IFERROR(T130/R130,0)</f>
        <v>2.6296296296296293</v>
      </c>
      <c r="BG130" s="25">
        <f t="shared" ref="BG130:BG193" si="64">IFERROR(AK130/AL130,0)</f>
        <v>0.87096774193548387</v>
      </c>
      <c r="BH130" s="25">
        <f t="shared" ref="BH130:BH193" si="65">IFERROR(R130/Q130,0)</f>
        <v>0.18</v>
      </c>
      <c r="BI130" s="25">
        <f t="shared" ref="BI130:BI193" si="66">IFERROR(AQ130/AR130,0)</f>
        <v>0.23744292237442921</v>
      </c>
      <c r="BJ130" s="25">
        <f t="shared" ref="BJ130:BJ193" si="67">IFERROR(N130/L130,0)</f>
        <v>1</v>
      </c>
      <c r="BK130" s="25">
        <f t="shared" ref="BK130:BK193" si="68">IFERROR(P130/L130,0)</f>
        <v>0.12916666666666668</v>
      </c>
      <c r="BL130" s="25">
        <f t="shared" ref="BL130:BL193" si="69">IFERROR((Q130*9)/H130,0)</f>
        <v>5.5555555555555546E-2</v>
      </c>
      <c r="BM130" s="25">
        <f t="shared" ref="BM130:BM193" si="70">IFERROR(AP130/H130,0)</f>
        <v>0.53497942386831276</v>
      </c>
      <c r="BN130" s="18" t="str">
        <f t="shared" si="47"/>
        <v>Baja fuente de proteína</v>
      </c>
      <c r="BO130" s="18" t="str">
        <f t="shared" si="48"/>
        <v>Media fuente de fibra</v>
      </c>
      <c r="BP130" s="18" t="str">
        <f t="shared" si="49"/>
        <v>Media fuente de calcio</v>
      </c>
      <c r="BQ130" s="18" t="str">
        <f t="shared" si="50"/>
        <v>Alta fuente de hierro</v>
      </c>
      <c r="BR130" s="18" t="str">
        <f t="shared" si="51"/>
        <v>Muy alto en sodio</v>
      </c>
      <c r="BS130" s="6" t="str">
        <f t="shared" ref="BS130:BS193" si="71">IF(BF130&gt;2,"Altamente antiinflamatorio",IF(BF130&gt;1,"Ligeramente antiinflamatorio",IF(BF130&gt;0.5,"Neutro","Proinflamatorio")))</f>
        <v>Altamente antiinflamatorio</v>
      </c>
      <c r="BT130" s="6" t="str">
        <f t="shared" ref="BT130:BT193" si="72">IF(BL130&gt;0.4,"Muy alto en grasas",IF(BL130&gt;0.3,"Alto en grasas",IF(BL130&gt;0.2,"Moderado en grasas","Bajo en grasas")))</f>
        <v>Bajo en grasas</v>
      </c>
      <c r="BU130" s="18" t="str">
        <f t="shared" si="52"/>
        <v>Equilibrio de líquidos ideal</v>
      </c>
      <c r="BV130" s="18" t="str">
        <f t="shared" si="53"/>
        <v>Alta fuente de magnesio</v>
      </c>
      <c r="BW130" s="18" t="str">
        <f t="shared" si="54"/>
        <v>Sin aporte de Omega 3</v>
      </c>
      <c r="BX130" s="18" t="str">
        <f t="shared" si="55"/>
        <v>Libre de grasas trans</v>
      </c>
      <c r="BY130" s="18" t="str">
        <f t="shared" si="56"/>
        <v>Medio poder antioxidante</v>
      </c>
      <c r="BZ130" s="6" t="str">
        <f t="shared" ref="BZ130:BZ193" si="73">IF(AZ130&gt;=1,"Probiótico activo","Sin probióticos")</f>
        <v>Sin probióticos</v>
      </c>
      <c r="CA130" s="18" t="str">
        <f t="shared" si="57"/>
        <v>Poco inflamatorio</v>
      </c>
      <c r="CB130" s="18" t="str">
        <f>IF(ISNUMBER(SEARCH("miel", D130)), "No irritante (Uso condicionado SII)", IF(OR(J130&gt;0, ISNUMBER(SEARCH("cacao", D130)), ISNUMBER(SEARCH("chocolate puro", D130))), "Altamente irritante", IF(OR(AND(O130&gt;15, BI130&gt;1), ISNUMBER(SEARCH("chocolate", D130))), "Moderadamente irritante", "No irritante")))</f>
        <v>No irritante</v>
      </c>
      <c r="CC130" s="6" t="str">
        <f t="shared" ref="CC130:CC193" si="74">IF(AV130=0,"Sin Omega 3 para evaluar",IFERROR(IF(((T130-AV130)/AV130)&gt;4,"Exceso relativo de Omega 6","Balance de omegas favorable"),"Sin Omega 3 para evaluar"))</f>
        <v>Sin Omega 3 para evaluar</v>
      </c>
    </row>
    <row r="131" spans="1:81" ht="15" customHeight="1" x14ac:dyDescent="0.3">
      <c r="A131" s="2">
        <f t="shared" ref="A131:A194" si="75">1+A130</f>
        <v>130</v>
      </c>
      <c r="B131" s="3" t="s">
        <v>234</v>
      </c>
      <c r="C131" s="3" t="s">
        <v>235</v>
      </c>
      <c r="D131" s="3" t="s">
        <v>236</v>
      </c>
      <c r="E131" s="3"/>
      <c r="F131" s="4">
        <v>12</v>
      </c>
      <c r="G131" s="5">
        <v>1</v>
      </c>
      <c r="H131" s="5">
        <v>341</v>
      </c>
      <c r="I131" s="5">
        <v>31</v>
      </c>
      <c r="J131" s="5">
        <v>0</v>
      </c>
      <c r="K131" s="5">
        <v>4.5999999999999996</v>
      </c>
      <c r="L131" s="5">
        <v>50.7</v>
      </c>
      <c r="M131" s="5">
        <v>12.7</v>
      </c>
      <c r="N131" s="5">
        <v>38</v>
      </c>
      <c r="O131" s="5">
        <v>15.2</v>
      </c>
      <c r="P131" s="5">
        <v>0.5</v>
      </c>
      <c r="Q131" s="5">
        <v>13.2</v>
      </c>
      <c r="R131" s="5">
        <v>0.9</v>
      </c>
      <c r="S131" s="5">
        <v>7.6</v>
      </c>
      <c r="T131" s="5">
        <v>2.1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5.2</v>
      </c>
      <c r="AA131" s="5">
        <v>0</v>
      </c>
      <c r="AB131" s="5">
        <v>0.05</v>
      </c>
      <c r="AC131" s="5">
        <v>0.1</v>
      </c>
      <c r="AD131" s="5">
        <v>1.1000000000000001</v>
      </c>
      <c r="AE131" s="5">
        <v>0.02</v>
      </c>
      <c r="AF131" s="5">
        <v>8</v>
      </c>
      <c r="AG131" s="5">
        <v>0</v>
      </c>
      <c r="AH131" s="5">
        <v>0.26</v>
      </c>
      <c r="AI131" s="5">
        <v>0</v>
      </c>
      <c r="AJ131" s="5">
        <v>0</v>
      </c>
      <c r="AK131" s="5">
        <v>49</v>
      </c>
      <c r="AL131" s="5">
        <v>168</v>
      </c>
      <c r="AM131" s="5">
        <v>0.8</v>
      </c>
      <c r="AN131" s="5">
        <v>0</v>
      </c>
      <c r="AO131" s="5">
        <v>0.7</v>
      </c>
      <c r="AP131" s="5">
        <v>63</v>
      </c>
      <c r="AQ131" s="5">
        <v>3</v>
      </c>
      <c r="AR131" s="5">
        <v>186</v>
      </c>
      <c r="AS131" s="5">
        <v>8.5999999999999993E-2</v>
      </c>
      <c r="AT131" s="5">
        <v>0.45</v>
      </c>
      <c r="AU131" s="5">
        <v>4.2</v>
      </c>
      <c r="AV131" s="5">
        <f>IFERROR(VLOOKUP(IFERROR(VLOOKUP(D131,Mapa_Similitud!$A$2:$B$2000,2,FALSE()),D131),Hoja1!$A$2:$K$1000,2,FALSE()),IFERROR(VLOOKUP(IFERROR(VLOOKUP(D131,Mapa_Similitud!$A$2:$B$2000,2,FALSE()),D131),Omega3_Referencia!$A$2:$E$100,3,FALSE()),0))</f>
        <v>0.05</v>
      </c>
      <c r="AW131" s="3" t="str">
        <f>IFERROR(VLOOKUP(IFERROR(VLOOKUP(D131,Mapa_Similitud!$A$2:$B$2000,2,FALSE()),D131),Hoja1!$A$2:$K$1000,3,FALSE()),IFERROR(VLOOKUP(IFERROR(VLOOKUP(D131,Mapa_Similitud!$A$2:$B$2000,2,FALSE()),D131),Omega3_Referencia!$A$2:$E$100,4,FALSE()),"N/A"))</f>
        <v>ALA</v>
      </c>
      <c r="AX131" s="5">
        <f>IFERROR(VLOOKUP(IFERROR(VLOOKUP(D131,Mapa_Similitud!$A$2:$B$2000,2,FALSE()),D131),Hoja1!$A$2:$K$1000,5,FALSE()),0)</f>
        <v>0.5</v>
      </c>
      <c r="AY131" s="5">
        <f>IFERROR(VLOOKUP(IFERROR(VLOOKUP(D131,Mapa_Similitud!$A$2:$B$2000,2,FALSE()),D131),Hoja1!$A$2:$K$1000,7,FALSE()),0)</f>
        <v>80</v>
      </c>
      <c r="AZ131" s="5">
        <f>IFERROR(VLOOKUP(IFERROR(VLOOKUP(D131,Mapa_Similitud!$A$2:$B$2000,2,FALSE()),D131),Hoja1!$A$2:$K$1000,9,FALSE()),0)</f>
        <v>0</v>
      </c>
      <c r="BA131" s="25">
        <f t="shared" si="58"/>
        <v>1.3489736070381231E-2</v>
      </c>
      <c r="BB131" s="25">
        <f t="shared" si="59"/>
        <v>1.4662756598240469E-3</v>
      </c>
      <c r="BC131" s="25">
        <f t="shared" si="60"/>
        <v>0.14369501466275661</v>
      </c>
      <c r="BD131" s="25">
        <f t="shared" si="61"/>
        <v>2.3460410557184751E-3</v>
      </c>
      <c r="BE131" s="25">
        <f t="shared" si="62"/>
        <v>8.7976539589442824E-3</v>
      </c>
      <c r="BF131" s="25">
        <f t="shared" si="63"/>
        <v>2.3333333333333335</v>
      </c>
      <c r="BG131" s="25">
        <f t="shared" si="64"/>
        <v>0.29166666666666669</v>
      </c>
      <c r="BH131" s="25">
        <f t="shared" si="65"/>
        <v>6.8181818181818191E-2</v>
      </c>
      <c r="BI131" s="25">
        <f t="shared" si="66"/>
        <v>1.6129032258064516E-2</v>
      </c>
      <c r="BJ131" s="25">
        <f t="shared" si="67"/>
        <v>0.74950690335305714</v>
      </c>
      <c r="BK131" s="25">
        <f t="shared" si="68"/>
        <v>9.8619329388560158E-3</v>
      </c>
      <c r="BL131" s="25">
        <f t="shared" si="69"/>
        <v>0.34838709677419355</v>
      </c>
      <c r="BM131" s="25">
        <f t="shared" si="70"/>
        <v>0.18475073313782991</v>
      </c>
      <c r="BN131" s="18" t="str">
        <f t="shared" ref="BN131:BN194" si="76">IF(BA131&gt;0.2,"Muy alta fuente de proteína",IF(BA131&gt;0.15,"Alta fuente de proteína",IF(BA131&gt;0.1,"Media fuente de proteína","Baja fuente de proteína")))</f>
        <v>Baja fuente de proteína</v>
      </c>
      <c r="BO131" s="18" t="str">
        <f t="shared" ref="BO131:BO194" si="77">IF(BB131&gt;0.03,"Alta",IF(BB131&gt;0.015,"Media","Baja")) &amp; " fuente de fibra"</f>
        <v>Baja fuente de fibra</v>
      </c>
      <c r="BP131" s="18" t="str">
        <f t="shared" ref="BP131:BP194" si="78">IF(BC131&gt;1.5,"Alta fuente de calcio",IF(BC131&gt;0.8,"Media fuente de calcio","Baja fuente de calcio"))</f>
        <v>Baja fuente de calcio</v>
      </c>
      <c r="BQ131" s="18" t="str">
        <f t="shared" ref="BQ131:BQ194" si="79">IF(BD131&gt;0.015,"Alta fuente de hierro",IF(BD131&gt;0.008,"Media fuente de hierro","Baja fuente de hierro"))</f>
        <v>Baja fuente de hierro</v>
      </c>
      <c r="BR131" s="18" t="str">
        <f t="shared" ref="BR131:BR194" si="80">IF(BE131&gt;2,"Muy alto",IF(BE131&gt;1,"Alto",IF(BE131&gt;0.5,"Moderado","Bajo"))) &amp; " en sodio"</f>
        <v>Bajo en sodio</v>
      </c>
      <c r="BS131" s="6" t="str">
        <f t="shared" si="71"/>
        <v>Altamente antiinflamatorio</v>
      </c>
      <c r="BT131" s="6" t="str">
        <f t="shared" si="72"/>
        <v>Alto en grasas</v>
      </c>
      <c r="BU131" s="18" t="str">
        <f t="shared" ref="BU131:BU194" si="81">IF(BI131&gt;1,"Alto riesgo de retención de líquidos",IF(BI131&gt;0.5,"Riesgo moderado de retención","Equilibrio de líquidos ideal"))</f>
        <v>Equilibrio de líquidos ideal</v>
      </c>
      <c r="BV131" s="18" t="str">
        <f t="shared" ref="BV131:BV194" si="82">IF(BM131&gt;0.5,"Alta",IF(BM131&gt;0.2,"Media","Baja")) &amp; " fuente de magnesio"</f>
        <v>Baja fuente de magnesio</v>
      </c>
      <c r="BW131" s="18" t="str">
        <f t="shared" ref="BW131:BW194" si="83">IF(AV131&gt;=0.5,"Alta fuente de Omega 3",IF(AV131&gt;0.1,"Ligera fuente de Omega 3","Sin aporte de Omega 3"))</f>
        <v>Sin aporte de Omega 3</v>
      </c>
      <c r="BX131" s="18" t="str">
        <f t="shared" ref="BX131:BX194" si="84">IF(AX131&gt;0.5,"Alerta: Alto en grasas trans",IF(AX131&gt;0,"Contiene grasas trans","Libre de grasas trans"))</f>
        <v>Contiene grasas trans</v>
      </c>
      <c r="BY131" s="18" t="str">
        <f t="shared" ref="BY131:BY194" si="85">IF(AY131&gt;=50,"Alto",IF(AY131&gt;=10,"Medio","Bajo")) &amp; " poder antioxidante"</f>
        <v>Alto poder antioxidante</v>
      </c>
      <c r="BZ131" s="6" t="str">
        <f t="shared" si="73"/>
        <v>Sin probióticos</v>
      </c>
      <c r="CA131" s="18" t="str">
        <f t="shared" ref="CA131:CA194" si="86">IF(OR(AX131&gt;0.5, O131&gt;15, J131&gt;0), "Altamente inflamatorio", IF(OR(AV131&gt;=0.5, AY131&gt;=50), "Antiinflamatorio", IF(OR(AX131&gt;0, O131&gt;5), "Moderadamente inflamatorio", "Poco inflamatorio")))</f>
        <v>Altamente inflamatorio</v>
      </c>
      <c r="CB131" s="18" t="str">
        <f>IF(ISNUMBER(SEARCH("miel", D131)), "No irritante (Uso condicionado SII)", IF(OR(J131&gt;0, ISNUMBER(SEARCH("cacao", D131)), ISNUMBER(SEARCH("chocolate puro", D131))), "Altamente irritante", IF(OR(AND(O131&gt;15, BI131&gt;1), ISNUMBER(SEARCH("chocolate", D131))), "Moderadamente irritante", "No irritante")))</f>
        <v>No irritante</v>
      </c>
      <c r="CC131" s="6" t="str">
        <f t="shared" si="74"/>
        <v>Exceso relativo de Omega 6</v>
      </c>
    </row>
    <row r="132" spans="1:81" ht="15" customHeight="1" x14ac:dyDescent="0.3">
      <c r="A132" s="2">
        <f t="shared" si="75"/>
        <v>131</v>
      </c>
      <c r="B132" s="3" t="s">
        <v>234</v>
      </c>
      <c r="C132" s="3" t="s">
        <v>235</v>
      </c>
      <c r="D132" s="3" t="s">
        <v>237</v>
      </c>
      <c r="E132" s="3"/>
      <c r="F132" s="4">
        <v>4</v>
      </c>
      <c r="G132" s="5">
        <v>1</v>
      </c>
      <c r="H132" s="5">
        <v>619</v>
      </c>
      <c r="I132" s="5">
        <v>1.5</v>
      </c>
      <c r="J132" s="5">
        <v>0</v>
      </c>
      <c r="K132" s="5">
        <v>30.1</v>
      </c>
      <c r="L132" s="5">
        <v>13.6</v>
      </c>
      <c r="M132" s="5">
        <v>6.5</v>
      </c>
      <c r="N132" s="5">
        <v>7.1</v>
      </c>
      <c r="O132" s="5">
        <v>2.8</v>
      </c>
      <c r="P132" s="5">
        <v>7</v>
      </c>
      <c r="Q132" s="5">
        <v>47.8</v>
      </c>
      <c r="R132" s="5">
        <v>9.5</v>
      </c>
      <c r="S132" s="5">
        <v>26.4</v>
      </c>
      <c r="T132" s="5">
        <v>10.3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5</v>
      </c>
      <c r="AA132" s="5">
        <v>0.8</v>
      </c>
      <c r="AB132" s="5">
        <v>0.12</v>
      </c>
      <c r="AC132" s="5">
        <v>0.1</v>
      </c>
      <c r="AD132" s="5">
        <v>18</v>
      </c>
      <c r="AE132" s="5">
        <v>0.57999999999999996</v>
      </c>
      <c r="AF132" s="5">
        <v>53</v>
      </c>
      <c r="AG132" s="5">
        <v>0</v>
      </c>
      <c r="AH132" s="5">
        <v>0.81</v>
      </c>
      <c r="AI132" s="5">
        <v>94</v>
      </c>
      <c r="AJ132" s="5">
        <v>0</v>
      </c>
      <c r="AK132" s="5">
        <v>74</v>
      </c>
      <c r="AL132" s="5">
        <v>393</v>
      </c>
      <c r="AM132" s="5">
        <v>1.9</v>
      </c>
      <c r="AN132" s="5">
        <v>0</v>
      </c>
      <c r="AO132" s="5">
        <v>3</v>
      </c>
      <c r="AP132" s="5">
        <v>180</v>
      </c>
      <c r="AQ132" s="5">
        <v>120</v>
      </c>
      <c r="AR132" s="5">
        <v>820</v>
      </c>
      <c r="AS132" s="5">
        <v>1.7</v>
      </c>
      <c r="AT132" s="5">
        <v>0.7</v>
      </c>
      <c r="AU132" s="5">
        <v>3</v>
      </c>
      <c r="AV132" s="5">
        <f>IFERROR(VLOOKUP(IFERROR(VLOOKUP(D132,Mapa_Similitud!$A$2:$B$2000,2,FALSE()),D132),Hoja1!$A$2:$K$1000,2,FALSE()),IFERROR(VLOOKUP(IFERROR(VLOOKUP(D132,Mapa_Similitud!$A$2:$B$2000,2,FALSE()),D132),Omega3_Referencia!$A$2:$E$100,3,FALSE()),0))</f>
        <v>0.05</v>
      </c>
      <c r="AW132" s="3" t="str">
        <f>IFERROR(VLOOKUP(IFERROR(VLOOKUP(D132,Mapa_Similitud!$A$2:$B$2000,2,FALSE()),D132),Hoja1!$A$2:$K$1000,3,FALSE()),IFERROR(VLOOKUP(IFERROR(VLOOKUP(D132,Mapa_Similitud!$A$2:$B$2000,2,FALSE()),D132),Omega3_Referencia!$A$2:$E$100,4,FALSE()),"N/A"))</f>
        <v>ALA</v>
      </c>
      <c r="AX132" s="5">
        <f>IFERROR(VLOOKUP(IFERROR(VLOOKUP(D132,Mapa_Similitud!$A$2:$B$2000,2,FALSE()),D132),Hoja1!$A$2:$K$1000,5,FALSE()),0)</f>
        <v>0.5</v>
      </c>
      <c r="AY132" s="5">
        <f>IFERROR(VLOOKUP(IFERROR(VLOOKUP(D132,Mapa_Similitud!$A$2:$B$2000,2,FALSE()),D132),Hoja1!$A$2:$K$1000,7,FALSE()),0)</f>
        <v>80</v>
      </c>
      <c r="AZ132" s="5">
        <f>IFERROR(VLOOKUP(IFERROR(VLOOKUP(D132,Mapa_Similitud!$A$2:$B$2000,2,FALSE()),D132),Hoja1!$A$2:$K$1000,9,FALSE()),0)</f>
        <v>0</v>
      </c>
      <c r="BA132" s="25">
        <f t="shared" si="58"/>
        <v>4.8626817447495967E-2</v>
      </c>
      <c r="BB132" s="25">
        <f t="shared" si="59"/>
        <v>1.1308562197092083E-2</v>
      </c>
      <c r="BC132" s="25">
        <f t="shared" si="60"/>
        <v>0.11954765751211632</v>
      </c>
      <c r="BD132" s="25">
        <f t="shared" si="61"/>
        <v>3.0694668820678513E-3</v>
      </c>
      <c r="BE132" s="25">
        <f t="shared" si="62"/>
        <v>0.1938610662358643</v>
      </c>
      <c r="BF132" s="25">
        <f t="shared" si="63"/>
        <v>1.0842105263157895</v>
      </c>
      <c r="BG132" s="25">
        <f t="shared" si="64"/>
        <v>0.18829516539440203</v>
      </c>
      <c r="BH132" s="25">
        <f t="shared" si="65"/>
        <v>0.19874476987447701</v>
      </c>
      <c r="BI132" s="25">
        <f t="shared" si="66"/>
        <v>0.14634146341463414</v>
      </c>
      <c r="BJ132" s="25">
        <f t="shared" si="67"/>
        <v>0.5220588235294118</v>
      </c>
      <c r="BK132" s="25">
        <f t="shared" si="68"/>
        <v>0.51470588235294124</v>
      </c>
      <c r="BL132" s="25">
        <f t="shared" si="69"/>
        <v>0.69499192245557351</v>
      </c>
      <c r="BM132" s="25">
        <f t="shared" si="70"/>
        <v>0.29079159935379645</v>
      </c>
      <c r="BN132" s="18" t="str">
        <f t="shared" si="76"/>
        <v>Baja fuente de proteína</v>
      </c>
      <c r="BO132" s="18" t="str">
        <f t="shared" si="77"/>
        <v>Baja fuente de fibra</v>
      </c>
      <c r="BP132" s="18" t="str">
        <f t="shared" si="78"/>
        <v>Baja fuente de calcio</v>
      </c>
      <c r="BQ132" s="18" t="str">
        <f t="shared" si="79"/>
        <v>Baja fuente de hierro</v>
      </c>
      <c r="BR132" s="18" t="str">
        <f t="shared" si="80"/>
        <v>Bajo en sodio</v>
      </c>
      <c r="BS132" s="6" t="str">
        <f t="shared" si="71"/>
        <v>Ligeramente antiinflamatorio</v>
      </c>
      <c r="BT132" s="6" t="str">
        <f t="shared" si="72"/>
        <v>Muy alto en grasas</v>
      </c>
      <c r="BU132" s="18" t="str">
        <f t="shared" si="81"/>
        <v>Equilibrio de líquidos ideal</v>
      </c>
      <c r="BV132" s="18" t="str">
        <f t="shared" si="82"/>
        <v>Media fuente de magnesio</v>
      </c>
      <c r="BW132" s="18" t="str">
        <f t="shared" si="83"/>
        <v>Sin aporte de Omega 3</v>
      </c>
      <c r="BX132" s="18" t="str">
        <f t="shared" si="84"/>
        <v>Contiene grasas trans</v>
      </c>
      <c r="BY132" s="18" t="str">
        <f t="shared" si="85"/>
        <v>Alto poder antioxidante</v>
      </c>
      <c r="BZ132" s="6" t="str">
        <f t="shared" si="73"/>
        <v>Sin probióticos</v>
      </c>
      <c r="CA132" s="18" t="str">
        <f t="shared" si="86"/>
        <v>Antiinflamatorio</v>
      </c>
      <c r="CB132" s="18" t="str">
        <f>IF(ISNUMBER(SEARCH("miel", D132)), "No irritante (Uso condicionado SII)", IF(OR(J132&gt;0, ISNUMBER(SEARCH("cacao", D132)), ISNUMBER(SEARCH("chocolate puro", D132))), "Altamente irritante", IF(OR(AND(O132&gt;15, BI132&gt;1), ISNUMBER(SEARCH("chocolate", D132))), "Moderadamente irritante", "No irritante")))</f>
        <v>No irritante</v>
      </c>
      <c r="CC132" s="6" t="str">
        <f t="shared" si="74"/>
        <v>Exceso relativo de Omega 6</v>
      </c>
    </row>
    <row r="133" spans="1:81" ht="15" customHeight="1" x14ac:dyDescent="0.3">
      <c r="A133" s="2">
        <f t="shared" si="75"/>
        <v>132</v>
      </c>
      <c r="B133" s="3" t="s">
        <v>234</v>
      </c>
      <c r="C133" s="3" t="s">
        <v>235</v>
      </c>
      <c r="D133" s="3" t="s">
        <v>238</v>
      </c>
      <c r="E133" s="3"/>
      <c r="F133" s="4">
        <v>3</v>
      </c>
      <c r="G133" s="5">
        <v>1</v>
      </c>
      <c r="H133" s="5">
        <v>259</v>
      </c>
      <c r="I133" s="5">
        <v>33.6</v>
      </c>
      <c r="J133" s="5">
        <v>0</v>
      </c>
      <c r="K133" s="5">
        <v>1</v>
      </c>
      <c r="L133" s="5">
        <v>62.2</v>
      </c>
      <c r="M133" s="5">
        <v>0</v>
      </c>
      <c r="N133" s="5">
        <v>62.2</v>
      </c>
      <c r="O133" s="5">
        <v>24.9</v>
      </c>
      <c r="P133" s="5">
        <v>3.2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2</v>
      </c>
      <c r="W133" s="5">
        <v>0</v>
      </c>
      <c r="X133" s="5">
        <v>12</v>
      </c>
      <c r="Y133" s="5">
        <v>0</v>
      </c>
      <c r="Z133" s="5">
        <v>0</v>
      </c>
      <c r="AA133" s="5">
        <v>0</v>
      </c>
      <c r="AB133" s="5">
        <v>0.01</v>
      </c>
      <c r="AC133" s="5">
        <v>0.01</v>
      </c>
      <c r="AD133" s="5">
        <v>0.1</v>
      </c>
      <c r="AE133" s="5">
        <v>0</v>
      </c>
      <c r="AF133" s="5">
        <v>0</v>
      </c>
      <c r="AG133" s="5">
        <v>0</v>
      </c>
      <c r="AH133" s="5">
        <v>0.02</v>
      </c>
      <c r="AI133" s="5">
        <v>0</v>
      </c>
      <c r="AJ133" s="5">
        <v>0</v>
      </c>
      <c r="AK133" s="5">
        <v>4</v>
      </c>
      <c r="AL133" s="5">
        <v>6</v>
      </c>
      <c r="AM133" s="5">
        <v>0.3</v>
      </c>
      <c r="AN133" s="5">
        <v>0</v>
      </c>
      <c r="AO133" s="5">
        <v>0.1</v>
      </c>
      <c r="AP133" s="5">
        <v>3</v>
      </c>
      <c r="AQ133" s="5">
        <v>1</v>
      </c>
      <c r="AR133" s="5">
        <v>90</v>
      </c>
      <c r="AS133" s="5">
        <v>0</v>
      </c>
      <c r="AT133" s="5">
        <v>0</v>
      </c>
      <c r="AU133" s="5">
        <v>0</v>
      </c>
      <c r="AV133" s="5">
        <f>IFERROR(VLOOKUP(IFERROR(VLOOKUP(D133,Mapa_Similitud!$A$2:$B$2000,2,FALSE()),D133),Hoja1!$A$2:$K$1000,2,FALSE()),IFERROR(VLOOKUP(IFERROR(VLOOKUP(D133,Mapa_Similitud!$A$2:$B$2000,2,FALSE()),D133),Omega3_Referencia!$A$2:$E$100,3,FALSE()),0))</f>
        <v>0</v>
      </c>
      <c r="AW133" s="3" t="str">
        <f>IFERROR(VLOOKUP(IFERROR(VLOOKUP(D133,Mapa_Similitud!$A$2:$B$2000,2,FALSE()),D133),Hoja1!$A$2:$K$1000,3,FALSE()),IFERROR(VLOOKUP(IFERROR(VLOOKUP(D133,Mapa_Similitud!$A$2:$B$2000,2,FALSE()),D133),Omega3_Referencia!$A$2:$E$100,4,FALSE()),"N/A"))</f>
        <v>N/A</v>
      </c>
      <c r="AX133" s="5">
        <f>IFERROR(VLOOKUP(IFERROR(VLOOKUP(D133,Mapa_Similitud!$A$2:$B$2000,2,FALSE()),D133),Hoja1!$A$2:$K$1000,5,FALSE()),0)</f>
        <v>0</v>
      </c>
      <c r="AY133" s="5">
        <f>IFERROR(VLOOKUP(IFERROR(VLOOKUP(D133,Mapa_Similitud!$A$2:$B$2000,2,FALSE()),D133),Hoja1!$A$2:$K$1000,7,FALSE()),0)</f>
        <v>0</v>
      </c>
      <c r="AZ133" s="5">
        <f>IFERROR(VLOOKUP(IFERROR(VLOOKUP(D133,Mapa_Similitud!$A$2:$B$2000,2,FALSE()),D133),Hoja1!$A$2:$K$1000,9,FALSE()),0)</f>
        <v>0</v>
      </c>
      <c r="BA133" s="25">
        <f t="shared" si="58"/>
        <v>3.8610038610038611E-3</v>
      </c>
      <c r="BB133" s="25">
        <f t="shared" si="59"/>
        <v>1.2355212355212355E-2</v>
      </c>
      <c r="BC133" s="25">
        <f t="shared" si="60"/>
        <v>1.5444015444015444E-2</v>
      </c>
      <c r="BD133" s="25">
        <f t="shared" si="61"/>
        <v>1.1583011583011582E-3</v>
      </c>
      <c r="BE133" s="25">
        <f t="shared" si="62"/>
        <v>3.8610038610038611E-3</v>
      </c>
      <c r="BF133" s="25">
        <f t="shared" si="63"/>
        <v>0</v>
      </c>
      <c r="BG133" s="25">
        <f t="shared" si="64"/>
        <v>0.66666666666666663</v>
      </c>
      <c r="BH133" s="25">
        <f t="shared" si="65"/>
        <v>0</v>
      </c>
      <c r="BI133" s="25">
        <f t="shared" si="66"/>
        <v>1.1111111111111112E-2</v>
      </c>
      <c r="BJ133" s="25">
        <f t="shared" si="67"/>
        <v>1</v>
      </c>
      <c r="BK133" s="25">
        <f t="shared" si="68"/>
        <v>5.1446945337620578E-2</v>
      </c>
      <c r="BL133" s="25">
        <f t="shared" si="69"/>
        <v>0</v>
      </c>
      <c r="BM133" s="25">
        <f t="shared" si="70"/>
        <v>1.1583011583011582E-2</v>
      </c>
      <c r="BN133" s="18" t="str">
        <f t="shared" si="76"/>
        <v>Baja fuente de proteína</v>
      </c>
      <c r="BO133" s="18" t="str">
        <f t="shared" si="77"/>
        <v>Baja fuente de fibra</v>
      </c>
      <c r="BP133" s="18" t="str">
        <f t="shared" si="78"/>
        <v>Baja fuente de calcio</v>
      </c>
      <c r="BQ133" s="18" t="str">
        <f t="shared" si="79"/>
        <v>Baja fuente de hierro</v>
      </c>
      <c r="BR133" s="18" t="str">
        <f t="shared" si="80"/>
        <v>Bajo en sodio</v>
      </c>
      <c r="BS133" s="6" t="str">
        <f t="shared" si="71"/>
        <v>Proinflamatorio</v>
      </c>
      <c r="BT133" s="6" t="str">
        <f t="shared" si="72"/>
        <v>Bajo en grasas</v>
      </c>
      <c r="BU133" s="18" t="str">
        <f t="shared" si="81"/>
        <v>Equilibrio de líquidos ideal</v>
      </c>
      <c r="BV133" s="18" t="str">
        <f t="shared" si="82"/>
        <v>Baja fuente de magnesio</v>
      </c>
      <c r="BW133" s="18" t="str">
        <f t="shared" si="83"/>
        <v>Sin aporte de Omega 3</v>
      </c>
      <c r="BX133" s="18" t="str">
        <f t="shared" si="84"/>
        <v>Libre de grasas trans</v>
      </c>
      <c r="BY133" s="18" t="str">
        <f t="shared" si="85"/>
        <v>Bajo poder antioxidante</v>
      </c>
      <c r="BZ133" s="6" t="str">
        <f t="shared" si="73"/>
        <v>Sin probióticos</v>
      </c>
      <c r="CA133" s="18" t="str">
        <f t="shared" si="86"/>
        <v>Altamente inflamatorio</v>
      </c>
      <c r="CB133" s="18" t="str">
        <f>IF(ISNUMBER(SEARCH("miel", D133)), "No irritante (Uso condicionado SII)", IF(OR(J133&gt;0, ISNUMBER(SEARCH("cacao", D133)), ISNUMBER(SEARCH("chocolate puro", D133))), "Altamente irritante", IF(OR(AND(O133&gt;15, BI133&gt;1), ISNUMBER(SEARCH("chocolate", D133))), "Moderadamente irritante", "No irritante")))</f>
        <v>No irritante</v>
      </c>
      <c r="CC133" s="6" t="str">
        <f t="shared" si="74"/>
        <v>Sin Omega 3 para evaluar</v>
      </c>
    </row>
    <row r="134" spans="1:81" ht="15" customHeight="1" x14ac:dyDescent="0.3">
      <c r="A134" s="2">
        <f t="shared" si="75"/>
        <v>133</v>
      </c>
      <c r="B134" s="3" t="s">
        <v>234</v>
      </c>
      <c r="C134" s="3" t="s">
        <v>235</v>
      </c>
      <c r="D134" s="3" t="s">
        <v>239</v>
      </c>
      <c r="E134" s="3"/>
      <c r="F134" s="4">
        <v>2.5</v>
      </c>
      <c r="G134" s="5">
        <v>1</v>
      </c>
      <c r="H134" s="5">
        <v>258</v>
      </c>
      <c r="I134" s="5">
        <v>35.1</v>
      </c>
      <c r="J134" s="5">
        <v>0</v>
      </c>
      <c r="K134" s="5">
        <v>0.32</v>
      </c>
      <c r="L134" s="5">
        <v>63.2</v>
      </c>
      <c r="M134" s="5">
        <v>0</v>
      </c>
      <c r="N134" s="5">
        <v>63.2</v>
      </c>
      <c r="O134" s="5">
        <v>25.3</v>
      </c>
      <c r="P134" s="5">
        <v>1.2</v>
      </c>
      <c r="Q134" s="5">
        <v>0.2</v>
      </c>
      <c r="R134" s="5">
        <v>0.01</v>
      </c>
      <c r="S134" s="5">
        <v>0.11</v>
      </c>
      <c r="T134" s="5">
        <v>0</v>
      </c>
      <c r="U134" s="5">
        <v>0</v>
      </c>
      <c r="V134" s="5">
        <v>10</v>
      </c>
      <c r="W134" s="5">
        <v>0</v>
      </c>
      <c r="X134" s="5">
        <v>60</v>
      </c>
      <c r="Y134" s="5">
        <v>0</v>
      </c>
      <c r="Z134" s="5">
        <v>0.13</v>
      </c>
      <c r="AA134" s="5">
        <v>0.5</v>
      </c>
      <c r="AB134" s="5">
        <v>0.04</v>
      </c>
      <c r="AC134" s="5">
        <v>2.1999999999999999E-2</v>
      </c>
      <c r="AD134" s="5">
        <v>0.1</v>
      </c>
      <c r="AE134" s="5">
        <v>0.02</v>
      </c>
      <c r="AF134" s="5">
        <v>33</v>
      </c>
      <c r="AG134" s="5">
        <v>0</v>
      </c>
      <c r="AH134" s="5">
        <v>0.02</v>
      </c>
      <c r="AI134" s="5">
        <v>0</v>
      </c>
      <c r="AJ134" s="5">
        <v>8.8000000000000007</v>
      </c>
      <c r="AK134" s="5">
        <v>20</v>
      </c>
      <c r="AL134" s="5">
        <v>11</v>
      </c>
      <c r="AM134" s="5">
        <v>0.49</v>
      </c>
      <c r="AN134" s="5">
        <v>2.7</v>
      </c>
      <c r="AO134" s="5">
        <v>0.06</v>
      </c>
      <c r="AP134" s="5">
        <v>4</v>
      </c>
      <c r="AQ134" s="5">
        <v>40</v>
      </c>
      <c r="AR134" s="5">
        <v>77</v>
      </c>
      <c r="AS134" s="5">
        <v>0.04</v>
      </c>
      <c r="AT134" s="5">
        <v>0.1</v>
      </c>
      <c r="AU134" s="5">
        <v>2</v>
      </c>
      <c r="AV134" s="5">
        <f>IFERROR(VLOOKUP(IFERROR(VLOOKUP(D134,Mapa_Similitud!$A$2:$B$2000,2,FALSE()),D134),Hoja1!$A$2:$K$1000,2,FALSE()),IFERROR(VLOOKUP(IFERROR(VLOOKUP(D134,Mapa_Similitud!$A$2:$B$2000,2,FALSE()),D134),Omega3_Referencia!$A$2:$E$100,3,FALSE()),0))</f>
        <v>0</v>
      </c>
      <c r="AW134" s="3" t="str">
        <f>IFERROR(VLOOKUP(IFERROR(VLOOKUP(D134,Mapa_Similitud!$A$2:$B$2000,2,FALSE()),D134),Hoja1!$A$2:$K$1000,3,FALSE()),IFERROR(VLOOKUP(IFERROR(VLOOKUP(D134,Mapa_Similitud!$A$2:$B$2000,2,FALSE()),D134),Omega3_Referencia!$A$2:$E$100,4,FALSE()),"N/A"))</f>
        <v>N/A</v>
      </c>
      <c r="AX134" s="5">
        <f>IFERROR(VLOOKUP(IFERROR(VLOOKUP(D134,Mapa_Similitud!$A$2:$B$2000,2,FALSE()),D134),Hoja1!$A$2:$K$1000,5,FALSE()),0)</f>
        <v>0</v>
      </c>
      <c r="AY134" s="5">
        <f>IFERROR(VLOOKUP(IFERROR(VLOOKUP(D134,Mapa_Similitud!$A$2:$B$2000,2,FALSE()),D134),Hoja1!$A$2:$K$1000,7,FALSE()),0)</f>
        <v>30</v>
      </c>
      <c r="AZ134" s="5">
        <f>IFERROR(VLOOKUP(IFERROR(VLOOKUP(D134,Mapa_Similitud!$A$2:$B$2000,2,FALSE()),D134),Hoja1!$A$2:$K$1000,9,FALSE()),0)</f>
        <v>0</v>
      </c>
      <c r="BA134" s="25">
        <f t="shared" si="58"/>
        <v>1.2403100775193799E-3</v>
      </c>
      <c r="BB134" s="25">
        <f t="shared" si="59"/>
        <v>4.6511627906976744E-3</v>
      </c>
      <c r="BC134" s="25">
        <f t="shared" si="60"/>
        <v>7.7519379844961239E-2</v>
      </c>
      <c r="BD134" s="25">
        <f t="shared" si="61"/>
        <v>1.8992248062015503E-3</v>
      </c>
      <c r="BE134" s="25">
        <f t="shared" si="62"/>
        <v>0.15503875968992248</v>
      </c>
      <c r="BF134" s="25">
        <f t="shared" si="63"/>
        <v>0</v>
      </c>
      <c r="BG134" s="25">
        <f t="shared" si="64"/>
        <v>1.8181818181818181</v>
      </c>
      <c r="BH134" s="25">
        <f t="shared" si="65"/>
        <v>4.9999999999999996E-2</v>
      </c>
      <c r="BI134" s="25">
        <f t="shared" si="66"/>
        <v>0.51948051948051943</v>
      </c>
      <c r="BJ134" s="25">
        <f t="shared" si="67"/>
        <v>1</v>
      </c>
      <c r="BK134" s="25">
        <f t="shared" si="68"/>
        <v>1.8987341772151896E-2</v>
      </c>
      <c r="BL134" s="25">
        <f t="shared" si="69"/>
        <v>6.9767441860465115E-3</v>
      </c>
      <c r="BM134" s="25">
        <f t="shared" si="70"/>
        <v>1.5503875968992248E-2</v>
      </c>
      <c r="BN134" s="18" t="str">
        <f t="shared" si="76"/>
        <v>Baja fuente de proteína</v>
      </c>
      <c r="BO134" s="18" t="str">
        <f t="shared" si="77"/>
        <v>Baja fuente de fibra</v>
      </c>
      <c r="BP134" s="18" t="str">
        <f t="shared" si="78"/>
        <v>Baja fuente de calcio</v>
      </c>
      <c r="BQ134" s="18" t="str">
        <f t="shared" si="79"/>
        <v>Baja fuente de hierro</v>
      </c>
      <c r="BR134" s="18" t="str">
        <f t="shared" si="80"/>
        <v>Bajo en sodio</v>
      </c>
      <c r="BS134" s="6" t="str">
        <f t="shared" si="71"/>
        <v>Proinflamatorio</v>
      </c>
      <c r="BT134" s="6" t="str">
        <f t="shared" si="72"/>
        <v>Bajo en grasas</v>
      </c>
      <c r="BU134" s="18" t="str">
        <f t="shared" si="81"/>
        <v>Riesgo moderado de retención</v>
      </c>
      <c r="BV134" s="18" t="str">
        <f t="shared" si="82"/>
        <v>Baja fuente de magnesio</v>
      </c>
      <c r="BW134" s="18" t="str">
        <f t="shared" si="83"/>
        <v>Sin aporte de Omega 3</v>
      </c>
      <c r="BX134" s="18" t="str">
        <f t="shared" si="84"/>
        <v>Libre de grasas trans</v>
      </c>
      <c r="BY134" s="18" t="str">
        <f t="shared" si="85"/>
        <v>Medio poder antioxidante</v>
      </c>
      <c r="BZ134" s="6" t="str">
        <f t="shared" si="73"/>
        <v>Sin probióticos</v>
      </c>
      <c r="CA134" s="18" t="str">
        <f t="shared" si="86"/>
        <v>Altamente inflamatorio</v>
      </c>
      <c r="CB134" s="18" t="str">
        <f>IF(ISNUMBER(SEARCH("miel", D134)), "No irritante (Uso condicionado SII)", IF(OR(J134&gt;0, ISNUMBER(SEARCH("cacao", D134)), ISNUMBER(SEARCH("chocolate puro", D134))), "Altamente irritante", IF(OR(AND(O134&gt;15, BI134&gt;1), ISNUMBER(SEARCH("chocolate", D134))), "Moderadamente irritante", "No irritante")))</f>
        <v>No irritante</v>
      </c>
      <c r="CC134" s="6" t="str">
        <f t="shared" si="74"/>
        <v>Sin Omega 3 para evaluar</v>
      </c>
    </row>
    <row r="135" spans="1:81" ht="15" customHeight="1" x14ac:dyDescent="0.3">
      <c r="A135" s="2">
        <f t="shared" si="75"/>
        <v>134</v>
      </c>
      <c r="B135" s="3" t="s">
        <v>234</v>
      </c>
      <c r="C135" s="3" t="s">
        <v>235</v>
      </c>
      <c r="D135" s="3" t="s">
        <v>240</v>
      </c>
      <c r="E135" s="3"/>
      <c r="F135" s="4">
        <v>3.5</v>
      </c>
      <c r="G135" s="5">
        <v>1</v>
      </c>
      <c r="H135" s="5">
        <v>30</v>
      </c>
      <c r="I135" s="5">
        <v>91.1</v>
      </c>
      <c r="J135" s="5">
        <v>0</v>
      </c>
      <c r="K135" s="5">
        <v>0.7</v>
      </c>
      <c r="L135" s="5">
        <v>5.4</v>
      </c>
      <c r="M135" s="5">
        <v>1</v>
      </c>
      <c r="N135" s="5">
        <v>4.4000000000000004</v>
      </c>
      <c r="O135" s="5">
        <v>2.2000000000000002</v>
      </c>
      <c r="P135" s="5">
        <v>2.8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0.56999999999999995</v>
      </c>
      <c r="AA135" s="5">
        <v>0</v>
      </c>
      <c r="AB135" s="5">
        <v>0.04</v>
      </c>
      <c r="AC135" s="5">
        <v>0.06</v>
      </c>
      <c r="AD135" s="5">
        <v>0.1</v>
      </c>
      <c r="AE135" s="5">
        <v>0.06</v>
      </c>
      <c r="AF135" s="5">
        <v>9</v>
      </c>
      <c r="AG135" s="5">
        <v>0</v>
      </c>
      <c r="AH135" s="5">
        <v>0.02</v>
      </c>
      <c r="AI135" s="5">
        <v>0</v>
      </c>
      <c r="AJ135" s="5">
        <v>5.7</v>
      </c>
      <c r="AK135" s="5">
        <v>13.9</v>
      </c>
      <c r="AL135" s="5">
        <v>19.7</v>
      </c>
      <c r="AM135" s="5">
        <v>0.41</v>
      </c>
      <c r="AN135" s="5">
        <v>2.7</v>
      </c>
      <c r="AO135" s="5">
        <v>0.08</v>
      </c>
      <c r="AP135" s="5">
        <v>9.8000000000000007</v>
      </c>
      <c r="AQ135" s="5">
        <v>50</v>
      </c>
      <c r="AR135" s="5">
        <v>238</v>
      </c>
      <c r="AS135" s="5">
        <v>0.04</v>
      </c>
      <c r="AT135" s="5">
        <v>0.1</v>
      </c>
      <c r="AU135" s="5">
        <v>2</v>
      </c>
      <c r="AV135" s="5">
        <f>IFERROR(VLOOKUP(IFERROR(VLOOKUP(D135,Mapa_Similitud!$A$2:$B$2000,2,FALSE()),D135),Hoja1!$A$2:$K$1000,2,FALSE()),IFERROR(VLOOKUP(IFERROR(VLOOKUP(D135,Mapa_Similitud!$A$2:$B$2000,2,FALSE()),D135),Omega3_Referencia!$A$2:$E$100,3,FALSE()),0))</f>
        <v>0</v>
      </c>
      <c r="AW135" s="3" t="str">
        <f>IFERROR(VLOOKUP(IFERROR(VLOOKUP(D135,Mapa_Similitud!$A$2:$B$2000,2,FALSE()),D135),Hoja1!$A$2:$K$1000,3,FALSE()),IFERROR(VLOOKUP(IFERROR(VLOOKUP(D135,Mapa_Similitud!$A$2:$B$2000,2,FALSE()),D135),Omega3_Referencia!$A$2:$E$100,4,FALSE()),"N/A"))</f>
        <v>N/A</v>
      </c>
      <c r="AX135" s="5">
        <f>IFERROR(VLOOKUP(IFERROR(VLOOKUP(D135,Mapa_Similitud!$A$2:$B$2000,2,FALSE()),D135),Hoja1!$A$2:$K$1000,5,FALSE()),0)</f>
        <v>0</v>
      </c>
      <c r="AY135" s="5">
        <f>IFERROR(VLOOKUP(IFERROR(VLOOKUP(D135,Mapa_Similitud!$A$2:$B$2000,2,FALSE()),D135),Hoja1!$A$2:$K$1000,7,FALSE()),0)</f>
        <v>30</v>
      </c>
      <c r="AZ135" s="5">
        <f>IFERROR(VLOOKUP(IFERROR(VLOOKUP(D135,Mapa_Similitud!$A$2:$B$2000,2,FALSE()),D135),Hoja1!$A$2:$K$1000,9,FALSE()),0)</f>
        <v>0</v>
      </c>
      <c r="BA135" s="25">
        <f t="shared" si="58"/>
        <v>2.3333333333333331E-2</v>
      </c>
      <c r="BB135" s="25">
        <f t="shared" si="59"/>
        <v>9.3333333333333324E-2</v>
      </c>
      <c r="BC135" s="25">
        <f t="shared" si="60"/>
        <v>0.46333333333333332</v>
      </c>
      <c r="BD135" s="25">
        <f t="shared" si="61"/>
        <v>1.3666666666666666E-2</v>
      </c>
      <c r="BE135" s="25">
        <f t="shared" si="62"/>
        <v>1.6666666666666667</v>
      </c>
      <c r="BF135" s="25">
        <f t="shared" si="63"/>
        <v>0</v>
      </c>
      <c r="BG135" s="25">
        <f t="shared" si="64"/>
        <v>0.70558375634517767</v>
      </c>
      <c r="BH135" s="25">
        <f t="shared" si="65"/>
        <v>0</v>
      </c>
      <c r="BI135" s="25">
        <f t="shared" si="66"/>
        <v>0.21008403361344538</v>
      </c>
      <c r="BJ135" s="25">
        <f t="shared" si="67"/>
        <v>0.81481481481481488</v>
      </c>
      <c r="BK135" s="25">
        <f t="shared" si="68"/>
        <v>0.51851851851851849</v>
      </c>
      <c r="BL135" s="25">
        <f t="shared" si="69"/>
        <v>0</v>
      </c>
      <c r="BM135" s="25">
        <f t="shared" si="70"/>
        <v>0.32666666666666672</v>
      </c>
      <c r="BN135" s="18" t="str">
        <f t="shared" si="76"/>
        <v>Baja fuente de proteína</v>
      </c>
      <c r="BO135" s="18" t="str">
        <f t="shared" si="77"/>
        <v>Alta fuente de fibra</v>
      </c>
      <c r="BP135" s="18" t="str">
        <f t="shared" si="78"/>
        <v>Baja fuente de calcio</v>
      </c>
      <c r="BQ135" s="18" t="str">
        <f t="shared" si="79"/>
        <v>Media fuente de hierro</v>
      </c>
      <c r="BR135" s="18" t="str">
        <f t="shared" si="80"/>
        <v>Alto en sodio</v>
      </c>
      <c r="BS135" s="6" t="str">
        <f t="shared" si="71"/>
        <v>Proinflamatorio</v>
      </c>
      <c r="BT135" s="6" t="str">
        <f t="shared" si="72"/>
        <v>Bajo en grasas</v>
      </c>
      <c r="BU135" s="18" t="str">
        <f t="shared" si="81"/>
        <v>Equilibrio de líquidos ideal</v>
      </c>
      <c r="BV135" s="18" t="str">
        <f t="shared" si="82"/>
        <v>Media fuente de magnesio</v>
      </c>
      <c r="BW135" s="18" t="str">
        <f t="shared" si="83"/>
        <v>Sin aporte de Omega 3</v>
      </c>
      <c r="BX135" s="18" t="str">
        <f t="shared" si="84"/>
        <v>Libre de grasas trans</v>
      </c>
      <c r="BY135" s="18" t="str">
        <f t="shared" si="85"/>
        <v>Medio poder antioxidante</v>
      </c>
      <c r="BZ135" s="6" t="str">
        <f t="shared" si="73"/>
        <v>Sin probióticos</v>
      </c>
      <c r="CA135" s="18" t="str">
        <f t="shared" si="86"/>
        <v>Poco inflamatorio</v>
      </c>
      <c r="CB135" s="18" t="str">
        <f>IF(ISNUMBER(SEARCH("miel", D135)), "No irritante (Uso condicionado SII)", IF(OR(J135&gt;0, ISNUMBER(SEARCH("cacao", D135)), ISNUMBER(SEARCH("chocolate puro", D135))), "Altamente irritante", IF(OR(AND(O135&gt;15, BI135&gt;1), ISNUMBER(SEARCH("chocolate", D135))), "Moderadamente irritante", "No irritante")))</f>
        <v>No irritante</v>
      </c>
      <c r="CC135" s="6" t="str">
        <f t="shared" si="74"/>
        <v>Sin Omega 3 para evaluar</v>
      </c>
    </row>
    <row r="136" spans="1:81" ht="15" customHeight="1" x14ac:dyDescent="0.3">
      <c r="A136" s="2">
        <f t="shared" si="75"/>
        <v>135</v>
      </c>
      <c r="B136" s="3" t="s">
        <v>234</v>
      </c>
      <c r="C136" s="3" t="s">
        <v>235</v>
      </c>
      <c r="D136" s="3" t="s">
        <v>241</v>
      </c>
      <c r="E136" s="3"/>
      <c r="F136" s="4">
        <v>3</v>
      </c>
      <c r="G136" s="5">
        <v>1</v>
      </c>
      <c r="H136" s="5">
        <v>251</v>
      </c>
      <c r="I136" s="5">
        <v>38</v>
      </c>
      <c r="J136" s="5">
        <v>0</v>
      </c>
      <c r="K136" s="5">
        <v>0.38</v>
      </c>
      <c r="L136" s="5">
        <v>60.9</v>
      </c>
      <c r="M136" s="5">
        <v>0.9</v>
      </c>
      <c r="N136" s="5">
        <v>60</v>
      </c>
      <c r="O136" s="5">
        <v>24.4</v>
      </c>
      <c r="P136" s="5">
        <v>0.55000000000000004</v>
      </c>
      <c r="Q136" s="5">
        <v>0.16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0.16</v>
      </c>
      <c r="AA136" s="5">
        <v>1.1000000000000001</v>
      </c>
      <c r="AB136" s="5">
        <v>2.4E-2</v>
      </c>
      <c r="AC136" s="5">
        <v>1.2999999999999999E-2</v>
      </c>
      <c r="AD136" s="5">
        <v>0.1</v>
      </c>
      <c r="AE136" s="5">
        <v>0.01</v>
      </c>
      <c r="AF136" s="5">
        <v>6</v>
      </c>
      <c r="AG136" s="5">
        <v>0</v>
      </c>
      <c r="AH136" s="5">
        <v>0.1</v>
      </c>
      <c r="AI136" s="5">
        <v>0</v>
      </c>
      <c r="AJ136" s="5">
        <v>19.600000000000001</v>
      </c>
      <c r="AK136" s="5">
        <v>12</v>
      </c>
      <c r="AL136" s="5">
        <v>16</v>
      </c>
      <c r="AM136" s="5">
        <v>0.22</v>
      </c>
      <c r="AN136" s="5">
        <v>2.7</v>
      </c>
      <c r="AO136" s="5">
        <v>0.05</v>
      </c>
      <c r="AP136" s="5">
        <v>7.1</v>
      </c>
      <c r="AQ136" s="5">
        <v>7</v>
      </c>
      <c r="AR136" s="5">
        <v>110</v>
      </c>
      <c r="AS136" s="5">
        <v>0.08</v>
      </c>
      <c r="AT136" s="5">
        <v>0.05</v>
      </c>
      <c r="AU136" s="5">
        <v>2</v>
      </c>
      <c r="AV136" s="5">
        <f>IFERROR(VLOOKUP(IFERROR(VLOOKUP(D136,Mapa_Similitud!$A$2:$B$2000,2,FALSE()),D136),Hoja1!$A$2:$K$1000,2,FALSE()),IFERROR(VLOOKUP(IFERROR(VLOOKUP(D136,Mapa_Similitud!$A$2:$B$2000,2,FALSE()),D136),Omega3_Referencia!$A$2:$E$100,3,FALSE()),0))</f>
        <v>0</v>
      </c>
      <c r="AW136" s="3" t="str">
        <f>IFERROR(VLOOKUP(IFERROR(VLOOKUP(D136,Mapa_Similitud!$A$2:$B$2000,2,FALSE()),D136),Hoja1!$A$2:$K$1000,3,FALSE()),IFERROR(VLOOKUP(IFERROR(VLOOKUP(D136,Mapa_Similitud!$A$2:$B$2000,2,FALSE()),D136),Omega3_Referencia!$A$2:$E$100,4,FALSE()),"N/A"))</f>
        <v>N/A</v>
      </c>
      <c r="AX136" s="5">
        <f>IFERROR(VLOOKUP(IFERROR(VLOOKUP(D136,Mapa_Similitud!$A$2:$B$2000,2,FALSE()),D136),Hoja1!$A$2:$K$1000,5,FALSE()),0)</f>
        <v>0</v>
      </c>
      <c r="AY136" s="5">
        <f>IFERROR(VLOOKUP(IFERROR(VLOOKUP(D136,Mapa_Similitud!$A$2:$B$2000,2,FALSE()),D136),Hoja1!$A$2:$K$1000,7,FALSE()),0)</f>
        <v>30</v>
      </c>
      <c r="AZ136" s="5">
        <f>IFERROR(VLOOKUP(IFERROR(VLOOKUP(D136,Mapa_Similitud!$A$2:$B$2000,2,FALSE()),D136),Hoja1!$A$2:$K$1000,9,FALSE()),0)</f>
        <v>0</v>
      </c>
      <c r="BA136" s="25">
        <f t="shared" si="58"/>
        <v>1.5139442231075697E-3</v>
      </c>
      <c r="BB136" s="25">
        <f t="shared" si="59"/>
        <v>2.1912350597609563E-3</v>
      </c>
      <c r="BC136" s="25">
        <f t="shared" si="60"/>
        <v>4.7808764940239043E-2</v>
      </c>
      <c r="BD136" s="25">
        <f t="shared" si="61"/>
        <v>8.764940239043825E-4</v>
      </c>
      <c r="BE136" s="25">
        <f t="shared" si="62"/>
        <v>2.7888446215139442E-2</v>
      </c>
      <c r="BF136" s="25">
        <f t="shared" si="63"/>
        <v>0</v>
      </c>
      <c r="BG136" s="25">
        <f t="shared" si="64"/>
        <v>0.75</v>
      </c>
      <c r="BH136" s="25">
        <f t="shared" si="65"/>
        <v>0</v>
      </c>
      <c r="BI136" s="25">
        <f t="shared" si="66"/>
        <v>6.363636363636363E-2</v>
      </c>
      <c r="BJ136" s="25">
        <f t="shared" si="67"/>
        <v>0.98522167487684731</v>
      </c>
      <c r="BK136" s="25">
        <f t="shared" si="68"/>
        <v>9.0311986863711013E-3</v>
      </c>
      <c r="BL136" s="25">
        <f t="shared" si="69"/>
        <v>5.7370517928286855E-3</v>
      </c>
      <c r="BM136" s="25">
        <f t="shared" si="70"/>
        <v>2.8286852589641434E-2</v>
      </c>
      <c r="BN136" s="18" t="str">
        <f t="shared" si="76"/>
        <v>Baja fuente de proteína</v>
      </c>
      <c r="BO136" s="18" t="str">
        <f t="shared" si="77"/>
        <v>Baja fuente de fibra</v>
      </c>
      <c r="BP136" s="18" t="str">
        <f t="shared" si="78"/>
        <v>Baja fuente de calcio</v>
      </c>
      <c r="BQ136" s="18" t="str">
        <f t="shared" si="79"/>
        <v>Baja fuente de hierro</v>
      </c>
      <c r="BR136" s="18" t="str">
        <f t="shared" si="80"/>
        <v>Bajo en sodio</v>
      </c>
      <c r="BS136" s="6" t="str">
        <f t="shared" si="71"/>
        <v>Proinflamatorio</v>
      </c>
      <c r="BT136" s="6" t="str">
        <f t="shared" si="72"/>
        <v>Bajo en grasas</v>
      </c>
      <c r="BU136" s="18" t="str">
        <f t="shared" si="81"/>
        <v>Equilibrio de líquidos ideal</v>
      </c>
      <c r="BV136" s="18" t="str">
        <f t="shared" si="82"/>
        <v>Baja fuente de magnesio</v>
      </c>
      <c r="BW136" s="18" t="str">
        <f t="shared" si="83"/>
        <v>Sin aporte de Omega 3</v>
      </c>
      <c r="BX136" s="18" t="str">
        <f t="shared" si="84"/>
        <v>Libre de grasas trans</v>
      </c>
      <c r="BY136" s="18" t="str">
        <f t="shared" si="85"/>
        <v>Medio poder antioxidante</v>
      </c>
      <c r="BZ136" s="6" t="str">
        <f t="shared" si="73"/>
        <v>Sin probióticos</v>
      </c>
      <c r="CA136" s="18" t="str">
        <f t="shared" si="86"/>
        <v>Altamente inflamatorio</v>
      </c>
      <c r="CB136" s="18" t="str">
        <f>IF(ISNUMBER(SEARCH("miel", D136)), "No irritante (Uso condicionado SII)", IF(OR(J136&gt;0, ISNUMBER(SEARCH("cacao", D136)), ISNUMBER(SEARCH("chocolate puro", D136))), "Altamente irritante", IF(OR(AND(O136&gt;15, BI136&gt;1), ISNUMBER(SEARCH("chocolate", D136))), "Moderadamente irritante", "No irritante")))</f>
        <v>No irritante</v>
      </c>
      <c r="CC136" s="6" t="str">
        <f t="shared" si="74"/>
        <v>Sin Omega 3 para evaluar</v>
      </c>
    </row>
    <row r="137" spans="1:81" ht="15" customHeight="1" x14ac:dyDescent="0.3">
      <c r="A137" s="2">
        <f t="shared" si="75"/>
        <v>136</v>
      </c>
      <c r="B137" s="3" t="s">
        <v>234</v>
      </c>
      <c r="C137" s="3" t="s">
        <v>235</v>
      </c>
      <c r="D137" s="3" t="s">
        <v>242</v>
      </c>
      <c r="E137" s="3"/>
      <c r="F137" s="4">
        <v>2.5</v>
      </c>
      <c r="G137" s="5">
        <v>1</v>
      </c>
      <c r="H137" s="5">
        <v>251</v>
      </c>
      <c r="I137" s="5">
        <v>36.9</v>
      </c>
      <c r="J137" s="5">
        <v>0</v>
      </c>
      <c r="K137" s="5">
        <v>0.31</v>
      </c>
      <c r="L137" s="5">
        <v>59.6</v>
      </c>
      <c r="M137" s="5">
        <v>0</v>
      </c>
      <c r="N137" s="5">
        <v>59.6</v>
      </c>
      <c r="O137" s="5">
        <v>23.8</v>
      </c>
      <c r="P137" s="5">
        <v>2.6</v>
      </c>
      <c r="Q137" s="5">
        <v>0.63</v>
      </c>
      <c r="R137" s="5">
        <v>0.03</v>
      </c>
      <c r="S137" s="5">
        <v>0.33</v>
      </c>
      <c r="T137" s="5">
        <v>0</v>
      </c>
      <c r="U137" s="5">
        <v>0</v>
      </c>
      <c r="V137" s="5">
        <v>21</v>
      </c>
      <c r="W137" s="5">
        <v>0</v>
      </c>
      <c r="X137" s="5">
        <v>126</v>
      </c>
      <c r="Y137" s="5">
        <v>0</v>
      </c>
      <c r="Z137" s="5">
        <v>0</v>
      </c>
      <c r="AA137" s="5">
        <v>0.5</v>
      </c>
      <c r="AB137" s="5">
        <v>0.01</v>
      </c>
      <c r="AC137" s="5">
        <v>0.02</v>
      </c>
      <c r="AD137" s="5">
        <v>1.9</v>
      </c>
      <c r="AE137" s="5">
        <v>0.02</v>
      </c>
      <c r="AF137" s="5">
        <v>33</v>
      </c>
      <c r="AG137" s="5">
        <v>0</v>
      </c>
      <c r="AH137" s="5">
        <v>0.02</v>
      </c>
      <c r="AI137" s="5">
        <v>0</v>
      </c>
      <c r="AJ137" s="5">
        <v>20</v>
      </c>
      <c r="AK137" s="5">
        <v>39</v>
      </c>
      <c r="AL137" s="5">
        <v>8.6</v>
      </c>
      <c r="AM137" s="5">
        <v>1</v>
      </c>
      <c r="AN137" s="5">
        <v>2.7</v>
      </c>
      <c r="AO137" s="5">
        <v>0.1</v>
      </c>
      <c r="AP137" s="5">
        <v>30</v>
      </c>
      <c r="AQ137" s="5">
        <v>10</v>
      </c>
      <c r="AR137" s="5">
        <v>344</v>
      </c>
      <c r="AS137" s="5">
        <v>0.04</v>
      </c>
      <c r="AT137" s="5">
        <v>0.1</v>
      </c>
      <c r="AU137" s="5">
        <v>2</v>
      </c>
      <c r="AV137" s="5">
        <f>IFERROR(VLOOKUP(IFERROR(VLOOKUP(D137,Mapa_Similitud!$A$2:$B$2000,2,FALSE()),D137),Hoja1!$A$2:$K$1000,2,FALSE()),IFERROR(VLOOKUP(IFERROR(VLOOKUP(D137,Mapa_Similitud!$A$2:$B$2000,2,FALSE()),D137),Omega3_Referencia!$A$2:$E$100,3,FALSE()),0))</f>
        <v>0</v>
      </c>
      <c r="AW137" s="3" t="str">
        <f>IFERROR(VLOOKUP(IFERROR(VLOOKUP(D137,Mapa_Similitud!$A$2:$B$2000,2,FALSE()),D137),Hoja1!$A$2:$K$1000,3,FALSE()),IFERROR(VLOOKUP(IFERROR(VLOOKUP(D137,Mapa_Similitud!$A$2:$B$2000,2,FALSE()),D137),Omega3_Referencia!$A$2:$E$100,4,FALSE()),"N/A"))</f>
        <v>N/A</v>
      </c>
      <c r="AX137" s="5">
        <f>IFERROR(VLOOKUP(IFERROR(VLOOKUP(D137,Mapa_Similitud!$A$2:$B$2000,2,FALSE()),D137),Hoja1!$A$2:$K$1000,5,FALSE()),0)</f>
        <v>0</v>
      </c>
      <c r="AY137" s="5">
        <f>IFERROR(VLOOKUP(IFERROR(VLOOKUP(D137,Mapa_Similitud!$A$2:$B$2000,2,FALSE()),D137),Hoja1!$A$2:$K$1000,7,FALSE()),0)</f>
        <v>30</v>
      </c>
      <c r="AZ137" s="5">
        <f>IFERROR(VLOOKUP(IFERROR(VLOOKUP(D137,Mapa_Similitud!$A$2:$B$2000,2,FALSE()),D137),Hoja1!$A$2:$K$1000,9,FALSE()),0)</f>
        <v>0</v>
      </c>
      <c r="BA137" s="25">
        <f t="shared" si="58"/>
        <v>1.2350597609561752E-3</v>
      </c>
      <c r="BB137" s="25">
        <f t="shared" si="59"/>
        <v>1.0358565737051793E-2</v>
      </c>
      <c r="BC137" s="25">
        <f t="shared" si="60"/>
        <v>0.15537848605577689</v>
      </c>
      <c r="BD137" s="25">
        <f t="shared" si="61"/>
        <v>3.9840637450199202E-3</v>
      </c>
      <c r="BE137" s="25">
        <f t="shared" si="62"/>
        <v>3.9840637450199202E-2</v>
      </c>
      <c r="BF137" s="25">
        <f t="shared" si="63"/>
        <v>0</v>
      </c>
      <c r="BG137" s="25">
        <f t="shared" si="64"/>
        <v>4.5348837209302326</v>
      </c>
      <c r="BH137" s="25">
        <f t="shared" si="65"/>
        <v>4.7619047619047616E-2</v>
      </c>
      <c r="BI137" s="25">
        <f t="shared" si="66"/>
        <v>2.9069767441860465E-2</v>
      </c>
      <c r="BJ137" s="25">
        <f t="shared" si="67"/>
        <v>1</v>
      </c>
      <c r="BK137" s="25">
        <f t="shared" si="68"/>
        <v>4.3624161073825503E-2</v>
      </c>
      <c r="BL137" s="25">
        <f t="shared" si="69"/>
        <v>2.2589641434262949E-2</v>
      </c>
      <c r="BM137" s="25">
        <f t="shared" si="70"/>
        <v>0.11952191235059761</v>
      </c>
      <c r="BN137" s="18" t="str">
        <f t="shared" si="76"/>
        <v>Baja fuente de proteína</v>
      </c>
      <c r="BO137" s="18" t="str">
        <f t="shared" si="77"/>
        <v>Baja fuente de fibra</v>
      </c>
      <c r="BP137" s="18" t="str">
        <f t="shared" si="78"/>
        <v>Baja fuente de calcio</v>
      </c>
      <c r="BQ137" s="18" t="str">
        <f t="shared" si="79"/>
        <v>Baja fuente de hierro</v>
      </c>
      <c r="BR137" s="18" t="str">
        <f t="shared" si="80"/>
        <v>Bajo en sodio</v>
      </c>
      <c r="BS137" s="6" t="str">
        <f t="shared" si="71"/>
        <v>Proinflamatorio</v>
      </c>
      <c r="BT137" s="6" t="str">
        <f t="shared" si="72"/>
        <v>Bajo en grasas</v>
      </c>
      <c r="BU137" s="18" t="str">
        <f t="shared" si="81"/>
        <v>Equilibrio de líquidos ideal</v>
      </c>
      <c r="BV137" s="18" t="str">
        <f t="shared" si="82"/>
        <v>Baja fuente de magnesio</v>
      </c>
      <c r="BW137" s="18" t="str">
        <f t="shared" si="83"/>
        <v>Sin aporte de Omega 3</v>
      </c>
      <c r="BX137" s="18" t="str">
        <f t="shared" si="84"/>
        <v>Libre de grasas trans</v>
      </c>
      <c r="BY137" s="18" t="str">
        <f t="shared" si="85"/>
        <v>Medio poder antioxidante</v>
      </c>
      <c r="BZ137" s="6" t="str">
        <f t="shared" si="73"/>
        <v>Sin probióticos</v>
      </c>
      <c r="CA137" s="18" t="str">
        <f t="shared" si="86"/>
        <v>Altamente inflamatorio</v>
      </c>
      <c r="CB137" s="18" t="str">
        <f>IF(ISNUMBER(SEARCH("miel", D137)), "No irritante (Uso condicionado SII)", IF(OR(J137&gt;0, ISNUMBER(SEARCH("cacao", D137)), ISNUMBER(SEARCH("chocolate puro", D137))), "Altamente irritante", IF(OR(AND(O137&gt;15, BI137&gt;1), ISNUMBER(SEARCH("chocolate", D137))), "Moderadamente irritante", "No irritante")))</f>
        <v>No irritante</v>
      </c>
      <c r="CC137" s="6" t="str">
        <f t="shared" si="74"/>
        <v>Sin Omega 3 para evaluar</v>
      </c>
    </row>
    <row r="138" spans="1:81" ht="15" customHeight="1" x14ac:dyDescent="0.3">
      <c r="A138" s="2">
        <f t="shared" si="75"/>
        <v>137</v>
      </c>
      <c r="B138" s="3" t="s">
        <v>234</v>
      </c>
      <c r="C138" s="3" t="s">
        <v>235</v>
      </c>
      <c r="D138" s="3" t="s">
        <v>243</v>
      </c>
      <c r="E138" s="3"/>
      <c r="F138" s="4">
        <v>3.5</v>
      </c>
      <c r="G138" s="5">
        <v>1</v>
      </c>
      <c r="H138" s="5">
        <v>251</v>
      </c>
      <c r="I138" s="5">
        <v>37.200000000000003</v>
      </c>
      <c r="J138" s="5">
        <v>0</v>
      </c>
      <c r="K138" s="5">
        <v>0.45</v>
      </c>
      <c r="L138" s="5">
        <v>60.9</v>
      </c>
      <c r="M138" s="5">
        <v>0</v>
      </c>
      <c r="N138" s="5">
        <v>60.9</v>
      </c>
      <c r="O138" s="5">
        <v>24.4</v>
      </c>
      <c r="P138" s="5">
        <v>1.2</v>
      </c>
      <c r="Q138" s="5">
        <v>0.3</v>
      </c>
      <c r="R138" s="5">
        <v>1.4999999999999999E-2</v>
      </c>
      <c r="S138" s="5">
        <v>0.17</v>
      </c>
      <c r="T138" s="5">
        <v>0</v>
      </c>
      <c r="U138" s="5">
        <v>0</v>
      </c>
      <c r="V138" s="5">
        <v>10</v>
      </c>
      <c r="W138" s="5">
        <v>0</v>
      </c>
      <c r="X138" s="5">
        <v>60</v>
      </c>
      <c r="Y138" s="5">
        <v>0</v>
      </c>
      <c r="Z138" s="5">
        <v>0.16</v>
      </c>
      <c r="AA138" s="5">
        <v>0.5</v>
      </c>
      <c r="AB138" s="5">
        <v>8.9999999999999993E-3</v>
      </c>
      <c r="AC138" s="5">
        <v>1.4999999999999999E-2</v>
      </c>
      <c r="AD138" s="5">
        <v>0.1</v>
      </c>
      <c r="AE138" s="5">
        <v>0.02</v>
      </c>
      <c r="AF138" s="5">
        <v>30</v>
      </c>
      <c r="AG138" s="5">
        <v>0</v>
      </c>
      <c r="AH138" s="5">
        <v>0.02</v>
      </c>
      <c r="AI138" s="5">
        <v>0</v>
      </c>
      <c r="AJ138" s="5">
        <v>2.7</v>
      </c>
      <c r="AK138" s="5">
        <v>20</v>
      </c>
      <c r="AL138" s="5">
        <v>16</v>
      </c>
      <c r="AM138" s="5">
        <v>0.49</v>
      </c>
      <c r="AN138" s="5">
        <v>2.7</v>
      </c>
      <c r="AO138" s="5">
        <v>0.06</v>
      </c>
      <c r="AP138" s="5">
        <v>4</v>
      </c>
      <c r="AQ138" s="5">
        <v>7</v>
      </c>
      <c r="AR138" s="5">
        <v>56</v>
      </c>
      <c r="AS138" s="5">
        <v>0.04</v>
      </c>
      <c r="AT138" s="5">
        <v>0.1</v>
      </c>
      <c r="AU138" s="5">
        <v>2</v>
      </c>
      <c r="AV138" s="5">
        <f>IFERROR(VLOOKUP(IFERROR(VLOOKUP(D138,Mapa_Similitud!$A$2:$B$2000,2,FALSE()),D138),Hoja1!$A$2:$K$1000,2,FALSE()),IFERROR(VLOOKUP(IFERROR(VLOOKUP(D138,Mapa_Similitud!$A$2:$B$2000,2,FALSE()),D138),Omega3_Referencia!$A$2:$E$100,3,FALSE()),0))</f>
        <v>0</v>
      </c>
      <c r="AW138" s="3" t="str">
        <f>IFERROR(VLOOKUP(IFERROR(VLOOKUP(D138,Mapa_Similitud!$A$2:$B$2000,2,FALSE()),D138),Hoja1!$A$2:$K$1000,3,FALSE()),IFERROR(VLOOKUP(IFERROR(VLOOKUP(D138,Mapa_Similitud!$A$2:$B$2000,2,FALSE()),D138),Omega3_Referencia!$A$2:$E$100,4,FALSE()),"N/A"))</f>
        <v>N/A</v>
      </c>
      <c r="AX138" s="5">
        <f>IFERROR(VLOOKUP(IFERROR(VLOOKUP(D138,Mapa_Similitud!$A$2:$B$2000,2,FALSE()),D138),Hoja1!$A$2:$K$1000,5,FALSE()),0)</f>
        <v>0</v>
      </c>
      <c r="AY138" s="5">
        <f>IFERROR(VLOOKUP(IFERROR(VLOOKUP(D138,Mapa_Similitud!$A$2:$B$2000,2,FALSE()),D138),Hoja1!$A$2:$K$1000,7,FALSE()),0)</f>
        <v>30</v>
      </c>
      <c r="AZ138" s="5">
        <f>IFERROR(VLOOKUP(IFERROR(VLOOKUP(D138,Mapa_Similitud!$A$2:$B$2000,2,FALSE()),D138),Hoja1!$A$2:$K$1000,9,FALSE()),0)</f>
        <v>0</v>
      </c>
      <c r="BA138" s="25">
        <f t="shared" si="58"/>
        <v>1.7928286852589642E-3</v>
      </c>
      <c r="BB138" s="25">
        <f t="shared" si="59"/>
        <v>4.7808764940239041E-3</v>
      </c>
      <c r="BC138" s="25">
        <f t="shared" si="60"/>
        <v>7.9681274900398405E-2</v>
      </c>
      <c r="BD138" s="25">
        <f t="shared" si="61"/>
        <v>1.952191235059761E-3</v>
      </c>
      <c r="BE138" s="25">
        <f t="shared" si="62"/>
        <v>2.7888446215139442E-2</v>
      </c>
      <c r="BF138" s="25">
        <f t="shared" si="63"/>
        <v>0</v>
      </c>
      <c r="BG138" s="25">
        <f t="shared" si="64"/>
        <v>1.25</v>
      </c>
      <c r="BH138" s="25">
        <f t="shared" si="65"/>
        <v>0.05</v>
      </c>
      <c r="BI138" s="25">
        <f t="shared" si="66"/>
        <v>0.125</v>
      </c>
      <c r="BJ138" s="25">
        <f t="shared" si="67"/>
        <v>1</v>
      </c>
      <c r="BK138" s="25">
        <f t="shared" si="68"/>
        <v>1.9704433497536946E-2</v>
      </c>
      <c r="BL138" s="25">
        <f t="shared" si="69"/>
        <v>1.0756972111553784E-2</v>
      </c>
      <c r="BM138" s="25">
        <f t="shared" si="70"/>
        <v>1.5936254980079681E-2</v>
      </c>
      <c r="BN138" s="18" t="str">
        <f t="shared" si="76"/>
        <v>Baja fuente de proteína</v>
      </c>
      <c r="BO138" s="18" t="str">
        <f t="shared" si="77"/>
        <v>Baja fuente de fibra</v>
      </c>
      <c r="BP138" s="18" t="str">
        <f t="shared" si="78"/>
        <v>Baja fuente de calcio</v>
      </c>
      <c r="BQ138" s="18" t="str">
        <f t="shared" si="79"/>
        <v>Baja fuente de hierro</v>
      </c>
      <c r="BR138" s="18" t="str">
        <f t="shared" si="80"/>
        <v>Bajo en sodio</v>
      </c>
      <c r="BS138" s="6" t="str">
        <f t="shared" si="71"/>
        <v>Proinflamatorio</v>
      </c>
      <c r="BT138" s="6" t="str">
        <f t="shared" si="72"/>
        <v>Bajo en grasas</v>
      </c>
      <c r="BU138" s="18" t="str">
        <f t="shared" si="81"/>
        <v>Equilibrio de líquidos ideal</v>
      </c>
      <c r="BV138" s="18" t="str">
        <f t="shared" si="82"/>
        <v>Baja fuente de magnesio</v>
      </c>
      <c r="BW138" s="18" t="str">
        <f t="shared" si="83"/>
        <v>Sin aporte de Omega 3</v>
      </c>
      <c r="BX138" s="18" t="str">
        <f t="shared" si="84"/>
        <v>Libre de grasas trans</v>
      </c>
      <c r="BY138" s="18" t="str">
        <f t="shared" si="85"/>
        <v>Medio poder antioxidante</v>
      </c>
      <c r="BZ138" s="6" t="str">
        <f t="shared" si="73"/>
        <v>Sin probióticos</v>
      </c>
      <c r="CA138" s="18" t="str">
        <f t="shared" si="86"/>
        <v>Altamente inflamatorio</v>
      </c>
      <c r="CB138" s="18" t="str">
        <f>IF(ISNUMBER(SEARCH("miel", D138)), "No irritante (Uso condicionado SII)", IF(OR(J138&gt;0, ISNUMBER(SEARCH("cacao", D138)), ISNUMBER(SEARCH("chocolate puro", D138))), "Altamente irritante", IF(OR(AND(O138&gt;15, BI138&gt;1), ISNUMBER(SEARCH("chocolate", D138))), "Moderadamente irritante", "No irritante")))</f>
        <v>No irritante</v>
      </c>
      <c r="CC138" s="6" t="str">
        <f t="shared" si="74"/>
        <v>Sin Omega 3 para evaluar</v>
      </c>
    </row>
    <row r="139" spans="1:81" ht="15" customHeight="1" x14ac:dyDescent="0.3">
      <c r="A139" s="2">
        <f t="shared" si="75"/>
        <v>138</v>
      </c>
      <c r="B139" s="3" t="s">
        <v>234</v>
      </c>
      <c r="C139" s="3" t="s">
        <v>235</v>
      </c>
      <c r="D139" s="3" t="s">
        <v>244</v>
      </c>
      <c r="E139" s="3"/>
      <c r="F139" s="4">
        <v>2</v>
      </c>
      <c r="G139" s="5">
        <v>1</v>
      </c>
      <c r="H139" s="5">
        <v>255</v>
      </c>
      <c r="I139" s="5">
        <v>36.1</v>
      </c>
      <c r="J139" s="5">
        <v>0</v>
      </c>
      <c r="K139" s="5">
        <v>0.31</v>
      </c>
      <c r="L139" s="5">
        <v>62.6</v>
      </c>
      <c r="M139" s="5">
        <v>0</v>
      </c>
      <c r="N139" s="5">
        <v>62.6</v>
      </c>
      <c r="O139" s="5">
        <v>25</v>
      </c>
      <c r="P139" s="5">
        <v>0.8</v>
      </c>
      <c r="Q139" s="5">
        <v>0.2</v>
      </c>
      <c r="R139" s="5">
        <v>0.01</v>
      </c>
      <c r="S139" s="5">
        <v>0.11</v>
      </c>
      <c r="T139" s="5">
        <v>0</v>
      </c>
      <c r="U139" s="5">
        <v>0</v>
      </c>
      <c r="V139" s="5">
        <v>10</v>
      </c>
      <c r="W139" s="5">
        <v>0</v>
      </c>
      <c r="X139" s="5">
        <v>60</v>
      </c>
      <c r="Y139" s="5">
        <v>0</v>
      </c>
      <c r="Z139" s="5">
        <v>0.16</v>
      </c>
      <c r="AA139" s="5">
        <v>0.5</v>
      </c>
      <c r="AB139" s="5">
        <v>0.01</v>
      </c>
      <c r="AC139" s="5">
        <v>1.4E-2</v>
      </c>
      <c r="AD139" s="5">
        <v>0.1</v>
      </c>
      <c r="AE139" s="5">
        <v>0.02</v>
      </c>
      <c r="AF139" s="5">
        <v>50.9</v>
      </c>
      <c r="AG139" s="5">
        <v>0</v>
      </c>
      <c r="AH139" s="5">
        <v>0.02</v>
      </c>
      <c r="AI139" s="5">
        <v>0</v>
      </c>
      <c r="AJ139" s="5">
        <v>49.2</v>
      </c>
      <c r="AK139" s="5">
        <v>20</v>
      </c>
      <c r="AL139" s="5">
        <v>10</v>
      </c>
      <c r="AM139" s="5">
        <v>0.49</v>
      </c>
      <c r="AN139" s="5">
        <v>2.7</v>
      </c>
      <c r="AO139" s="5">
        <v>0.06</v>
      </c>
      <c r="AP139" s="5">
        <v>4</v>
      </c>
      <c r="AQ139" s="5">
        <v>5</v>
      </c>
      <c r="AR139" s="5">
        <v>59</v>
      </c>
      <c r="AS139" s="5">
        <v>0.04</v>
      </c>
      <c r="AT139" s="5">
        <v>0.1</v>
      </c>
      <c r="AU139" s="5">
        <v>2</v>
      </c>
      <c r="AV139" s="5">
        <f>IFERROR(VLOOKUP(IFERROR(VLOOKUP(D139,Mapa_Similitud!$A$2:$B$2000,2,FALSE()),D139),Hoja1!$A$2:$K$1000,2,FALSE()),IFERROR(VLOOKUP(IFERROR(VLOOKUP(D139,Mapa_Similitud!$A$2:$B$2000,2,FALSE()),D139),Omega3_Referencia!$A$2:$E$100,3,FALSE()),0))</f>
        <v>0</v>
      </c>
      <c r="AW139" s="3" t="str">
        <f>IFERROR(VLOOKUP(IFERROR(VLOOKUP(D139,Mapa_Similitud!$A$2:$B$2000,2,FALSE()),D139),Hoja1!$A$2:$K$1000,3,FALSE()),IFERROR(VLOOKUP(IFERROR(VLOOKUP(D139,Mapa_Similitud!$A$2:$B$2000,2,FALSE()),D139),Omega3_Referencia!$A$2:$E$100,4,FALSE()),"N/A"))</f>
        <v>N/A</v>
      </c>
      <c r="AX139" s="5">
        <f>IFERROR(VLOOKUP(IFERROR(VLOOKUP(D139,Mapa_Similitud!$A$2:$B$2000,2,FALSE()),D139),Hoja1!$A$2:$K$1000,5,FALSE()),0)</f>
        <v>0</v>
      </c>
      <c r="AY139" s="5">
        <f>IFERROR(VLOOKUP(IFERROR(VLOOKUP(D139,Mapa_Similitud!$A$2:$B$2000,2,FALSE()),D139),Hoja1!$A$2:$K$1000,7,FALSE()),0)</f>
        <v>30</v>
      </c>
      <c r="AZ139" s="5">
        <f>IFERROR(VLOOKUP(IFERROR(VLOOKUP(D139,Mapa_Similitud!$A$2:$B$2000,2,FALSE()),D139),Hoja1!$A$2:$K$1000,9,FALSE()),0)</f>
        <v>0</v>
      </c>
      <c r="BA139" s="25">
        <f t="shared" si="58"/>
        <v>1.2156862745098039E-3</v>
      </c>
      <c r="BB139" s="25">
        <f t="shared" si="59"/>
        <v>3.1372549019607846E-3</v>
      </c>
      <c r="BC139" s="25">
        <f t="shared" si="60"/>
        <v>7.8431372549019607E-2</v>
      </c>
      <c r="BD139" s="25">
        <f t="shared" si="61"/>
        <v>1.9215686274509803E-3</v>
      </c>
      <c r="BE139" s="25">
        <f t="shared" si="62"/>
        <v>1.9607843137254902E-2</v>
      </c>
      <c r="BF139" s="25">
        <f t="shared" si="63"/>
        <v>0</v>
      </c>
      <c r="BG139" s="25">
        <f t="shared" si="64"/>
        <v>2</v>
      </c>
      <c r="BH139" s="25">
        <f t="shared" si="65"/>
        <v>4.9999999999999996E-2</v>
      </c>
      <c r="BI139" s="25">
        <f t="shared" si="66"/>
        <v>8.4745762711864403E-2</v>
      </c>
      <c r="BJ139" s="25">
        <f t="shared" si="67"/>
        <v>1</v>
      </c>
      <c r="BK139" s="25">
        <f t="shared" si="68"/>
        <v>1.2779552715654953E-2</v>
      </c>
      <c r="BL139" s="25">
        <f t="shared" si="69"/>
        <v>7.058823529411765E-3</v>
      </c>
      <c r="BM139" s="25">
        <f t="shared" si="70"/>
        <v>1.5686274509803921E-2</v>
      </c>
      <c r="BN139" s="18" t="str">
        <f t="shared" si="76"/>
        <v>Baja fuente de proteína</v>
      </c>
      <c r="BO139" s="18" t="str">
        <f t="shared" si="77"/>
        <v>Baja fuente de fibra</v>
      </c>
      <c r="BP139" s="18" t="str">
        <f t="shared" si="78"/>
        <v>Baja fuente de calcio</v>
      </c>
      <c r="BQ139" s="18" t="str">
        <f t="shared" si="79"/>
        <v>Baja fuente de hierro</v>
      </c>
      <c r="BR139" s="18" t="str">
        <f t="shared" si="80"/>
        <v>Bajo en sodio</v>
      </c>
      <c r="BS139" s="6" t="str">
        <f t="shared" si="71"/>
        <v>Proinflamatorio</v>
      </c>
      <c r="BT139" s="6" t="str">
        <f t="shared" si="72"/>
        <v>Bajo en grasas</v>
      </c>
      <c r="BU139" s="18" t="str">
        <f t="shared" si="81"/>
        <v>Equilibrio de líquidos ideal</v>
      </c>
      <c r="BV139" s="18" t="str">
        <f t="shared" si="82"/>
        <v>Baja fuente de magnesio</v>
      </c>
      <c r="BW139" s="18" t="str">
        <f t="shared" si="83"/>
        <v>Sin aporte de Omega 3</v>
      </c>
      <c r="BX139" s="18" t="str">
        <f t="shared" si="84"/>
        <v>Libre de grasas trans</v>
      </c>
      <c r="BY139" s="18" t="str">
        <f t="shared" si="85"/>
        <v>Medio poder antioxidante</v>
      </c>
      <c r="BZ139" s="6" t="str">
        <f t="shared" si="73"/>
        <v>Sin probióticos</v>
      </c>
      <c r="CA139" s="18" t="str">
        <f t="shared" si="86"/>
        <v>Altamente inflamatorio</v>
      </c>
      <c r="CB139" s="18" t="str">
        <f>IF(ISNUMBER(SEARCH("miel", D139)), "No irritante (Uso condicionado SII)", IF(OR(J139&gt;0, ISNUMBER(SEARCH("cacao", D139)), ISNUMBER(SEARCH("chocolate puro", D139))), "Altamente irritante", IF(OR(AND(O139&gt;15, BI139&gt;1), ISNUMBER(SEARCH("chocolate", D139))), "Moderadamente irritante", "No irritante")))</f>
        <v>No irritante</v>
      </c>
      <c r="CC139" s="6" t="str">
        <f t="shared" si="74"/>
        <v>Sin Omega 3 para evaluar</v>
      </c>
    </row>
    <row r="140" spans="1:81" ht="15" customHeight="1" x14ac:dyDescent="0.3">
      <c r="A140" s="2">
        <f t="shared" si="75"/>
        <v>139</v>
      </c>
      <c r="B140" s="3" t="s">
        <v>234</v>
      </c>
      <c r="C140" s="3" t="s">
        <v>235</v>
      </c>
      <c r="D140" s="3" t="s">
        <v>245</v>
      </c>
      <c r="E140" s="3"/>
      <c r="F140" s="4">
        <v>3</v>
      </c>
      <c r="G140" s="5">
        <v>1</v>
      </c>
      <c r="H140" s="5">
        <v>33</v>
      </c>
      <c r="I140" s="5">
        <v>90.6</v>
      </c>
      <c r="J140" s="5">
        <v>0</v>
      </c>
      <c r="K140" s="5">
        <v>0.7</v>
      </c>
      <c r="L140" s="5">
        <v>6.4</v>
      </c>
      <c r="M140" s="5">
        <v>0</v>
      </c>
      <c r="N140" s="5">
        <v>6.4</v>
      </c>
      <c r="O140" s="5">
        <v>2.6</v>
      </c>
      <c r="P140" s="5">
        <v>2.2999999999999998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0.16</v>
      </c>
      <c r="AA140" s="5">
        <v>0</v>
      </c>
      <c r="AB140" s="5">
        <v>0.02</v>
      </c>
      <c r="AC140" s="5">
        <v>0.02</v>
      </c>
      <c r="AD140" s="5">
        <v>0.1</v>
      </c>
      <c r="AE140" s="5">
        <v>0.05</v>
      </c>
      <c r="AF140" s="5">
        <v>50.9</v>
      </c>
      <c r="AG140" s="5">
        <v>0</v>
      </c>
      <c r="AH140" s="5">
        <v>0.02</v>
      </c>
      <c r="AI140" s="5">
        <v>0</v>
      </c>
      <c r="AJ140" s="5">
        <v>49.2</v>
      </c>
      <c r="AK140" s="5">
        <v>20.6</v>
      </c>
      <c r="AL140" s="5">
        <v>21.3</v>
      </c>
      <c r="AM140" s="5">
        <v>0.56999999999999995</v>
      </c>
      <c r="AN140" s="5">
        <v>2.7</v>
      </c>
      <c r="AO140" s="5">
        <v>7.0000000000000007E-2</v>
      </c>
      <c r="AP140" s="5">
        <v>10.7</v>
      </c>
      <c r="AQ140" s="5">
        <v>47</v>
      </c>
      <c r="AR140" s="5">
        <v>123</v>
      </c>
      <c r="AS140" s="5">
        <v>0.04</v>
      </c>
      <c r="AT140" s="5">
        <v>0.1</v>
      </c>
      <c r="AU140" s="5">
        <v>2</v>
      </c>
      <c r="AV140" s="5">
        <f>IFERROR(VLOOKUP(IFERROR(VLOOKUP(D140,Mapa_Similitud!$A$2:$B$2000,2,FALSE()),D140),Hoja1!$A$2:$K$1000,2,FALSE()),IFERROR(VLOOKUP(IFERROR(VLOOKUP(D140,Mapa_Similitud!$A$2:$B$2000,2,FALSE()),D140),Omega3_Referencia!$A$2:$E$100,3,FALSE()),0))</f>
        <v>0</v>
      </c>
      <c r="AW140" s="3" t="str">
        <f>IFERROR(VLOOKUP(IFERROR(VLOOKUP(D140,Mapa_Similitud!$A$2:$B$2000,2,FALSE()),D140),Hoja1!$A$2:$K$1000,3,FALSE()),IFERROR(VLOOKUP(IFERROR(VLOOKUP(D140,Mapa_Similitud!$A$2:$B$2000,2,FALSE()),D140),Omega3_Referencia!$A$2:$E$100,4,FALSE()),"N/A"))</f>
        <v>N/A</v>
      </c>
      <c r="AX140" s="5">
        <f>IFERROR(VLOOKUP(IFERROR(VLOOKUP(D140,Mapa_Similitud!$A$2:$B$2000,2,FALSE()),D140),Hoja1!$A$2:$K$1000,5,FALSE()),0)</f>
        <v>0</v>
      </c>
      <c r="AY140" s="5">
        <f>IFERROR(VLOOKUP(IFERROR(VLOOKUP(D140,Mapa_Similitud!$A$2:$B$2000,2,FALSE()),D140),Hoja1!$A$2:$K$1000,7,FALSE()),0)</f>
        <v>30</v>
      </c>
      <c r="AZ140" s="5">
        <f>IFERROR(VLOOKUP(IFERROR(VLOOKUP(D140,Mapa_Similitud!$A$2:$B$2000,2,FALSE()),D140),Hoja1!$A$2:$K$1000,9,FALSE()),0)</f>
        <v>0</v>
      </c>
      <c r="BA140" s="25">
        <f t="shared" si="58"/>
        <v>2.121212121212121E-2</v>
      </c>
      <c r="BB140" s="25">
        <f t="shared" si="59"/>
        <v>6.9696969696969688E-2</v>
      </c>
      <c r="BC140" s="25">
        <f t="shared" si="60"/>
        <v>0.62424242424242427</v>
      </c>
      <c r="BD140" s="25">
        <f t="shared" si="61"/>
        <v>1.7272727272727273E-2</v>
      </c>
      <c r="BE140" s="25">
        <f t="shared" si="62"/>
        <v>1.4242424242424243</v>
      </c>
      <c r="BF140" s="25">
        <f t="shared" si="63"/>
        <v>0</v>
      </c>
      <c r="BG140" s="25">
        <f t="shared" si="64"/>
        <v>0.96713615023474186</v>
      </c>
      <c r="BH140" s="25">
        <f t="shared" si="65"/>
        <v>0</v>
      </c>
      <c r="BI140" s="25">
        <f t="shared" si="66"/>
        <v>0.38211382113821141</v>
      </c>
      <c r="BJ140" s="25">
        <f t="shared" si="67"/>
        <v>1</v>
      </c>
      <c r="BK140" s="25">
        <f t="shared" si="68"/>
        <v>0.35937499999999994</v>
      </c>
      <c r="BL140" s="25">
        <f t="shared" si="69"/>
        <v>0</v>
      </c>
      <c r="BM140" s="25">
        <f t="shared" si="70"/>
        <v>0.32424242424242422</v>
      </c>
      <c r="BN140" s="18" t="str">
        <f t="shared" si="76"/>
        <v>Baja fuente de proteína</v>
      </c>
      <c r="BO140" s="18" t="str">
        <f t="shared" si="77"/>
        <v>Alta fuente de fibra</v>
      </c>
      <c r="BP140" s="18" t="str">
        <f t="shared" si="78"/>
        <v>Baja fuente de calcio</v>
      </c>
      <c r="BQ140" s="18" t="str">
        <f t="shared" si="79"/>
        <v>Alta fuente de hierro</v>
      </c>
      <c r="BR140" s="18" t="str">
        <f t="shared" si="80"/>
        <v>Alto en sodio</v>
      </c>
      <c r="BS140" s="6" t="str">
        <f t="shared" si="71"/>
        <v>Proinflamatorio</v>
      </c>
      <c r="BT140" s="6" t="str">
        <f t="shared" si="72"/>
        <v>Bajo en grasas</v>
      </c>
      <c r="BU140" s="18" t="str">
        <f t="shared" si="81"/>
        <v>Equilibrio de líquidos ideal</v>
      </c>
      <c r="BV140" s="18" t="str">
        <f t="shared" si="82"/>
        <v>Media fuente de magnesio</v>
      </c>
      <c r="BW140" s="18" t="str">
        <f t="shared" si="83"/>
        <v>Sin aporte de Omega 3</v>
      </c>
      <c r="BX140" s="18" t="str">
        <f t="shared" si="84"/>
        <v>Libre de grasas trans</v>
      </c>
      <c r="BY140" s="18" t="str">
        <f t="shared" si="85"/>
        <v>Medio poder antioxidante</v>
      </c>
      <c r="BZ140" s="6" t="str">
        <f t="shared" si="73"/>
        <v>Sin probióticos</v>
      </c>
      <c r="CA140" s="18" t="str">
        <f t="shared" si="86"/>
        <v>Poco inflamatorio</v>
      </c>
      <c r="CB140" s="18" t="str">
        <f>IF(ISNUMBER(SEARCH("miel", D140)), "No irritante (Uso condicionado SII)", IF(OR(J140&gt;0, ISNUMBER(SEARCH("cacao", D140)), ISNUMBER(SEARCH("chocolate puro", D140))), "Altamente irritante", IF(OR(AND(O140&gt;15, BI140&gt;1), ISNUMBER(SEARCH("chocolate", D140))), "Moderadamente irritante", "No irritante")))</f>
        <v>No irritante</v>
      </c>
      <c r="CC140" s="6" t="str">
        <f t="shared" si="74"/>
        <v>Sin Omega 3 para evaluar</v>
      </c>
    </row>
    <row r="141" spans="1:81" ht="15" customHeight="1" x14ac:dyDescent="0.3">
      <c r="A141" s="2">
        <f t="shared" si="75"/>
        <v>140</v>
      </c>
      <c r="B141" s="3" t="s">
        <v>234</v>
      </c>
      <c r="C141" s="3" t="s">
        <v>235</v>
      </c>
      <c r="D141" s="3" t="s">
        <v>246</v>
      </c>
      <c r="E141" s="3"/>
      <c r="F141" s="4">
        <v>2.5</v>
      </c>
      <c r="G141" s="5">
        <v>1</v>
      </c>
      <c r="H141" s="5">
        <v>239</v>
      </c>
      <c r="I141" s="5">
        <v>40.799999999999997</v>
      </c>
      <c r="J141" s="5">
        <v>0</v>
      </c>
      <c r="K141" s="5">
        <v>0.5</v>
      </c>
      <c r="L141" s="5">
        <v>58.7</v>
      </c>
      <c r="M141" s="5">
        <v>6.7</v>
      </c>
      <c r="N141" s="5">
        <v>52</v>
      </c>
      <c r="O141" s="5">
        <v>23.5</v>
      </c>
      <c r="P141" s="5">
        <v>1.1000000000000001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20.399999999999999</v>
      </c>
      <c r="W141" s="5">
        <v>0</v>
      </c>
      <c r="X141" s="5">
        <v>123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14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f>IFERROR(VLOOKUP(IFERROR(VLOOKUP(D141,Mapa_Similitud!$A$2:$B$2000,2,FALSE()),D141),Hoja1!$A$2:$K$1000,2,FALSE()),IFERROR(VLOOKUP(IFERROR(VLOOKUP(D141,Mapa_Similitud!$A$2:$B$2000,2,FALSE()),D141),Omega3_Referencia!$A$2:$E$100,3,FALSE()),0))</f>
        <v>0</v>
      </c>
      <c r="AW141" s="3" t="str">
        <f>IFERROR(VLOOKUP(IFERROR(VLOOKUP(D141,Mapa_Similitud!$A$2:$B$2000,2,FALSE()),D141),Hoja1!$A$2:$K$1000,3,FALSE()),IFERROR(VLOOKUP(IFERROR(VLOOKUP(D141,Mapa_Similitud!$A$2:$B$2000,2,FALSE()),D141),Omega3_Referencia!$A$2:$E$100,4,FALSE()),"N/A"))</f>
        <v>N/A</v>
      </c>
      <c r="AX141" s="5">
        <f>IFERROR(VLOOKUP(IFERROR(VLOOKUP(D141,Mapa_Similitud!$A$2:$B$2000,2,FALSE()),D141),Hoja1!$A$2:$K$1000,5,FALSE()),0)</f>
        <v>0</v>
      </c>
      <c r="AY141" s="5">
        <f>IFERROR(VLOOKUP(IFERROR(VLOOKUP(D141,Mapa_Similitud!$A$2:$B$2000,2,FALSE()),D141),Hoja1!$A$2:$K$1000,7,FALSE()),0)</f>
        <v>30</v>
      </c>
      <c r="AZ141" s="5">
        <f>IFERROR(VLOOKUP(IFERROR(VLOOKUP(D141,Mapa_Similitud!$A$2:$B$2000,2,FALSE()),D141),Hoja1!$A$2:$K$1000,9,FALSE()),0)</f>
        <v>0</v>
      </c>
      <c r="BA141" s="25">
        <f t="shared" si="58"/>
        <v>2.0920502092050207E-3</v>
      </c>
      <c r="BB141" s="25">
        <f t="shared" si="59"/>
        <v>4.6025104602510462E-3</v>
      </c>
      <c r="BC141" s="25">
        <f t="shared" si="60"/>
        <v>0</v>
      </c>
      <c r="BD141" s="25">
        <f t="shared" si="61"/>
        <v>0</v>
      </c>
      <c r="BE141" s="25">
        <f t="shared" si="62"/>
        <v>0</v>
      </c>
      <c r="BF141" s="25">
        <f t="shared" si="63"/>
        <v>0</v>
      </c>
      <c r="BG141" s="25">
        <f t="shared" si="64"/>
        <v>0</v>
      </c>
      <c r="BH141" s="25">
        <f t="shared" si="65"/>
        <v>0</v>
      </c>
      <c r="BI141" s="25">
        <f t="shared" si="66"/>
        <v>0</v>
      </c>
      <c r="BJ141" s="25">
        <f t="shared" si="67"/>
        <v>0.88586030664395221</v>
      </c>
      <c r="BK141" s="25">
        <f t="shared" si="68"/>
        <v>1.8739352640545145E-2</v>
      </c>
      <c r="BL141" s="25">
        <f t="shared" si="69"/>
        <v>0</v>
      </c>
      <c r="BM141" s="25">
        <f t="shared" si="70"/>
        <v>0</v>
      </c>
      <c r="BN141" s="18" t="str">
        <f t="shared" si="76"/>
        <v>Baja fuente de proteína</v>
      </c>
      <c r="BO141" s="18" t="str">
        <f t="shared" si="77"/>
        <v>Baja fuente de fibra</v>
      </c>
      <c r="BP141" s="18" t="str">
        <f t="shared" si="78"/>
        <v>Baja fuente de calcio</v>
      </c>
      <c r="BQ141" s="18" t="str">
        <f t="shared" si="79"/>
        <v>Baja fuente de hierro</v>
      </c>
      <c r="BR141" s="18" t="str">
        <f t="shared" si="80"/>
        <v>Bajo en sodio</v>
      </c>
      <c r="BS141" s="6" t="str">
        <f t="shared" si="71"/>
        <v>Proinflamatorio</v>
      </c>
      <c r="BT141" s="6" t="str">
        <f t="shared" si="72"/>
        <v>Bajo en grasas</v>
      </c>
      <c r="BU141" s="18" t="str">
        <f t="shared" si="81"/>
        <v>Equilibrio de líquidos ideal</v>
      </c>
      <c r="BV141" s="18" t="str">
        <f t="shared" si="82"/>
        <v>Baja fuente de magnesio</v>
      </c>
      <c r="BW141" s="18" t="str">
        <f t="shared" si="83"/>
        <v>Sin aporte de Omega 3</v>
      </c>
      <c r="BX141" s="18" t="str">
        <f t="shared" si="84"/>
        <v>Libre de grasas trans</v>
      </c>
      <c r="BY141" s="18" t="str">
        <f t="shared" si="85"/>
        <v>Medio poder antioxidante</v>
      </c>
      <c r="BZ141" s="6" t="str">
        <f t="shared" si="73"/>
        <v>Sin probióticos</v>
      </c>
      <c r="CA141" s="18" t="str">
        <f t="shared" si="86"/>
        <v>Altamente inflamatorio</v>
      </c>
      <c r="CB141" s="18" t="str">
        <f>IF(ISNUMBER(SEARCH("miel", D141)), "No irritante (Uso condicionado SII)", IF(OR(J141&gt;0, ISNUMBER(SEARCH("cacao", D141)), ISNUMBER(SEARCH("chocolate puro", D141))), "Altamente irritante", IF(OR(AND(O141&gt;15, BI141&gt;1), ISNUMBER(SEARCH("chocolate", D141))), "Moderadamente irritante", "No irritante")))</f>
        <v>No irritante</v>
      </c>
      <c r="CC141" s="6" t="str">
        <f t="shared" si="74"/>
        <v>Sin Omega 3 para evaluar</v>
      </c>
    </row>
    <row r="142" spans="1:81" ht="15" customHeight="1" x14ac:dyDescent="0.3">
      <c r="A142" s="2">
        <f t="shared" si="75"/>
        <v>141</v>
      </c>
      <c r="B142" s="3" t="s">
        <v>234</v>
      </c>
      <c r="C142" s="3" t="s">
        <v>235</v>
      </c>
      <c r="D142" s="3" t="s">
        <v>247</v>
      </c>
      <c r="E142" s="3"/>
      <c r="F142" s="4">
        <v>2</v>
      </c>
      <c r="G142" s="5">
        <v>1</v>
      </c>
      <c r="H142" s="5">
        <v>234</v>
      </c>
      <c r="I142" s="5">
        <v>41.4</v>
      </c>
      <c r="J142" s="5">
        <v>0</v>
      </c>
      <c r="K142" s="5">
        <v>0.38</v>
      </c>
      <c r="L142" s="5">
        <v>58</v>
      </c>
      <c r="M142" s="5">
        <v>1</v>
      </c>
      <c r="N142" s="5">
        <v>57</v>
      </c>
      <c r="O142" s="5">
        <v>23.2</v>
      </c>
      <c r="P142" s="5">
        <v>0.2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3.2</v>
      </c>
      <c r="W142" s="5">
        <v>0</v>
      </c>
      <c r="X142" s="5">
        <v>19.100000000000001</v>
      </c>
      <c r="Y142" s="5">
        <v>0</v>
      </c>
      <c r="Z142" s="5">
        <v>0.06</v>
      </c>
      <c r="AA142" s="5">
        <v>0</v>
      </c>
      <c r="AB142" s="5">
        <v>5.0000000000000001E-3</v>
      </c>
      <c r="AC142" s="5">
        <v>6.0000000000000001E-3</v>
      </c>
      <c r="AD142" s="5">
        <v>0.14000000000000001</v>
      </c>
      <c r="AE142" s="5">
        <v>1.4E-2</v>
      </c>
      <c r="AF142" s="5">
        <v>9</v>
      </c>
      <c r="AG142" s="5">
        <v>0</v>
      </c>
      <c r="AH142" s="5">
        <v>1.4999999999999999E-2</v>
      </c>
      <c r="AI142" s="5">
        <v>0</v>
      </c>
      <c r="AJ142" s="5">
        <v>4</v>
      </c>
      <c r="AK142" s="5">
        <v>32</v>
      </c>
      <c r="AL142" s="5">
        <v>4.5</v>
      </c>
      <c r="AM142" s="5">
        <v>0.15</v>
      </c>
      <c r="AN142" s="5">
        <v>2.7</v>
      </c>
      <c r="AO142" s="5">
        <v>0.04</v>
      </c>
      <c r="AP142" s="5">
        <v>2</v>
      </c>
      <c r="AQ142" s="5">
        <v>11</v>
      </c>
      <c r="AR142" s="5">
        <v>53</v>
      </c>
      <c r="AS142" s="5">
        <v>0.02</v>
      </c>
      <c r="AT142" s="5">
        <v>0.09</v>
      </c>
      <c r="AU142" s="5">
        <v>0.6</v>
      </c>
      <c r="AV142" s="5">
        <f>IFERROR(VLOOKUP(IFERROR(VLOOKUP(D142,Mapa_Similitud!$A$2:$B$2000,2,FALSE()),D142),Hoja1!$A$2:$K$1000,2,FALSE()),IFERROR(VLOOKUP(IFERROR(VLOOKUP(D142,Mapa_Similitud!$A$2:$B$2000,2,FALSE()),D142),Omega3_Referencia!$A$2:$E$100,3,FALSE()),0))</f>
        <v>0</v>
      </c>
      <c r="AW142" s="3" t="str">
        <f>IFERROR(VLOOKUP(IFERROR(VLOOKUP(D142,Mapa_Similitud!$A$2:$B$2000,2,FALSE()),D142),Hoja1!$A$2:$K$1000,3,FALSE()),IFERROR(VLOOKUP(IFERROR(VLOOKUP(D142,Mapa_Similitud!$A$2:$B$2000,2,FALSE()),D142),Omega3_Referencia!$A$2:$E$100,4,FALSE()),"N/A"))</f>
        <v>N/A</v>
      </c>
      <c r="AX142" s="5">
        <f>IFERROR(VLOOKUP(IFERROR(VLOOKUP(D142,Mapa_Similitud!$A$2:$B$2000,2,FALSE()),D142),Hoja1!$A$2:$K$1000,5,FALSE()),0)</f>
        <v>0</v>
      </c>
      <c r="AY142" s="5">
        <f>IFERROR(VLOOKUP(IFERROR(VLOOKUP(D142,Mapa_Similitud!$A$2:$B$2000,2,FALSE()),D142),Hoja1!$A$2:$K$1000,7,FALSE()),0)</f>
        <v>30</v>
      </c>
      <c r="AZ142" s="5">
        <f>IFERROR(VLOOKUP(IFERROR(VLOOKUP(D142,Mapa_Similitud!$A$2:$B$2000,2,FALSE()),D142),Hoja1!$A$2:$K$1000,9,FALSE()),0)</f>
        <v>0</v>
      </c>
      <c r="BA142" s="25">
        <f t="shared" si="58"/>
        <v>1.6239316239316239E-3</v>
      </c>
      <c r="BB142" s="25">
        <f t="shared" si="59"/>
        <v>8.547008547008547E-4</v>
      </c>
      <c r="BC142" s="25">
        <f t="shared" si="60"/>
        <v>0.13675213675213677</v>
      </c>
      <c r="BD142" s="25">
        <f t="shared" si="61"/>
        <v>6.4102564102564103E-4</v>
      </c>
      <c r="BE142" s="25">
        <f t="shared" si="62"/>
        <v>4.7008547008547008E-2</v>
      </c>
      <c r="BF142" s="25">
        <f t="shared" si="63"/>
        <v>0</v>
      </c>
      <c r="BG142" s="25">
        <f t="shared" si="64"/>
        <v>7.1111111111111107</v>
      </c>
      <c r="BH142" s="25">
        <f t="shared" si="65"/>
        <v>0</v>
      </c>
      <c r="BI142" s="25">
        <f t="shared" si="66"/>
        <v>0.20754716981132076</v>
      </c>
      <c r="BJ142" s="25">
        <f t="shared" si="67"/>
        <v>0.98275862068965514</v>
      </c>
      <c r="BK142" s="25">
        <f t="shared" si="68"/>
        <v>3.4482758620689659E-3</v>
      </c>
      <c r="BL142" s="25">
        <f t="shared" si="69"/>
        <v>0</v>
      </c>
      <c r="BM142" s="25">
        <f t="shared" si="70"/>
        <v>8.5470085470085479E-3</v>
      </c>
      <c r="BN142" s="18" t="str">
        <f t="shared" si="76"/>
        <v>Baja fuente de proteína</v>
      </c>
      <c r="BO142" s="18" t="str">
        <f t="shared" si="77"/>
        <v>Baja fuente de fibra</v>
      </c>
      <c r="BP142" s="18" t="str">
        <f t="shared" si="78"/>
        <v>Baja fuente de calcio</v>
      </c>
      <c r="BQ142" s="18" t="str">
        <f t="shared" si="79"/>
        <v>Baja fuente de hierro</v>
      </c>
      <c r="BR142" s="18" t="str">
        <f t="shared" si="80"/>
        <v>Bajo en sodio</v>
      </c>
      <c r="BS142" s="6" t="str">
        <f t="shared" si="71"/>
        <v>Proinflamatorio</v>
      </c>
      <c r="BT142" s="6" t="str">
        <f t="shared" si="72"/>
        <v>Bajo en grasas</v>
      </c>
      <c r="BU142" s="18" t="str">
        <f t="shared" si="81"/>
        <v>Equilibrio de líquidos ideal</v>
      </c>
      <c r="BV142" s="18" t="str">
        <f t="shared" si="82"/>
        <v>Baja fuente de magnesio</v>
      </c>
      <c r="BW142" s="18" t="str">
        <f t="shared" si="83"/>
        <v>Sin aporte de Omega 3</v>
      </c>
      <c r="BX142" s="18" t="str">
        <f t="shared" si="84"/>
        <v>Libre de grasas trans</v>
      </c>
      <c r="BY142" s="18" t="str">
        <f t="shared" si="85"/>
        <v>Medio poder antioxidante</v>
      </c>
      <c r="BZ142" s="6" t="str">
        <f t="shared" si="73"/>
        <v>Sin probióticos</v>
      </c>
      <c r="CA142" s="18" t="str">
        <f t="shared" si="86"/>
        <v>Altamente inflamatorio</v>
      </c>
      <c r="CB142" s="18" t="str">
        <f>IF(ISNUMBER(SEARCH("miel", D142)), "No irritante (Uso condicionado SII)", IF(OR(J142&gt;0, ISNUMBER(SEARCH("cacao", D142)), ISNUMBER(SEARCH("chocolate puro", D142))), "Altamente irritante", IF(OR(AND(O142&gt;15, BI142&gt;1), ISNUMBER(SEARCH("chocolate", D142))), "Moderadamente irritante", "No irritante")))</f>
        <v>No irritante</v>
      </c>
      <c r="CC142" s="6" t="str">
        <f t="shared" si="74"/>
        <v>Sin Omega 3 para evaluar</v>
      </c>
    </row>
    <row r="143" spans="1:81" ht="15" customHeight="1" x14ac:dyDescent="0.3">
      <c r="A143" s="2">
        <f t="shared" si="75"/>
        <v>142</v>
      </c>
      <c r="B143" s="3" t="s">
        <v>234</v>
      </c>
      <c r="C143" s="3" t="s">
        <v>235</v>
      </c>
      <c r="D143" s="3" t="s">
        <v>248</v>
      </c>
      <c r="E143" s="3"/>
      <c r="F143" s="4">
        <v>3</v>
      </c>
      <c r="G143" s="5">
        <v>1</v>
      </c>
      <c r="H143" s="5">
        <v>197</v>
      </c>
      <c r="I143" s="5">
        <v>49</v>
      </c>
      <c r="J143" s="5">
        <v>0</v>
      </c>
      <c r="K143" s="5">
        <v>0.56000000000000005</v>
      </c>
      <c r="L143" s="5">
        <v>48</v>
      </c>
      <c r="M143" s="5">
        <v>0.7</v>
      </c>
      <c r="N143" s="5">
        <v>47.3</v>
      </c>
      <c r="O143" s="5">
        <v>19.2</v>
      </c>
      <c r="P143" s="5">
        <v>0.61</v>
      </c>
      <c r="Q143" s="5">
        <v>0.14000000000000001</v>
      </c>
      <c r="R143" s="5">
        <v>2.5000000000000001E-2</v>
      </c>
      <c r="S143" s="5">
        <v>1.6E-2</v>
      </c>
      <c r="T143" s="5">
        <v>6.6000000000000003E-2</v>
      </c>
      <c r="U143" s="5">
        <v>0</v>
      </c>
      <c r="V143" s="5">
        <v>133</v>
      </c>
      <c r="W143" s="5">
        <v>0</v>
      </c>
      <c r="X143" s="5">
        <v>795</v>
      </c>
      <c r="Y143" s="5">
        <v>0</v>
      </c>
      <c r="Z143" s="5">
        <v>0.56000000000000005</v>
      </c>
      <c r="AA143" s="5">
        <v>3.5</v>
      </c>
      <c r="AB143" s="5">
        <v>4.4999999999999998E-2</v>
      </c>
      <c r="AC143" s="5">
        <v>2.5000000000000001E-2</v>
      </c>
      <c r="AD143" s="5">
        <v>0.56000000000000005</v>
      </c>
      <c r="AE143" s="5">
        <v>8.2000000000000003E-2</v>
      </c>
      <c r="AF143" s="5">
        <v>17.5</v>
      </c>
      <c r="AG143" s="5">
        <v>0</v>
      </c>
      <c r="AH143" s="5">
        <v>0.18</v>
      </c>
      <c r="AI143" s="5">
        <v>0.99</v>
      </c>
      <c r="AJ143" s="5">
        <v>17.8</v>
      </c>
      <c r="AK143" s="5">
        <v>7.4</v>
      </c>
      <c r="AL143" s="5">
        <v>15.3</v>
      </c>
      <c r="AM143" s="5">
        <v>0.53</v>
      </c>
      <c r="AN143" s="5">
        <v>14</v>
      </c>
      <c r="AO143" s="5">
        <v>0.13</v>
      </c>
      <c r="AP143" s="5">
        <v>57</v>
      </c>
      <c r="AQ143" s="5">
        <v>7</v>
      </c>
      <c r="AR143" s="5">
        <v>155</v>
      </c>
      <c r="AS143" s="5">
        <v>7.0999999999999994E-2</v>
      </c>
      <c r="AT143" s="5">
        <v>5.1999999999999998E-2</v>
      </c>
      <c r="AU143" s="5">
        <v>0.86</v>
      </c>
      <c r="AV143" s="5">
        <f>IFERROR(VLOOKUP(IFERROR(VLOOKUP(D143,Mapa_Similitud!$A$2:$B$2000,2,FALSE()),D143),Hoja1!$A$2:$K$1000,2,FALSE()),IFERROR(VLOOKUP(IFERROR(VLOOKUP(D143,Mapa_Similitud!$A$2:$B$2000,2,FALSE()),D143),Omega3_Referencia!$A$2:$E$100,3,FALSE()),0))</f>
        <v>0</v>
      </c>
      <c r="AW143" s="3" t="str">
        <f>IFERROR(VLOOKUP(IFERROR(VLOOKUP(D143,Mapa_Similitud!$A$2:$B$2000,2,FALSE()),D143),Hoja1!$A$2:$K$1000,3,FALSE()),IFERROR(VLOOKUP(IFERROR(VLOOKUP(D143,Mapa_Similitud!$A$2:$B$2000,2,FALSE()),D143),Omega3_Referencia!$A$2:$E$100,4,FALSE()),"N/A"))</f>
        <v>N/A</v>
      </c>
      <c r="AX143" s="5">
        <f>IFERROR(VLOOKUP(IFERROR(VLOOKUP(D143,Mapa_Similitud!$A$2:$B$2000,2,FALSE()),D143),Hoja1!$A$2:$K$1000,5,FALSE()),0)</f>
        <v>0</v>
      </c>
      <c r="AY143" s="5">
        <f>IFERROR(VLOOKUP(IFERROR(VLOOKUP(D143,Mapa_Similitud!$A$2:$B$2000,2,FALSE()),D143),Hoja1!$A$2:$K$1000,7,FALSE()),0)</f>
        <v>30</v>
      </c>
      <c r="AZ143" s="5">
        <f>IFERROR(VLOOKUP(IFERROR(VLOOKUP(D143,Mapa_Similitud!$A$2:$B$2000,2,FALSE()),D143),Hoja1!$A$2:$K$1000,9,FALSE()),0)</f>
        <v>0</v>
      </c>
      <c r="BA143" s="25">
        <f t="shared" si="58"/>
        <v>2.8426395939086298E-3</v>
      </c>
      <c r="BB143" s="25">
        <f t="shared" si="59"/>
        <v>3.0964467005076142E-3</v>
      </c>
      <c r="BC143" s="25">
        <f t="shared" si="60"/>
        <v>3.7563451776649749E-2</v>
      </c>
      <c r="BD143" s="25">
        <f t="shared" si="61"/>
        <v>2.6903553299492387E-3</v>
      </c>
      <c r="BE143" s="25">
        <f t="shared" si="62"/>
        <v>3.553299492385787E-2</v>
      </c>
      <c r="BF143" s="25">
        <f t="shared" si="63"/>
        <v>2.64</v>
      </c>
      <c r="BG143" s="25">
        <f t="shared" si="64"/>
        <v>0.48366013071895425</v>
      </c>
      <c r="BH143" s="25">
        <f t="shared" si="65"/>
        <v>0.17857142857142858</v>
      </c>
      <c r="BI143" s="25">
        <f t="shared" si="66"/>
        <v>4.5161290322580643E-2</v>
      </c>
      <c r="BJ143" s="25">
        <f t="shared" si="67"/>
        <v>0.98541666666666661</v>
      </c>
      <c r="BK143" s="25">
        <f t="shared" si="68"/>
        <v>1.2708333333333334E-2</v>
      </c>
      <c r="BL143" s="25">
        <f t="shared" si="69"/>
        <v>6.3959390862944176E-3</v>
      </c>
      <c r="BM143" s="25">
        <f t="shared" si="70"/>
        <v>0.28934010152284262</v>
      </c>
      <c r="BN143" s="18" t="str">
        <f t="shared" si="76"/>
        <v>Baja fuente de proteína</v>
      </c>
      <c r="BO143" s="18" t="str">
        <f t="shared" si="77"/>
        <v>Baja fuente de fibra</v>
      </c>
      <c r="BP143" s="18" t="str">
        <f t="shared" si="78"/>
        <v>Baja fuente de calcio</v>
      </c>
      <c r="BQ143" s="18" t="str">
        <f t="shared" si="79"/>
        <v>Baja fuente de hierro</v>
      </c>
      <c r="BR143" s="18" t="str">
        <f t="shared" si="80"/>
        <v>Bajo en sodio</v>
      </c>
      <c r="BS143" s="6" t="str">
        <f t="shared" si="71"/>
        <v>Altamente antiinflamatorio</v>
      </c>
      <c r="BT143" s="6" t="str">
        <f t="shared" si="72"/>
        <v>Bajo en grasas</v>
      </c>
      <c r="BU143" s="18" t="str">
        <f t="shared" si="81"/>
        <v>Equilibrio de líquidos ideal</v>
      </c>
      <c r="BV143" s="18" t="str">
        <f t="shared" si="82"/>
        <v>Media fuente de magnesio</v>
      </c>
      <c r="BW143" s="18" t="str">
        <f t="shared" si="83"/>
        <v>Sin aporte de Omega 3</v>
      </c>
      <c r="BX143" s="18" t="str">
        <f t="shared" si="84"/>
        <v>Libre de grasas trans</v>
      </c>
      <c r="BY143" s="18" t="str">
        <f t="shared" si="85"/>
        <v>Medio poder antioxidante</v>
      </c>
      <c r="BZ143" s="6" t="str">
        <f t="shared" si="73"/>
        <v>Sin probióticos</v>
      </c>
      <c r="CA143" s="18" t="str">
        <f t="shared" si="86"/>
        <v>Altamente inflamatorio</v>
      </c>
      <c r="CB143" s="18" t="str">
        <f>IF(ISNUMBER(SEARCH("miel", D143)), "No irritante (Uso condicionado SII)", IF(OR(J143&gt;0, ISNUMBER(SEARCH("cacao", D143)), ISNUMBER(SEARCH("chocolate puro", D143))), "Altamente irritante", IF(OR(AND(O143&gt;15, BI143&gt;1), ISNUMBER(SEARCH("chocolate", D143))), "Moderadamente irritante", "No irritante")))</f>
        <v>No irritante</v>
      </c>
      <c r="CC143" s="6" t="str">
        <f t="shared" si="74"/>
        <v>Sin Omega 3 para evaluar</v>
      </c>
    </row>
    <row r="144" spans="1:81" ht="15" customHeight="1" x14ac:dyDescent="0.3">
      <c r="A144" s="2">
        <f t="shared" si="75"/>
        <v>143</v>
      </c>
      <c r="B144" s="3" t="s">
        <v>234</v>
      </c>
      <c r="C144" s="3" t="s">
        <v>249</v>
      </c>
      <c r="D144" s="3" t="s">
        <v>250</v>
      </c>
      <c r="E144" s="3"/>
      <c r="F144" s="4">
        <v>4.5</v>
      </c>
      <c r="G144" s="5">
        <v>1</v>
      </c>
      <c r="H144" s="5">
        <v>283</v>
      </c>
      <c r="I144" s="5">
        <v>26.2</v>
      </c>
      <c r="J144" s="5">
        <v>0</v>
      </c>
      <c r="K144" s="5">
        <v>3.4</v>
      </c>
      <c r="L144" s="5">
        <v>62.6</v>
      </c>
      <c r="M144" s="5">
        <v>0.35</v>
      </c>
      <c r="N144" s="5">
        <v>53.4</v>
      </c>
      <c r="O144" s="5">
        <v>0</v>
      </c>
      <c r="P144" s="5">
        <v>7.3</v>
      </c>
      <c r="Q144" s="5">
        <v>0.51</v>
      </c>
      <c r="R144" s="5">
        <v>1.7000000000000001E-2</v>
      </c>
      <c r="S144" s="5">
        <v>7.3999999999999996E-2</v>
      </c>
      <c r="T144" s="5">
        <v>7.3999999999999996E-2</v>
      </c>
      <c r="U144" s="5">
        <v>0</v>
      </c>
      <c r="V144" s="5">
        <v>361</v>
      </c>
      <c r="W144" s="5">
        <v>0</v>
      </c>
      <c r="X144" s="5">
        <v>2163</v>
      </c>
      <c r="Y144" s="5">
        <v>0</v>
      </c>
      <c r="Z144" s="5">
        <v>4.3</v>
      </c>
      <c r="AA144" s="5">
        <v>3.1</v>
      </c>
      <c r="AB144" s="5">
        <v>1.4999999999999999E-2</v>
      </c>
      <c r="AC144" s="5">
        <v>7.3999999999999996E-2</v>
      </c>
      <c r="AD144" s="5">
        <v>2.9</v>
      </c>
      <c r="AE144" s="5">
        <v>0.14000000000000001</v>
      </c>
      <c r="AF144" s="5">
        <v>10</v>
      </c>
      <c r="AG144" s="5">
        <v>0</v>
      </c>
      <c r="AH144" s="5">
        <v>0.52</v>
      </c>
      <c r="AI144" s="5">
        <v>0</v>
      </c>
      <c r="AJ144" s="5">
        <v>1</v>
      </c>
      <c r="AK144" s="5">
        <v>55</v>
      </c>
      <c r="AL144" s="5">
        <v>71</v>
      </c>
      <c r="AM144" s="5">
        <v>2.7</v>
      </c>
      <c r="AN144" s="5">
        <v>1</v>
      </c>
      <c r="AO144" s="5">
        <v>0.39</v>
      </c>
      <c r="AP144" s="5">
        <v>32</v>
      </c>
      <c r="AQ144" s="5">
        <v>10</v>
      </c>
      <c r="AR144" s="5">
        <v>1162</v>
      </c>
      <c r="AS144" s="5">
        <v>0.24</v>
      </c>
      <c r="AT144" s="5">
        <v>0.34</v>
      </c>
      <c r="AU144" s="5">
        <v>2.2000000000000002</v>
      </c>
      <c r="AV144" s="5">
        <f>IFERROR(VLOOKUP(IFERROR(VLOOKUP(D144,Mapa_Similitud!$A$2:$B$2000,2,FALSE()),D144),Hoja1!$A$2:$K$1000,2,FALSE()),IFERROR(VLOOKUP(IFERROR(VLOOKUP(D144,Mapa_Similitud!$A$2:$B$2000,2,FALSE()),D144),Omega3_Referencia!$A$2:$E$100,3,FALSE()),0))</f>
        <v>0.01</v>
      </c>
      <c r="AW144" s="3" t="str">
        <f>IFERROR(VLOOKUP(IFERROR(VLOOKUP(D144,Mapa_Similitud!$A$2:$B$2000,2,FALSE()),D144),Hoja1!$A$2:$K$1000,3,FALSE()),IFERROR(VLOOKUP(IFERROR(VLOOKUP(D144,Mapa_Similitud!$A$2:$B$2000,2,FALSE()),D144),Omega3_Referencia!$A$2:$E$100,4,FALSE()),"N/A"))</f>
        <v>ALA</v>
      </c>
      <c r="AX144" s="5">
        <f>IFERROR(VLOOKUP(IFERROR(VLOOKUP(D144,Mapa_Similitud!$A$2:$B$2000,2,FALSE()),D144),Hoja1!$A$2:$K$1000,5,FALSE()),0)</f>
        <v>0</v>
      </c>
      <c r="AY144" s="5">
        <f>IFERROR(VLOOKUP(IFERROR(VLOOKUP(D144,Mapa_Similitud!$A$2:$B$2000,2,FALSE()),D144),Hoja1!$A$2:$K$1000,7,FALSE()),0)</f>
        <v>150</v>
      </c>
      <c r="AZ144" s="5">
        <f>IFERROR(VLOOKUP(IFERROR(VLOOKUP(D144,Mapa_Similitud!$A$2:$B$2000,2,FALSE()),D144),Hoja1!$A$2:$K$1000,9,FALSE()),0)</f>
        <v>0</v>
      </c>
      <c r="BA144" s="25">
        <f t="shared" si="58"/>
        <v>1.2014134275618375E-2</v>
      </c>
      <c r="BB144" s="25">
        <f t="shared" si="59"/>
        <v>2.5795053003533568E-2</v>
      </c>
      <c r="BC144" s="25">
        <f t="shared" si="60"/>
        <v>0.19434628975265017</v>
      </c>
      <c r="BD144" s="25">
        <f t="shared" si="61"/>
        <v>9.5406360424028277E-3</v>
      </c>
      <c r="BE144" s="25">
        <f t="shared" si="62"/>
        <v>3.5335689045936397E-2</v>
      </c>
      <c r="BF144" s="25">
        <f t="shared" si="63"/>
        <v>4.3529411764705879</v>
      </c>
      <c r="BG144" s="25">
        <f t="shared" si="64"/>
        <v>0.77464788732394363</v>
      </c>
      <c r="BH144" s="25">
        <f t="shared" si="65"/>
        <v>3.3333333333333333E-2</v>
      </c>
      <c r="BI144" s="25">
        <f t="shared" si="66"/>
        <v>8.6058519793459545E-3</v>
      </c>
      <c r="BJ144" s="25">
        <f t="shared" si="67"/>
        <v>0.85303514376996803</v>
      </c>
      <c r="BK144" s="25">
        <f t="shared" si="68"/>
        <v>0.11661341853035143</v>
      </c>
      <c r="BL144" s="25">
        <f t="shared" si="69"/>
        <v>1.6219081272084806E-2</v>
      </c>
      <c r="BM144" s="25">
        <f t="shared" si="70"/>
        <v>0.11307420494699646</v>
      </c>
      <c r="BN144" s="18" t="str">
        <f t="shared" si="76"/>
        <v>Baja fuente de proteína</v>
      </c>
      <c r="BO144" s="18" t="str">
        <f t="shared" si="77"/>
        <v>Media fuente de fibra</v>
      </c>
      <c r="BP144" s="18" t="str">
        <f t="shared" si="78"/>
        <v>Baja fuente de calcio</v>
      </c>
      <c r="BQ144" s="18" t="str">
        <f t="shared" si="79"/>
        <v>Media fuente de hierro</v>
      </c>
      <c r="BR144" s="18" t="str">
        <f t="shared" si="80"/>
        <v>Bajo en sodio</v>
      </c>
      <c r="BS144" s="6" t="str">
        <f t="shared" si="71"/>
        <v>Altamente antiinflamatorio</v>
      </c>
      <c r="BT144" s="6" t="str">
        <f t="shared" si="72"/>
        <v>Bajo en grasas</v>
      </c>
      <c r="BU144" s="18" t="str">
        <f t="shared" si="81"/>
        <v>Equilibrio de líquidos ideal</v>
      </c>
      <c r="BV144" s="18" t="str">
        <f t="shared" si="82"/>
        <v>Baja fuente de magnesio</v>
      </c>
      <c r="BW144" s="18" t="str">
        <f t="shared" si="83"/>
        <v>Sin aporte de Omega 3</v>
      </c>
      <c r="BX144" s="18" t="str">
        <f t="shared" si="84"/>
        <v>Libre de grasas trans</v>
      </c>
      <c r="BY144" s="18" t="str">
        <f t="shared" si="85"/>
        <v>Alto poder antioxidante</v>
      </c>
      <c r="BZ144" s="6" t="str">
        <f t="shared" si="73"/>
        <v>Sin probióticos</v>
      </c>
      <c r="CA144" s="18" t="str">
        <f t="shared" si="86"/>
        <v>Antiinflamatorio</v>
      </c>
      <c r="CB144" s="18" t="str">
        <f>IF(ISNUMBER(SEARCH("miel", D144)), "No irritante (Uso condicionado SII)", IF(OR(J144&gt;0, ISNUMBER(SEARCH("cacao", D144)), ISNUMBER(SEARCH("chocolate puro", D144))), "Altamente irritante", IF(OR(AND(O144&gt;15, BI144&gt;1), ISNUMBER(SEARCH("chocolate", D144))), "Moderadamente irritante", "No irritante")))</f>
        <v>No irritante</v>
      </c>
      <c r="CC144" s="6" t="str">
        <f t="shared" si="74"/>
        <v>Exceso relativo de Omega 6</v>
      </c>
    </row>
    <row r="145" spans="1:81" ht="15" customHeight="1" x14ac:dyDescent="0.3">
      <c r="A145" s="2">
        <f t="shared" si="75"/>
        <v>144</v>
      </c>
      <c r="B145" s="3" t="s">
        <v>234</v>
      </c>
      <c r="C145" s="3" t="s">
        <v>249</v>
      </c>
      <c r="D145" s="3" t="s">
        <v>251</v>
      </c>
      <c r="E145" s="3"/>
      <c r="F145" s="4">
        <v>3</v>
      </c>
      <c r="G145" s="5">
        <v>0.84</v>
      </c>
      <c r="H145" s="5">
        <v>219</v>
      </c>
      <c r="I145" s="5">
        <v>35</v>
      </c>
      <c r="J145" s="5">
        <v>0</v>
      </c>
      <c r="K145" s="5">
        <v>2.2000000000000002</v>
      </c>
      <c r="L145" s="5">
        <v>42.4</v>
      </c>
      <c r="M145" s="5">
        <v>0</v>
      </c>
      <c r="N145" s="5">
        <v>42.4</v>
      </c>
      <c r="O145" s="5">
        <v>0</v>
      </c>
      <c r="P145" s="5">
        <v>17.8</v>
      </c>
      <c r="Q145" s="5">
        <v>0.52</v>
      </c>
      <c r="R145" s="5">
        <v>4.1000000000000002E-2</v>
      </c>
      <c r="S145" s="5">
        <v>0.34</v>
      </c>
      <c r="T145" s="5">
        <v>0.11</v>
      </c>
      <c r="U145" s="5">
        <v>0</v>
      </c>
      <c r="V145" s="5">
        <v>78.2</v>
      </c>
      <c r="W145" s="5">
        <v>0</v>
      </c>
      <c r="X145" s="5">
        <v>469</v>
      </c>
      <c r="Y145" s="5">
        <v>0</v>
      </c>
      <c r="Z145" s="5">
        <v>2.2999999999999998</v>
      </c>
      <c r="AA145" s="5">
        <v>59.5</v>
      </c>
      <c r="AB145" s="5">
        <v>0.15</v>
      </c>
      <c r="AC145" s="5">
        <v>0.12</v>
      </c>
      <c r="AD145" s="5">
        <v>1.9</v>
      </c>
      <c r="AE145" s="5">
        <v>0.15</v>
      </c>
      <c r="AF145" s="5">
        <v>4</v>
      </c>
      <c r="AG145" s="5">
        <v>0</v>
      </c>
      <c r="AH145" s="5">
        <v>0.46</v>
      </c>
      <c r="AI145" s="5">
        <v>0</v>
      </c>
      <c r="AJ145" s="5">
        <v>2</v>
      </c>
      <c r="AK145" s="5">
        <v>41</v>
      </c>
      <c r="AL145" s="5">
        <v>73</v>
      </c>
      <c r="AM145" s="5">
        <v>2.2999999999999998</v>
      </c>
      <c r="AN145" s="5">
        <v>1</v>
      </c>
      <c r="AO145" s="5">
        <v>0.4</v>
      </c>
      <c r="AP145" s="5">
        <v>27</v>
      </c>
      <c r="AQ145" s="5">
        <v>8</v>
      </c>
      <c r="AR145" s="5">
        <v>824</v>
      </c>
      <c r="AS145" s="5">
        <v>0.22</v>
      </c>
      <c r="AT145" s="5">
        <v>0.4</v>
      </c>
      <c r="AU145" s="5">
        <v>2.7</v>
      </c>
      <c r="AV145" s="5">
        <f>IFERROR(VLOOKUP(IFERROR(VLOOKUP(D145,Mapa_Similitud!$A$2:$B$2000,2,FALSE()),D145),Hoja1!$A$2:$K$1000,2,FALSE()),IFERROR(VLOOKUP(IFERROR(VLOOKUP(D145,Mapa_Similitud!$A$2:$B$2000,2,FALSE()),D145),Omega3_Referencia!$A$2:$E$100,3,FALSE()),0))</f>
        <v>0.01</v>
      </c>
      <c r="AW145" s="3" t="str">
        <f>IFERROR(VLOOKUP(IFERROR(VLOOKUP(D145,Mapa_Similitud!$A$2:$B$2000,2,FALSE()),D145),Hoja1!$A$2:$K$1000,3,FALSE()),IFERROR(VLOOKUP(IFERROR(VLOOKUP(D145,Mapa_Similitud!$A$2:$B$2000,2,FALSE()),D145),Omega3_Referencia!$A$2:$E$100,4,FALSE()),"N/A"))</f>
        <v>ALA</v>
      </c>
      <c r="AX145" s="5">
        <f>IFERROR(VLOOKUP(IFERROR(VLOOKUP(D145,Mapa_Similitud!$A$2:$B$2000,2,FALSE()),D145),Hoja1!$A$2:$K$1000,5,FALSE()),0)</f>
        <v>0</v>
      </c>
      <c r="AY145" s="5">
        <f>IFERROR(VLOOKUP(IFERROR(VLOOKUP(D145,Mapa_Similitud!$A$2:$B$2000,2,FALSE()),D145),Hoja1!$A$2:$K$1000,7,FALSE()),0)</f>
        <v>250</v>
      </c>
      <c r="AZ145" s="5">
        <f>IFERROR(VLOOKUP(IFERROR(VLOOKUP(D145,Mapa_Similitud!$A$2:$B$2000,2,FALSE()),D145),Hoja1!$A$2:$K$1000,9,FALSE()),0)</f>
        <v>0</v>
      </c>
      <c r="BA145" s="25">
        <f t="shared" si="58"/>
        <v>1.0045662100456623E-2</v>
      </c>
      <c r="BB145" s="25">
        <f t="shared" si="59"/>
        <v>8.1278538812785392E-2</v>
      </c>
      <c r="BC145" s="25">
        <f t="shared" si="60"/>
        <v>0.18721461187214611</v>
      </c>
      <c r="BD145" s="25">
        <f t="shared" si="61"/>
        <v>1.050228310502283E-2</v>
      </c>
      <c r="BE145" s="25">
        <f t="shared" si="62"/>
        <v>3.6529680365296802E-2</v>
      </c>
      <c r="BF145" s="25">
        <f t="shared" si="63"/>
        <v>2.6829268292682924</v>
      </c>
      <c r="BG145" s="25">
        <f t="shared" si="64"/>
        <v>0.56164383561643838</v>
      </c>
      <c r="BH145" s="25">
        <f t="shared" si="65"/>
        <v>7.8846153846153844E-2</v>
      </c>
      <c r="BI145" s="25">
        <f t="shared" si="66"/>
        <v>9.7087378640776691E-3</v>
      </c>
      <c r="BJ145" s="25">
        <f t="shared" si="67"/>
        <v>1</v>
      </c>
      <c r="BK145" s="25">
        <f t="shared" si="68"/>
        <v>0.419811320754717</v>
      </c>
      <c r="BL145" s="25">
        <f t="shared" si="69"/>
        <v>2.1369863013698628E-2</v>
      </c>
      <c r="BM145" s="25">
        <f t="shared" si="70"/>
        <v>0.12328767123287671</v>
      </c>
      <c r="BN145" s="18" t="str">
        <f t="shared" si="76"/>
        <v>Baja fuente de proteína</v>
      </c>
      <c r="BO145" s="18" t="str">
        <f t="shared" si="77"/>
        <v>Alta fuente de fibra</v>
      </c>
      <c r="BP145" s="18" t="str">
        <f t="shared" si="78"/>
        <v>Baja fuente de calcio</v>
      </c>
      <c r="BQ145" s="18" t="str">
        <f t="shared" si="79"/>
        <v>Media fuente de hierro</v>
      </c>
      <c r="BR145" s="18" t="str">
        <f t="shared" si="80"/>
        <v>Bajo en sodio</v>
      </c>
      <c r="BS145" s="6" t="str">
        <f t="shared" si="71"/>
        <v>Altamente antiinflamatorio</v>
      </c>
      <c r="BT145" s="6" t="str">
        <f t="shared" si="72"/>
        <v>Bajo en grasas</v>
      </c>
      <c r="BU145" s="18" t="str">
        <f t="shared" si="81"/>
        <v>Equilibrio de líquidos ideal</v>
      </c>
      <c r="BV145" s="18" t="str">
        <f t="shared" si="82"/>
        <v>Baja fuente de magnesio</v>
      </c>
      <c r="BW145" s="18" t="str">
        <f t="shared" si="83"/>
        <v>Sin aporte de Omega 3</v>
      </c>
      <c r="BX145" s="18" t="str">
        <f t="shared" si="84"/>
        <v>Libre de grasas trans</v>
      </c>
      <c r="BY145" s="18" t="str">
        <f t="shared" si="85"/>
        <v>Alto poder antioxidante</v>
      </c>
      <c r="BZ145" s="6" t="str">
        <f t="shared" si="73"/>
        <v>Sin probióticos</v>
      </c>
      <c r="CA145" s="18" t="str">
        <f t="shared" si="86"/>
        <v>Antiinflamatorio</v>
      </c>
      <c r="CB145" s="18" t="str">
        <f>IF(ISNUMBER(SEARCH("miel", D145)), "No irritante (Uso condicionado SII)", IF(OR(J145&gt;0, ISNUMBER(SEARCH("cacao", D145)), ISNUMBER(SEARCH("chocolate puro", D145))), "Altamente irritante", IF(OR(AND(O145&gt;15, BI145&gt;1), ISNUMBER(SEARCH("chocolate", D145))), "Moderadamente irritante", "No irritante")))</f>
        <v>No irritante</v>
      </c>
      <c r="CC145" s="6" t="str">
        <f t="shared" si="74"/>
        <v>Exceso relativo de Omega 6</v>
      </c>
    </row>
    <row r="146" spans="1:81" ht="15" customHeight="1" x14ac:dyDescent="0.3">
      <c r="A146" s="2">
        <f t="shared" si="75"/>
        <v>145</v>
      </c>
      <c r="B146" s="3" t="s">
        <v>234</v>
      </c>
      <c r="C146" s="3" t="s">
        <v>249</v>
      </c>
      <c r="D146" s="3" t="s">
        <v>252</v>
      </c>
      <c r="E146" s="3"/>
      <c r="F146" s="4">
        <v>3.5</v>
      </c>
      <c r="G146" s="5">
        <v>1</v>
      </c>
      <c r="H146" s="5">
        <v>633</v>
      </c>
      <c r="I146" s="5">
        <v>12.3</v>
      </c>
      <c r="J146" s="5">
        <v>0</v>
      </c>
      <c r="K146" s="5">
        <v>5.6</v>
      </c>
      <c r="L146" s="5">
        <v>6.4</v>
      </c>
      <c r="M146" s="5">
        <v>0</v>
      </c>
      <c r="N146" s="5">
        <v>6.4</v>
      </c>
      <c r="O146" s="5">
        <v>0</v>
      </c>
      <c r="P146" s="5">
        <v>13.7</v>
      </c>
      <c r="Q146" s="5">
        <v>62</v>
      </c>
      <c r="R146" s="5">
        <v>53.4</v>
      </c>
      <c r="S146" s="5">
        <v>3.5</v>
      </c>
      <c r="T146" s="5">
        <v>1.5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1.3</v>
      </c>
      <c r="AA146" s="5">
        <v>0.3</v>
      </c>
      <c r="AB146" s="5">
        <v>0.03</v>
      </c>
      <c r="AC146" s="5">
        <v>0.05</v>
      </c>
      <c r="AD146" s="5">
        <v>2</v>
      </c>
      <c r="AE146" s="5">
        <v>0.09</v>
      </c>
      <c r="AF146" s="5">
        <v>9</v>
      </c>
      <c r="AG146" s="5">
        <v>0</v>
      </c>
      <c r="AH146" s="5">
        <v>0.5</v>
      </c>
      <c r="AI146" s="5">
        <v>0</v>
      </c>
      <c r="AJ146" s="5">
        <v>1</v>
      </c>
      <c r="AK146" s="5">
        <v>23</v>
      </c>
      <c r="AL146" s="5">
        <v>160</v>
      </c>
      <c r="AM146" s="5">
        <v>3.6</v>
      </c>
      <c r="AN146" s="5">
        <v>3</v>
      </c>
      <c r="AO146" s="5">
        <v>0.9</v>
      </c>
      <c r="AP146" s="5">
        <v>90</v>
      </c>
      <c r="AQ146" s="5">
        <v>28</v>
      </c>
      <c r="AR146" s="5">
        <v>660</v>
      </c>
      <c r="AS146" s="5">
        <v>1.8</v>
      </c>
      <c r="AT146" s="5">
        <v>0.55000000000000004</v>
      </c>
      <c r="AU146" s="5">
        <v>3</v>
      </c>
      <c r="AV146" s="5">
        <f>IFERROR(VLOOKUP(IFERROR(VLOOKUP(D146,Mapa_Similitud!$A$2:$B$2000,2,FALSE()),D146),Hoja1!$A$2:$K$1000,2,FALSE()),IFERROR(VLOOKUP(IFERROR(VLOOKUP(D146,Mapa_Similitud!$A$2:$B$2000,2,FALSE()),D146),Omega3_Referencia!$A$2:$E$100,3,FALSE()),0))</f>
        <v>0</v>
      </c>
      <c r="AW146" s="3" t="str">
        <f>IFERROR(VLOOKUP(IFERROR(VLOOKUP(D146,Mapa_Similitud!$A$2:$B$2000,2,FALSE()),D146),Hoja1!$A$2:$K$1000,3,FALSE()),IFERROR(VLOOKUP(IFERROR(VLOOKUP(D146,Mapa_Similitud!$A$2:$B$2000,2,FALSE()),D146),Omega3_Referencia!$A$2:$E$100,4,FALSE()),"N/A"))</f>
        <v>N/A</v>
      </c>
      <c r="AX146" s="5">
        <f>IFERROR(VLOOKUP(IFERROR(VLOOKUP(D146,Mapa_Similitud!$A$2:$B$2000,2,FALSE()),D146),Hoja1!$A$2:$K$1000,5,FALSE()),0)</f>
        <v>0</v>
      </c>
      <c r="AY146" s="5">
        <f>IFERROR(VLOOKUP(IFERROR(VLOOKUP(D146,Mapa_Similitud!$A$2:$B$2000,2,FALSE()),D146),Hoja1!$A$2:$K$1000,7,FALSE()),0)</f>
        <v>15</v>
      </c>
      <c r="AZ146" s="5">
        <f>IFERROR(VLOOKUP(IFERROR(VLOOKUP(D146,Mapa_Similitud!$A$2:$B$2000,2,FALSE()),D146),Hoja1!$A$2:$K$1000,9,FALSE()),0)</f>
        <v>0</v>
      </c>
      <c r="BA146" s="25">
        <f t="shared" si="58"/>
        <v>8.8467614533965233E-3</v>
      </c>
      <c r="BB146" s="25">
        <f t="shared" si="59"/>
        <v>2.1642969984202211E-2</v>
      </c>
      <c r="BC146" s="25">
        <f t="shared" si="60"/>
        <v>3.6334913112164295E-2</v>
      </c>
      <c r="BD146" s="25">
        <f t="shared" si="61"/>
        <v>5.6872037914691941E-3</v>
      </c>
      <c r="BE146" s="25">
        <f t="shared" si="62"/>
        <v>4.4233807266982623E-2</v>
      </c>
      <c r="BF146" s="25">
        <f t="shared" si="63"/>
        <v>2.8089887640449437E-2</v>
      </c>
      <c r="BG146" s="25">
        <f t="shared" si="64"/>
        <v>0.14374999999999999</v>
      </c>
      <c r="BH146" s="25">
        <f t="shared" si="65"/>
        <v>0.86129032258064508</v>
      </c>
      <c r="BI146" s="25">
        <f t="shared" si="66"/>
        <v>4.2424242424242427E-2</v>
      </c>
      <c r="BJ146" s="25">
        <f t="shared" si="67"/>
        <v>1</v>
      </c>
      <c r="BK146" s="25">
        <f t="shared" si="68"/>
        <v>2.1406249999999996</v>
      </c>
      <c r="BL146" s="25">
        <f t="shared" si="69"/>
        <v>0.88151658767772512</v>
      </c>
      <c r="BM146" s="25">
        <f t="shared" si="70"/>
        <v>0.14218009478672985</v>
      </c>
      <c r="BN146" s="18" t="str">
        <f t="shared" si="76"/>
        <v>Baja fuente de proteína</v>
      </c>
      <c r="BO146" s="18" t="str">
        <f t="shared" si="77"/>
        <v>Media fuente de fibra</v>
      </c>
      <c r="BP146" s="18" t="str">
        <f t="shared" si="78"/>
        <v>Baja fuente de calcio</v>
      </c>
      <c r="BQ146" s="18" t="str">
        <f t="shared" si="79"/>
        <v>Baja fuente de hierro</v>
      </c>
      <c r="BR146" s="18" t="str">
        <f t="shared" si="80"/>
        <v>Bajo en sodio</v>
      </c>
      <c r="BS146" s="6" t="str">
        <f t="shared" si="71"/>
        <v>Proinflamatorio</v>
      </c>
      <c r="BT146" s="6" t="str">
        <f t="shared" si="72"/>
        <v>Muy alto en grasas</v>
      </c>
      <c r="BU146" s="18" t="str">
        <f t="shared" si="81"/>
        <v>Equilibrio de líquidos ideal</v>
      </c>
      <c r="BV146" s="18" t="str">
        <f t="shared" si="82"/>
        <v>Baja fuente de magnesio</v>
      </c>
      <c r="BW146" s="18" t="str">
        <f t="shared" si="83"/>
        <v>Sin aporte de Omega 3</v>
      </c>
      <c r="BX146" s="18" t="str">
        <f t="shared" si="84"/>
        <v>Libre de grasas trans</v>
      </c>
      <c r="BY146" s="18" t="str">
        <f t="shared" si="85"/>
        <v>Medio poder antioxidante</v>
      </c>
      <c r="BZ146" s="6" t="str">
        <f t="shared" si="73"/>
        <v>Sin probióticos</v>
      </c>
      <c r="CA146" s="18" t="str">
        <f t="shared" si="86"/>
        <v>Poco inflamatorio</v>
      </c>
      <c r="CB146" s="18" t="str">
        <f>IF(ISNUMBER(SEARCH("miel", D146)), "No irritante (Uso condicionado SII)", IF(OR(J146&gt;0, ISNUMBER(SEARCH("cacao", D146)), ISNUMBER(SEARCH("chocolate puro", D146))), "Altamente irritante", IF(OR(AND(O146&gt;15, BI146&gt;1), ISNUMBER(SEARCH("chocolate", D146))), "Moderadamente irritante", "No irritante")))</f>
        <v>No irritante</v>
      </c>
      <c r="CC146" s="6" t="str">
        <f t="shared" si="74"/>
        <v>Sin Omega 3 para evaluar</v>
      </c>
    </row>
    <row r="147" spans="1:81" ht="15" customHeight="1" x14ac:dyDescent="0.3">
      <c r="A147" s="2">
        <f t="shared" si="75"/>
        <v>146</v>
      </c>
      <c r="B147" s="3" t="s">
        <v>234</v>
      </c>
      <c r="C147" s="3" t="s">
        <v>249</v>
      </c>
      <c r="D147" s="3" t="s">
        <v>253</v>
      </c>
      <c r="E147" s="3"/>
      <c r="F147" s="4">
        <v>4.5</v>
      </c>
      <c r="G147" s="5">
        <v>0.84</v>
      </c>
      <c r="H147" s="5">
        <v>289</v>
      </c>
      <c r="I147" s="5">
        <v>23.9</v>
      </c>
      <c r="J147" s="5">
        <v>0</v>
      </c>
      <c r="K147" s="5">
        <v>1.9</v>
      </c>
      <c r="L147" s="5">
        <v>65.099999999999994</v>
      </c>
      <c r="M147" s="5">
        <v>0</v>
      </c>
      <c r="N147" s="5">
        <v>65.099999999999994</v>
      </c>
      <c r="O147" s="5">
        <v>0</v>
      </c>
      <c r="P147" s="5">
        <v>8.6999999999999993</v>
      </c>
      <c r="Q147" s="5">
        <v>0.45</v>
      </c>
      <c r="R147" s="5">
        <v>0.15</v>
      </c>
      <c r="S147" s="5">
        <v>0.15</v>
      </c>
      <c r="T147" s="5">
        <v>0.03</v>
      </c>
      <c r="U147" s="5">
        <v>0</v>
      </c>
      <c r="V147" s="5">
        <v>5.7</v>
      </c>
      <c r="W147" s="5">
        <v>0</v>
      </c>
      <c r="X147" s="5">
        <v>34</v>
      </c>
      <c r="Y147" s="5">
        <v>0</v>
      </c>
      <c r="Z147" s="5">
        <v>0.05</v>
      </c>
      <c r="AA147" s="5">
        <v>2.7</v>
      </c>
      <c r="AB147" s="5">
        <v>0.06</v>
      </c>
      <c r="AC147" s="5">
        <v>0.08</v>
      </c>
      <c r="AD147" s="5">
        <v>2.2999999999999998</v>
      </c>
      <c r="AE147" s="5">
        <v>0.16</v>
      </c>
      <c r="AF147" s="5">
        <v>21</v>
      </c>
      <c r="AG147" s="5">
        <v>0</v>
      </c>
      <c r="AH147" s="5">
        <v>0.8</v>
      </c>
      <c r="AI147" s="5">
        <v>0</v>
      </c>
      <c r="AJ147" s="5">
        <v>3</v>
      </c>
      <c r="AK147" s="5">
        <v>63</v>
      </c>
      <c r="AL147" s="5">
        <v>57</v>
      </c>
      <c r="AM147" s="5">
        <v>1.9</v>
      </c>
      <c r="AN147" s="5">
        <v>1</v>
      </c>
      <c r="AO147" s="5">
        <v>0.3</v>
      </c>
      <c r="AP147" s="5">
        <v>50</v>
      </c>
      <c r="AQ147" s="5">
        <v>8</v>
      </c>
      <c r="AR147" s="5">
        <v>650</v>
      </c>
      <c r="AS147" s="5">
        <v>0.15</v>
      </c>
      <c r="AT147" s="5">
        <v>0.28999999999999998</v>
      </c>
      <c r="AU147" s="5">
        <v>3</v>
      </c>
      <c r="AV147" s="5">
        <f>IFERROR(VLOOKUP(IFERROR(VLOOKUP(D147,Mapa_Similitud!$A$2:$B$2000,2,FALSE()),D147),Hoja1!$A$2:$K$1000,2,FALSE()),IFERROR(VLOOKUP(IFERROR(VLOOKUP(D147,Mapa_Similitud!$A$2:$B$2000,2,FALSE()),D147),Omega3_Referencia!$A$2:$E$100,3,FALSE()),0))</f>
        <v>0.01</v>
      </c>
      <c r="AW147" s="3" t="str">
        <f>IFERROR(VLOOKUP(IFERROR(VLOOKUP(D147,Mapa_Similitud!$A$2:$B$2000,2,FALSE()),D147),Hoja1!$A$2:$K$1000,3,FALSE()),IFERROR(VLOOKUP(IFERROR(VLOOKUP(D147,Mapa_Similitud!$A$2:$B$2000,2,FALSE()),D147),Omega3_Referencia!$A$2:$E$100,4,FALSE()),"N/A"))</f>
        <v>ALA</v>
      </c>
      <c r="AX147" s="5">
        <f>IFERROR(VLOOKUP(IFERROR(VLOOKUP(D147,Mapa_Similitud!$A$2:$B$2000,2,FALSE()),D147),Hoja1!$A$2:$K$1000,5,FALSE()),0)</f>
        <v>0</v>
      </c>
      <c r="AY147" s="5">
        <f>IFERROR(VLOOKUP(IFERROR(VLOOKUP(D147,Mapa_Similitud!$A$2:$B$2000,2,FALSE()),D147),Hoja1!$A$2:$K$1000,7,FALSE()),0)</f>
        <v>220</v>
      </c>
      <c r="AZ147" s="5">
        <f>IFERROR(VLOOKUP(IFERROR(VLOOKUP(D147,Mapa_Similitud!$A$2:$B$2000,2,FALSE()),D147),Hoja1!$A$2:$K$1000,9,FALSE()),0)</f>
        <v>0</v>
      </c>
      <c r="BA147" s="25">
        <f t="shared" si="58"/>
        <v>6.5743944636678202E-3</v>
      </c>
      <c r="BB147" s="25">
        <f t="shared" si="59"/>
        <v>3.0103806228373699E-2</v>
      </c>
      <c r="BC147" s="25">
        <f t="shared" si="60"/>
        <v>0.2179930795847751</v>
      </c>
      <c r="BD147" s="25">
        <f t="shared" si="61"/>
        <v>6.5743944636678202E-3</v>
      </c>
      <c r="BE147" s="25">
        <f t="shared" si="62"/>
        <v>2.768166089965398E-2</v>
      </c>
      <c r="BF147" s="25">
        <f t="shared" si="63"/>
        <v>0.2</v>
      </c>
      <c r="BG147" s="25">
        <f t="shared" si="64"/>
        <v>1.1052631578947369</v>
      </c>
      <c r="BH147" s="25">
        <f t="shared" si="65"/>
        <v>0.33333333333333331</v>
      </c>
      <c r="BI147" s="25">
        <f t="shared" si="66"/>
        <v>1.2307692307692308E-2</v>
      </c>
      <c r="BJ147" s="25">
        <f t="shared" si="67"/>
        <v>1</v>
      </c>
      <c r="BK147" s="25">
        <f t="shared" si="68"/>
        <v>0.13364055299539171</v>
      </c>
      <c r="BL147" s="25">
        <f t="shared" si="69"/>
        <v>1.4013840830449827E-2</v>
      </c>
      <c r="BM147" s="25">
        <f t="shared" si="70"/>
        <v>0.17301038062283736</v>
      </c>
      <c r="BN147" s="18" t="str">
        <f t="shared" si="76"/>
        <v>Baja fuente de proteína</v>
      </c>
      <c r="BO147" s="18" t="str">
        <f t="shared" si="77"/>
        <v>Alta fuente de fibra</v>
      </c>
      <c r="BP147" s="18" t="str">
        <f t="shared" si="78"/>
        <v>Baja fuente de calcio</v>
      </c>
      <c r="BQ147" s="18" t="str">
        <f t="shared" si="79"/>
        <v>Baja fuente de hierro</v>
      </c>
      <c r="BR147" s="18" t="str">
        <f t="shared" si="80"/>
        <v>Bajo en sodio</v>
      </c>
      <c r="BS147" s="6" t="str">
        <f t="shared" si="71"/>
        <v>Proinflamatorio</v>
      </c>
      <c r="BT147" s="6" t="str">
        <f t="shared" si="72"/>
        <v>Bajo en grasas</v>
      </c>
      <c r="BU147" s="18" t="str">
        <f t="shared" si="81"/>
        <v>Equilibrio de líquidos ideal</v>
      </c>
      <c r="BV147" s="18" t="str">
        <f t="shared" si="82"/>
        <v>Baja fuente de magnesio</v>
      </c>
      <c r="BW147" s="18" t="str">
        <f t="shared" si="83"/>
        <v>Sin aporte de Omega 3</v>
      </c>
      <c r="BX147" s="18" t="str">
        <f t="shared" si="84"/>
        <v>Libre de grasas trans</v>
      </c>
      <c r="BY147" s="18" t="str">
        <f t="shared" si="85"/>
        <v>Alto poder antioxidante</v>
      </c>
      <c r="BZ147" s="6" t="str">
        <f t="shared" si="73"/>
        <v>Sin probióticos</v>
      </c>
      <c r="CA147" s="18" t="str">
        <f t="shared" si="86"/>
        <v>Antiinflamatorio</v>
      </c>
      <c r="CB147" s="18" t="str">
        <f>IF(ISNUMBER(SEARCH("miel", D147)), "No irritante (Uso condicionado SII)", IF(OR(J147&gt;0, ISNUMBER(SEARCH("cacao", D147)), ISNUMBER(SEARCH("chocolate puro", D147))), "Altamente irritante", IF(OR(AND(O147&gt;15, BI147&gt;1), ISNUMBER(SEARCH("chocolate", D147))), "Moderadamente irritante", "No irritante")))</f>
        <v>No irritante</v>
      </c>
      <c r="CC147" s="6" t="str">
        <f t="shared" si="74"/>
        <v>Balance de omegas favorable</v>
      </c>
    </row>
    <row r="148" spans="1:81" ht="15" customHeight="1" x14ac:dyDescent="0.3">
      <c r="A148" s="2">
        <f t="shared" si="75"/>
        <v>147</v>
      </c>
      <c r="B148" s="3" t="s">
        <v>234</v>
      </c>
      <c r="C148" s="3" t="s">
        <v>249</v>
      </c>
      <c r="D148" s="3" t="s">
        <v>254</v>
      </c>
      <c r="E148" s="3"/>
      <c r="F148" s="4">
        <v>2.5</v>
      </c>
      <c r="G148" s="5">
        <v>1</v>
      </c>
      <c r="H148" s="5">
        <v>305</v>
      </c>
      <c r="I148" s="5">
        <v>21.2</v>
      </c>
      <c r="J148" s="5">
        <v>0</v>
      </c>
      <c r="K148" s="5">
        <v>2.5</v>
      </c>
      <c r="L148" s="5">
        <v>69.3</v>
      </c>
      <c r="M148" s="5">
        <v>0</v>
      </c>
      <c r="N148" s="5">
        <v>69.3</v>
      </c>
      <c r="O148" s="5">
        <v>0</v>
      </c>
      <c r="P148" s="5">
        <v>6.5</v>
      </c>
      <c r="Q148" s="5">
        <v>0.5</v>
      </c>
      <c r="R148" s="5">
        <v>0.16</v>
      </c>
      <c r="S148" s="5">
        <v>0.14000000000000001</v>
      </c>
      <c r="T148" s="5">
        <v>0.14000000000000001</v>
      </c>
      <c r="U148" s="5">
        <v>0</v>
      </c>
      <c r="V148" s="5">
        <v>5</v>
      </c>
      <c r="W148" s="5">
        <v>0</v>
      </c>
      <c r="X148" s="5">
        <v>30</v>
      </c>
      <c r="Y148" s="5">
        <v>0</v>
      </c>
      <c r="Z148" s="5">
        <v>0.12</v>
      </c>
      <c r="AA148" s="5">
        <v>3.5</v>
      </c>
      <c r="AB148" s="5">
        <v>0.12</v>
      </c>
      <c r="AC148" s="5">
        <v>5.5E-2</v>
      </c>
      <c r="AD148" s="5">
        <v>0.68</v>
      </c>
      <c r="AE148" s="5">
        <v>0.25</v>
      </c>
      <c r="AF148" s="5">
        <v>10</v>
      </c>
      <c r="AG148" s="5">
        <v>0</v>
      </c>
      <c r="AH148" s="5">
        <v>0.15</v>
      </c>
      <c r="AI148" s="5">
        <v>2</v>
      </c>
      <c r="AJ148" s="5">
        <v>1</v>
      </c>
      <c r="AK148" s="5">
        <v>80</v>
      </c>
      <c r="AL148" s="5">
        <v>111</v>
      </c>
      <c r="AM148" s="5">
        <v>2.2999999999999998</v>
      </c>
      <c r="AN148" s="5">
        <v>2</v>
      </c>
      <c r="AO148" s="5">
        <v>0.25</v>
      </c>
      <c r="AP148" s="5">
        <v>41</v>
      </c>
      <c r="AQ148" s="5">
        <v>21</v>
      </c>
      <c r="AR148" s="5">
        <v>782</v>
      </c>
      <c r="AS148" s="5">
        <v>0.46</v>
      </c>
      <c r="AT148" s="5">
        <v>0.37</v>
      </c>
      <c r="AU148" s="5">
        <v>7.3</v>
      </c>
      <c r="AV148" s="5">
        <f>IFERROR(VLOOKUP(IFERROR(VLOOKUP(D148,Mapa_Similitud!$A$2:$B$2000,2,FALSE()),D148),Hoja1!$A$2:$K$1000,2,FALSE()),IFERROR(VLOOKUP(IFERROR(VLOOKUP(D148,Mapa_Similitud!$A$2:$B$2000,2,FALSE()),D148),Omega3_Referencia!$A$2:$E$100,3,FALSE()),0))</f>
        <v>0.01</v>
      </c>
      <c r="AW148" s="3" t="str">
        <f>IFERROR(VLOOKUP(IFERROR(VLOOKUP(D148,Mapa_Similitud!$A$2:$B$2000,2,FALSE()),D148),Hoja1!$A$2:$K$1000,3,FALSE()),IFERROR(VLOOKUP(IFERROR(VLOOKUP(D148,Mapa_Similitud!$A$2:$B$2000,2,FALSE()),D148),Omega3_Referencia!$A$2:$E$100,4,FALSE()),"N/A"))</f>
        <v>ALA</v>
      </c>
      <c r="AX148" s="5">
        <f>IFERROR(VLOOKUP(IFERROR(VLOOKUP(D148,Mapa_Similitud!$A$2:$B$2000,2,FALSE()),D148),Hoja1!$A$2:$K$1000,5,FALSE()),0)</f>
        <v>0</v>
      </c>
      <c r="AY148" s="5">
        <f>IFERROR(VLOOKUP(IFERROR(VLOOKUP(D148,Mapa_Similitud!$A$2:$B$2000,2,FALSE()),D148),Hoja1!$A$2:$K$1000,7,FALSE()),0)</f>
        <v>230</v>
      </c>
      <c r="AZ148" s="5">
        <f>IFERROR(VLOOKUP(IFERROR(VLOOKUP(D148,Mapa_Similitud!$A$2:$B$2000,2,FALSE()),D148),Hoja1!$A$2:$K$1000,9,FALSE()),0)</f>
        <v>0</v>
      </c>
      <c r="BA148" s="25">
        <f t="shared" si="58"/>
        <v>8.1967213114754103E-3</v>
      </c>
      <c r="BB148" s="25">
        <f t="shared" si="59"/>
        <v>2.1311475409836064E-2</v>
      </c>
      <c r="BC148" s="25">
        <f t="shared" si="60"/>
        <v>0.26229508196721313</v>
      </c>
      <c r="BD148" s="25">
        <f t="shared" si="61"/>
        <v>7.5409836065573766E-3</v>
      </c>
      <c r="BE148" s="25">
        <f t="shared" si="62"/>
        <v>6.8852459016393447E-2</v>
      </c>
      <c r="BF148" s="25">
        <f t="shared" si="63"/>
        <v>0.87500000000000011</v>
      </c>
      <c r="BG148" s="25">
        <f t="shared" si="64"/>
        <v>0.72072072072072069</v>
      </c>
      <c r="BH148" s="25">
        <f t="shared" si="65"/>
        <v>0.32</v>
      </c>
      <c r="BI148" s="25">
        <f t="shared" si="66"/>
        <v>2.6854219948849106E-2</v>
      </c>
      <c r="BJ148" s="25">
        <f t="shared" si="67"/>
        <v>1</v>
      </c>
      <c r="BK148" s="25">
        <f t="shared" si="68"/>
        <v>9.3795093795093792E-2</v>
      </c>
      <c r="BL148" s="25">
        <f t="shared" si="69"/>
        <v>1.4754098360655738E-2</v>
      </c>
      <c r="BM148" s="25">
        <f t="shared" si="70"/>
        <v>0.13442622950819672</v>
      </c>
      <c r="BN148" s="18" t="str">
        <f t="shared" si="76"/>
        <v>Baja fuente de proteína</v>
      </c>
      <c r="BO148" s="18" t="str">
        <f t="shared" si="77"/>
        <v>Media fuente de fibra</v>
      </c>
      <c r="BP148" s="18" t="str">
        <f t="shared" si="78"/>
        <v>Baja fuente de calcio</v>
      </c>
      <c r="BQ148" s="18" t="str">
        <f t="shared" si="79"/>
        <v>Baja fuente de hierro</v>
      </c>
      <c r="BR148" s="18" t="str">
        <f t="shared" si="80"/>
        <v>Bajo en sodio</v>
      </c>
      <c r="BS148" s="6" t="str">
        <f t="shared" si="71"/>
        <v>Neutro</v>
      </c>
      <c r="BT148" s="6" t="str">
        <f t="shared" si="72"/>
        <v>Bajo en grasas</v>
      </c>
      <c r="BU148" s="18" t="str">
        <f t="shared" si="81"/>
        <v>Equilibrio de líquidos ideal</v>
      </c>
      <c r="BV148" s="18" t="str">
        <f t="shared" si="82"/>
        <v>Baja fuente de magnesio</v>
      </c>
      <c r="BW148" s="18" t="str">
        <f t="shared" si="83"/>
        <v>Sin aporte de Omega 3</v>
      </c>
      <c r="BX148" s="18" t="str">
        <f t="shared" si="84"/>
        <v>Libre de grasas trans</v>
      </c>
      <c r="BY148" s="18" t="str">
        <f t="shared" si="85"/>
        <v>Alto poder antioxidante</v>
      </c>
      <c r="BZ148" s="6" t="str">
        <f t="shared" si="73"/>
        <v>Sin probióticos</v>
      </c>
      <c r="CA148" s="18" t="str">
        <f t="shared" si="86"/>
        <v>Antiinflamatorio</v>
      </c>
      <c r="CB148" s="18" t="str">
        <f>IF(ISNUMBER(SEARCH("miel", D148)), "No irritante (Uso condicionado SII)", IF(OR(J148&gt;0, ISNUMBER(SEARCH("cacao", D148)), ISNUMBER(SEARCH("chocolate puro", D148))), "Altamente irritante", IF(OR(AND(O148&gt;15, BI148&gt;1), ISNUMBER(SEARCH("chocolate", D148))), "Moderadamente irritante", "No irritante")))</f>
        <v>No irritante</v>
      </c>
      <c r="CC148" s="6" t="str">
        <f t="shared" si="74"/>
        <v>Exceso relativo de Omega 6</v>
      </c>
    </row>
    <row r="149" spans="1:81" ht="15" customHeight="1" x14ac:dyDescent="0.3">
      <c r="A149" s="2">
        <f t="shared" si="75"/>
        <v>148</v>
      </c>
      <c r="B149" s="3" t="s">
        <v>234</v>
      </c>
      <c r="C149" s="3" t="s">
        <v>255</v>
      </c>
      <c r="D149" s="3" t="s">
        <v>256</v>
      </c>
      <c r="E149" s="3" t="s">
        <v>257</v>
      </c>
      <c r="F149" s="4">
        <v>1.2</v>
      </c>
      <c r="G149" s="5">
        <v>0.71</v>
      </c>
      <c r="H149" s="5">
        <v>233</v>
      </c>
      <c r="I149" s="5">
        <v>67.900000000000006</v>
      </c>
      <c r="J149" s="5">
        <v>0</v>
      </c>
      <c r="K149" s="5">
        <v>1.9</v>
      </c>
      <c r="L149" s="5">
        <v>0.4</v>
      </c>
      <c r="M149" s="5">
        <v>0</v>
      </c>
      <c r="N149" s="5">
        <v>0.4</v>
      </c>
      <c r="O149" s="5">
        <v>0</v>
      </c>
      <c r="P149" s="5">
        <v>6.3</v>
      </c>
      <c r="Q149" s="5">
        <v>23.5</v>
      </c>
      <c r="R149" s="5">
        <v>1.9</v>
      </c>
      <c r="S149" s="5">
        <v>15.5</v>
      </c>
      <c r="T149" s="5">
        <v>1.9</v>
      </c>
      <c r="U149" s="5">
        <v>0</v>
      </c>
      <c r="V149" s="5">
        <v>19.3</v>
      </c>
      <c r="W149" s="5">
        <v>0</v>
      </c>
      <c r="X149" s="5">
        <v>116</v>
      </c>
      <c r="Y149" s="5">
        <v>0</v>
      </c>
      <c r="Z149" s="5">
        <v>1.3</v>
      </c>
      <c r="AA149" s="5">
        <v>19</v>
      </c>
      <c r="AB149" s="5">
        <v>0.08</v>
      </c>
      <c r="AC149" s="5">
        <v>0.15</v>
      </c>
      <c r="AD149" s="5">
        <v>1.4</v>
      </c>
      <c r="AE149" s="5">
        <v>0.36</v>
      </c>
      <c r="AF149" s="5">
        <v>30</v>
      </c>
      <c r="AG149" s="5">
        <v>0</v>
      </c>
      <c r="AH149" s="5">
        <v>1.1000000000000001</v>
      </c>
      <c r="AI149" s="5">
        <v>10</v>
      </c>
      <c r="AJ149" s="5">
        <v>6</v>
      </c>
      <c r="AK149" s="5">
        <v>12</v>
      </c>
      <c r="AL149" s="5">
        <v>43</v>
      </c>
      <c r="AM149" s="5">
        <v>0.49</v>
      </c>
      <c r="AN149" s="5">
        <v>1</v>
      </c>
      <c r="AO149" s="5">
        <v>0.4</v>
      </c>
      <c r="AP149" s="5">
        <v>30</v>
      </c>
      <c r="AQ149" s="5">
        <v>4.7</v>
      </c>
      <c r="AR149" s="5">
        <v>487</v>
      </c>
      <c r="AS149" s="5">
        <v>0.2</v>
      </c>
      <c r="AT149" s="5">
        <v>0.23</v>
      </c>
      <c r="AU149" s="5">
        <v>0.4</v>
      </c>
      <c r="AV149" s="5">
        <f>IFERROR(VLOOKUP(IFERROR(VLOOKUP(D149,Mapa_Similitud!$A$2:$B$2000,2,FALSE()),D149),Hoja1!$A$2:$K$1000,2,FALSE()),IFERROR(VLOOKUP(IFERROR(VLOOKUP(D149,Mapa_Similitud!$A$2:$B$2000,2,FALSE()),D149),Omega3_Referencia!$A$2:$E$100,3,FALSE()),0))</f>
        <v>0.11</v>
      </c>
      <c r="AW149" s="3" t="str">
        <f>IFERROR(VLOOKUP(IFERROR(VLOOKUP(D149,Mapa_Similitud!$A$2:$B$2000,2,FALSE()),D149),Hoja1!$A$2:$K$1000,3,FALSE()),IFERROR(VLOOKUP(IFERROR(VLOOKUP(D149,Mapa_Similitud!$A$2:$B$2000,2,FALSE()),D149),Omega3_Referencia!$A$2:$E$100,4,FALSE()),"N/A"))</f>
        <v>ALA</v>
      </c>
      <c r="AX149" s="5">
        <f>IFERROR(VLOOKUP(IFERROR(VLOOKUP(D149,Mapa_Similitud!$A$2:$B$2000,2,FALSE()),D149),Hoja1!$A$2:$K$1000,5,FALSE()),0)</f>
        <v>0</v>
      </c>
      <c r="AY149" s="5">
        <f>IFERROR(VLOOKUP(IFERROR(VLOOKUP(D149,Mapa_Similitud!$A$2:$B$2000,2,FALSE()),D149),Hoja1!$A$2:$K$1000,7,FALSE()),0)</f>
        <v>45</v>
      </c>
      <c r="AZ149" s="5">
        <f>IFERROR(VLOOKUP(IFERROR(VLOOKUP(D149,Mapa_Similitud!$A$2:$B$2000,2,FALSE()),D149),Hoja1!$A$2:$K$1000,9,FALSE()),0)</f>
        <v>0</v>
      </c>
      <c r="BA149" s="25">
        <f t="shared" si="58"/>
        <v>8.1545064377682407E-3</v>
      </c>
      <c r="BB149" s="25">
        <f t="shared" si="59"/>
        <v>2.7038626609442059E-2</v>
      </c>
      <c r="BC149" s="25">
        <f t="shared" si="60"/>
        <v>5.1502145922746781E-2</v>
      </c>
      <c r="BD149" s="25">
        <f t="shared" si="61"/>
        <v>2.1030042918454934E-3</v>
      </c>
      <c r="BE149" s="25">
        <f t="shared" si="62"/>
        <v>2.017167381974249E-2</v>
      </c>
      <c r="BF149" s="25">
        <f t="shared" si="63"/>
        <v>1</v>
      </c>
      <c r="BG149" s="25">
        <f t="shared" si="64"/>
        <v>0.27906976744186046</v>
      </c>
      <c r="BH149" s="25">
        <f t="shared" si="65"/>
        <v>8.0851063829787226E-2</v>
      </c>
      <c r="BI149" s="25">
        <f t="shared" si="66"/>
        <v>9.6509240246406575E-3</v>
      </c>
      <c r="BJ149" s="25">
        <f t="shared" si="67"/>
        <v>1</v>
      </c>
      <c r="BK149" s="25">
        <f t="shared" si="68"/>
        <v>15.749999999999998</v>
      </c>
      <c r="BL149" s="25">
        <f t="shared" si="69"/>
        <v>0.90772532188841204</v>
      </c>
      <c r="BM149" s="25">
        <f t="shared" si="70"/>
        <v>0.12875536480686695</v>
      </c>
      <c r="BN149" s="18" t="str">
        <f t="shared" si="76"/>
        <v>Baja fuente de proteína</v>
      </c>
      <c r="BO149" s="18" t="str">
        <f t="shared" si="77"/>
        <v>Media fuente de fibra</v>
      </c>
      <c r="BP149" s="18" t="str">
        <f t="shared" si="78"/>
        <v>Baja fuente de calcio</v>
      </c>
      <c r="BQ149" s="18" t="str">
        <f t="shared" si="79"/>
        <v>Baja fuente de hierro</v>
      </c>
      <c r="BR149" s="18" t="str">
        <f t="shared" si="80"/>
        <v>Bajo en sodio</v>
      </c>
      <c r="BS149" s="6" t="str">
        <f t="shared" si="71"/>
        <v>Neutro</v>
      </c>
      <c r="BT149" s="6" t="str">
        <f t="shared" si="72"/>
        <v>Muy alto en grasas</v>
      </c>
      <c r="BU149" s="18" t="str">
        <f t="shared" si="81"/>
        <v>Equilibrio de líquidos ideal</v>
      </c>
      <c r="BV149" s="18" t="str">
        <f t="shared" si="82"/>
        <v>Baja fuente de magnesio</v>
      </c>
      <c r="BW149" s="18" t="str">
        <f t="shared" si="83"/>
        <v>Ligera fuente de Omega 3</v>
      </c>
      <c r="BX149" s="18" t="str">
        <f t="shared" si="84"/>
        <v>Libre de grasas trans</v>
      </c>
      <c r="BY149" s="18" t="str">
        <f t="shared" si="85"/>
        <v>Medio poder antioxidante</v>
      </c>
      <c r="BZ149" s="6" t="str">
        <f t="shared" si="73"/>
        <v>Sin probióticos</v>
      </c>
      <c r="CA149" s="18" t="str">
        <f t="shared" si="86"/>
        <v>Poco inflamatorio</v>
      </c>
      <c r="CB149" s="18" t="str">
        <f>IF(ISNUMBER(SEARCH("miel", D149)), "No irritante (Uso condicionado SII)", IF(OR(J149&gt;0, ISNUMBER(SEARCH("cacao", D149)), ISNUMBER(SEARCH("chocolate puro", D149))), "Altamente irritante", IF(OR(AND(O149&gt;15, BI149&gt;1), ISNUMBER(SEARCH("chocolate", D149))), "Moderadamente irritante", "No irritante")))</f>
        <v>No irritante</v>
      </c>
      <c r="CC149" s="6" t="str">
        <f t="shared" si="74"/>
        <v>Exceso relativo de Omega 6</v>
      </c>
    </row>
    <row r="150" spans="1:81" ht="15" customHeight="1" x14ac:dyDescent="0.3">
      <c r="A150" s="2">
        <f t="shared" si="75"/>
        <v>149</v>
      </c>
      <c r="B150" s="3" t="s">
        <v>234</v>
      </c>
      <c r="C150" s="3" t="s">
        <v>255</v>
      </c>
      <c r="D150" s="3" t="s">
        <v>258</v>
      </c>
      <c r="E150" s="3"/>
      <c r="F150" s="4">
        <v>2</v>
      </c>
      <c r="G150" s="5">
        <v>0.92</v>
      </c>
      <c r="H150" s="5">
        <v>41.4</v>
      </c>
      <c r="I150" s="5">
        <v>88.9</v>
      </c>
      <c r="J150" s="5">
        <v>0</v>
      </c>
      <c r="K150" s="5">
        <v>0.88</v>
      </c>
      <c r="L150" s="5">
        <v>8.5</v>
      </c>
      <c r="M150" s="5">
        <v>0</v>
      </c>
      <c r="N150" s="5">
        <v>8.5</v>
      </c>
      <c r="O150" s="5">
        <v>0</v>
      </c>
      <c r="P150" s="5">
        <v>1.5</v>
      </c>
      <c r="Q150" s="5">
        <v>0.1</v>
      </c>
      <c r="R150" s="5">
        <v>0.01</v>
      </c>
      <c r="S150" s="5">
        <v>0.04</v>
      </c>
      <c r="T150" s="5">
        <v>0.02</v>
      </c>
      <c r="U150" s="5">
        <v>0</v>
      </c>
      <c r="V150" s="5">
        <v>26</v>
      </c>
      <c r="W150" s="5">
        <v>0</v>
      </c>
      <c r="X150" s="5">
        <v>156</v>
      </c>
      <c r="Y150" s="5">
        <v>0</v>
      </c>
      <c r="Z150" s="5">
        <v>0.5</v>
      </c>
      <c r="AA150" s="5">
        <v>3.3</v>
      </c>
      <c r="AB150" s="5">
        <v>0.04</v>
      </c>
      <c r="AC150" s="5">
        <v>5.2999999999999999E-2</v>
      </c>
      <c r="AD150" s="5">
        <v>0.65</v>
      </c>
      <c r="AE150" s="5">
        <v>7.0000000000000007E-2</v>
      </c>
      <c r="AF150" s="5">
        <v>5</v>
      </c>
      <c r="AG150" s="5">
        <v>0</v>
      </c>
      <c r="AH150" s="5">
        <v>0.27</v>
      </c>
      <c r="AI150" s="5">
        <v>0</v>
      </c>
      <c r="AJ150" s="5">
        <v>6</v>
      </c>
      <c r="AK150" s="5">
        <v>16</v>
      </c>
      <c r="AL150" s="5">
        <v>21</v>
      </c>
      <c r="AM150" s="5">
        <v>0.65</v>
      </c>
      <c r="AN150" s="5">
        <v>0.5</v>
      </c>
      <c r="AO150" s="5">
        <v>0.14000000000000001</v>
      </c>
      <c r="AP150" s="5">
        <v>11</v>
      </c>
      <c r="AQ150" s="5">
        <v>2</v>
      </c>
      <c r="AR150" s="5">
        <v>279</v>
      </c>
      <c r="AS150" s="5">
        <v>0.16</v>
      </c>
      <c r="AT150" s="5">
        <v>0.13</v>
      </c>
      <c r="AU150" s="5">
        <v>1.3</v>
      </c>
      <c r="AV150" s="5">
        <f>IFERROR(VLOOKUP(IFERROR(VLOOKUP(D150,Mapa_Similitud!$A$2:$B$2000,2,FALSE()),D150),Hoja1!$A$2:$K$1000,2,FALSE()),IFERROR(VLOOKUP(IFERROR(VLOOKUP(D150,Mapa_Similitud!$A$2:$B$2000,2,FALSE()),D150),Omega3_Referencia!$A$2:$E$100,3,FALSE()),0))</f>
        <v>0</v>
      </c>
      <c r="AW150" s="3" t="str">
        <f>IFERROR(VLOOKUP(IFERROR(VLOOKUP(D150,Mapa_Similitud!$A$2:$B$2000,2,FALSE()),D150),Hoja1!$A$2:$K$1000,3,FALSE()),IFERROR(VLOOKUP(IFERROR(VLOOKUP(D150,Mapa_Similitud!$A$2:$B$2000,2,FALSE()),D150),Omega3_Referencia!$A$2:$E$100,4,FALSE()),"N/A"))</f>
        <v>N/A</v>
      </c>
      <c r="AX150" s="5">
        <f>IFERROR(VLOOKUP(IFERROR(VLOOKUP(D150,Mapa_Similitud!$A$2:$B$2000,2,FALSE()),D150),Hoja1!$A$2:$K$1000,5,FALSE()),0)</f>
        <v>0</v>
      </c>
      <c r="AY150" s="5">
        <f>IFERROR(VLOOKUP(IFERROR(VLOOKUP(D150,Mapa_Similitud!$A$2:$B$2000,2,FALSE()),D150),Hoja1!$A$2:$K$1000,7,FALSE()),0)</f>
        <v>85</v>
      </c>
      <c r="AZ150" s="5">
        <f>IFERROR(VLOOKUP(IFERROR(VLOOKUP(D150,Mapa_Similitud!$A$2:$B$2000,2,FALSE()),D150),Hoja1!$A$2:$K$1000,9,FALSE()),0)</f>
        <v>0</v>
      </c>
      <c r="BA150" s="25">
        <f t="shared" si="58"/>
        <v>2.1256038647342997E-2</v>
      </c>
      <c r="BB150" s="25">
        <f t="shared" si="59"/>
        <v>3.6231884057971016E-2</v>
      </c>
      <c r="BC150" s="25">
        <f t="shared" si="60"/>
        <v>0.38647342995169082</v>
      </c>
      <c r="BD150" s="25">
        <f t="shared" si="61"/>
        <v>1.570048309178744E-2</v>
      </c>
      <c r="BE150" s="25">
        <f t="shared" si="62"/>
        <v>4.8309178743961352E-2</v>
      </c>
      <c r="BF150" s="25">
        <f t="shared" si="63"/>
        <v>2</v>
      </c>
      <c r="BG150" s="25">
        <f t="shared" si="64"/>
        <v>0.76190476190476186</v>
      </c>
      <c r="BH150" s="25">
        <f t="shared" si="65"/>
        <v>9.9999999999999992E-2</v>
      </c>
      <c r="BI150" s="25">
        <f t="shared" si="66"/>
        <v>7.1684587813620072E-3</v>
      </c>
      <c r="BJ150" s="25">
        <f t="shared" si="67"/>
        <v>1</v>
      </c>
      <c r="BK150" s="25">
        <f t="shared" si="68"/>
        <v>0.17647058823529413</v>
      </c>
      <c r="BL150" s="25">
        <f t="shared" si="69"/>
        <v>2.1739130434782612E-2</v>
      </c>
      <c r="BM150" s="25">
        <f t="shared" si="70"/>
        <v>0.26570048309178745</v>
      </c>
      <c r="BN150" s="18" t="str">
        <f t="shared" si="76"/>
        <v>Baja fuente de proteína</v>
      </c>
      <c r="BO150" s="18" t="str">
        <f t="shared" si="77"/>
        <v>Alta fuente de fibra</v>
      </c>
      <c r="BP150" s="18" t="str">
        <f t="shared" si="78"/>
        <v>Baja fuente de calcio</v>
      </c>
      <c r="BQ150" s="18" t="str">
        <f t="shared" si="79"/>
        <v>Alta fuente de hierro</v>
      </c>
      <c r="BR150" s="18" t="str">
        <f t="shared" si="80"/>
        <v>Bajo en sodio</v>
      </c>
      <c r="BS150" s="6" t="str">
        <f t="shared" si="71"/>
        <v>Ligeramente antiinflamatorio</v>
      </c>
      <c r="BT150" s="6" t="str">
        <f t="shared" si="72"/>
        <v>Bajo en grasas</v>
      </c>
      <c r="BU150" s="18" t="str">
        <f t="shared" si="81"/>
        <v>Equilibrio de líquidos ideal</v>
      </c>
      <c r="BV150" s="18" t="str">
        <f t="shared" si="82"/>
        <v>Media fuente de magnesio</v>
      </c>
      <c r="BW150" s="18" t="str">
        <f t="shared" si="83"/>
        <v>Sin aporte de Omega 3</v>
      </c>
      <c r="BX150" s="18" t="str">
        <f t="shared" si="84"/>
        <v>Libre de grasas trans</v>
      </c>
      <c r="BY150" s="18" t="str">
        <f t="shared" si="85"/>
        <v>Alto poder antioxidante</v>
      </c>
      <c r="BZ150" s="6" t="str">
        <f t="shared" si="73"/>
        <v>Sin probióticos</v>
      </c>
      <c r="CA150" s="18" t="str">
        <f t="shared" si="86"/>
        <v>Antiinflamatorio</v>
      </c>
      <c r="CB150" s="18" t="str">
        <f>IF(ISNUMBER(SEARCH("miel", D150)), "No irritante (Uso condicionado SII)", IF(OR(J150&gt;0, ISNUMBER(SEARCH("cacao", D150)), ISNUMBER(SEARCH("chocolate puro", D150))), "Altamente irritante", IF(OR(AND(O150&gt;15, BI150&gt;1), ISNUMBER(SEARCH("chocolate", D150))), "Moderadamente irritante", "No irritante")))</f>
        <v>No irritante</v>
      </c>
      <c r="CC150" s="6" t="str">
        <f t="shared" si="74"/>
        <v>Sin Omega 3 para evaluar</v>
      </c>
    </row>
    <row r="151" spans="1:81" ht="15" customHeight="1" x14ac:dyDescent="0.3">
      <c r="A151" s="2">
        <f t="shared" si="75"/>
        <v>150</v>
      </c>
      <c r="B151" s="3" t="s">
        <v>234</v>
      </c>
      <c r="C151" s="3" t="s">
        <v>255</v>
      </c>
      <c r="D151" s="3" t="s">
        <v>259</v>
      </c>
      <c r="E151" s="3"/>
      <c r="F151" s="4">
        <v>2.5</v>
      </c>
      <c r="G151" s="5">
        <v>0.99</v>
      </c>
      <c r="H151" s="5">
        <v>42.1</v>
      </c>
      <c r="I151" s="5">
        <v>87.8</v>
      </c>
      <c r="J151" s="5">
        <v>0</v>
      </c>
      <c r="K151" s="5">
        <v>0.63</v>
      </c>
      <c r="L151" s="5">
        <v>6.1</v>
      </c>
      <c r="M151" s="5">
        <v>0</v>
      </c>
      <c r="N151" s="5">
        <v>6.1</v>
      </c>
      <c r="O151" s="5">
        <v>0</v>
      </c>
      <c r="P151" s="5">
        <v>4.9000000000000004</v>
      </c>
      <c r="Q151" s="5">
        <v>0.6</v>
      </c>
      <c r="R151" s="5">
        <v>0</v>
      </c>
      <c r="S151" s="5">
        <v>0</v>
      </c>
      <c r="T151" s="5">
        <v>0</v>
      </c>
      <c r="U151" s="5">
        <v>0</v>
      </c>
      <c r="V151" s="5">
        <v>34</v>
      </c>
      <c r="W151" s="5">
        <v>0</v>
      </c>
      <c r="X151" s="5">
        <v>204</v>
      </c>
      <c r="Y151" s="5">
        <v>0</v>
      </c>
      <c r="Z151" s="5">
        <v>1.9</v>
      </c>
      <c r="AA151" s="5">
        <v>12</v>
      </c>
      <c r="AB151" s="5">
        <v>0.02</v>
      </c>
      <c r="AC151" s="5">
        <v>0.02</v>
      </c>
      <c r="AD151" s="5">
        <v>0.09</v>
      </c>
      <c r="AE151" s="5">
        <v>0.06</v>
      </c>
      <c r="AF151" s="5">
        <v>10</v>
      </c>
      <c r="AG151" s="5">
        <v>0</v>
      </c>
      <c r="AH151" s="5">
        <v>0.16</v>
      </c>
      <c r="AI151" s="5">
        <v>1.1000000000000001</v>
      </c>
      <c r="AJ151" s="5">
        <v>22</v>
      </c>
      <c r="AK151" s="5">
        <v>10</v>
      </c>
      <c r="AL151" s="5">
        <v>13</v>
      </c>
      <c r="AM151" s="5">
        <v>0.74</v>
      </c>
      <c r="AN151" s="5">
        <v>1</v>
      </c>
      <c r="AO151" s="5">
        <v>0.13</v>
      </c>
      <c r="AP151" s="5">
        <v>2.4</v>
      </c>
      <c r="AQ151" s="5">
        <v>1</v>
      </c>
      <c r="AR151" s="5">
        <v>78</v>
      </c>
      <c r="AS151" s="5">
        <v>4.2</v>
      </c>
      <c r="AT151" s="5">
        <v>7.6999999999999999E-2</v>
      </c>
      <c r="AU151" s="5">
        <v>0.1</v>
      </c>
      <c r="AV151" s="5">
        <f>IFERROR(VLOOKUP(IFERROR(VLOOKUP(D151,Mapa_Similitud!$A$2:$B$2000,2,FALSE()),D151),Hoja1!$A$2:$K$1000,2,FALSE()),IFERROR(VLOOKUP(IFERROR(VLOOKUP(D151,Mapa_Similitud!$A$2:$B$2000,2,FALSE()),D151),Omega3_Referencia!$A$2:$E$100,3,FALSE()),0))</f>
        <v>0.06</v>
      </c>
      <c r="AW151" s="3" t="str">
        <f>IFERROR(VLOOKUP(IFERROR(VLOOKUP(D151,Mapa_Similitud!$A$2:$B$2000,2,FALSE()),D151),Hoja1!$A$2:$K$1000,3,FALSE()),IFERROR(VLOOKUP(IFERROR(VLOOKUP(D151,Mapa_Similitud!$A$2:$B$2000,2,FALSE()),D151),Omega3_Referencia!$A$2:$E$100,4,FALSE()),"N/A"))</f>
        <v>ALA</v>
      </c>
      <c r="AX151" s="5">
        <f>IFERROR(VLOOKUP(IFERROR(VLOOKUP(D151,Mapa_Similitud!$A$2:$B$2000,2,FALSE()),D151),Hoja1!$A$2:$K$1000,5,FALSE()),0)</f>
        <v>0</v>
      </c>
      <c r="AY151" s="5">
        <f>IFERROR(VLOOKUP(IFERROR(VLOOKUP(D151,Mapa_Similitud!$A$2:$B$2000,2,FALSE()),D151),Hoja1!$A$2:$K$1000,7,FALSE()),0)</f>
        <v>350</v>
      </c>
      <c r="AZ151" s="5">
        <f>IFERROR(VLOOKUP(IFERROR(VLOOKUP(D151,Mapa_Similitud!$A$2:$B$2000,2,FALSE()),D151),Hoja1!$A$2:$K$1000,9,FALSE()),0)</f>
        <v>0</v>
      </c>
      <c r="BA151" s="25">
        <f t="shared" si="58"/>
        <v>1.4964370546318289E-2</v>
      </c>
      <c r="BB151" s="25">
        <f t="shared" si="59"/>
        <v>0.1163895486935867</v>
      </c>
      <c r="BC151" s="25">
        <f t="shared" si="60"/>
        <v>0.23752969121140141</v>
      </c>
      <c r="BD151" s="25">
        <f t="shared" si="61"/>
        <v>1.7577197149643703E-2</v>
      </c>
      <c r="BE151" s="25">
        <f t="shared" si="62"/>
        <v>2.3752969121140142E-2</v>
      </c>
      <c r="BF151" s="25">
        <f t="shared" si="63"/>
        <v>0</v>
      </c>
      <c r="BG151" s="25">
        <f t="shared" si="64"/>
        <v>0.76923076923076927</v>
      </c>
      <c r="BH151" s="25">
        <f t="shared" si="65"/>
        <v>0</v>
      </c>
      <c r="BI151" s="25">
        <f t="shared" si="66"/>
        <v>1.282051282051282E-2</v>
      </c>
      <c r="BJ151" s="25">
        <f t="shared" si="67"/>
        <v>1</v>
      </c>
      <c r="BK151" s="25">
        <f t="shared" si="68"/>
        <v>0.80327868852459028</v>
      </c>
      <c r="BL151" s="25">
        <f t="shared" si="69"/>
        <v>0.12826603325415675</v>
      </c>
      <c r="BM151" s="25">
        <f t="shared" si="70"/>
        <v>5.7007125890736338E-2</v>
      </c>
      <c r="BN151" s="18" t="str">
        <f t="shared" si="76"/>
        <v>Baja fuente de proteína</v>
      </c>
      <c r="BO151" s="18" t="str">
        <f t="shared" si="77"/>
        <v>Alta fuente de fibra</v>
      </c>
      <c r="BP151" s="18" t="str">
        <f t="shared" si="78"/>
        <v>Baja fuente de calcio</v>
      </c>
      <c r="BQ151" s="18" t="str">
        <f t="shared" si="79"/>
        <v>Alta fuente de hierro</v>
      </c>
      <c r="BR151" s="18" t="str">
        <f t="shared" si="80"/>
        <v>Bajo en sodio</v>
      </c>
      <c r="BS151" s="6" t="str">
        <f t="shared" si="71"/>
        <v>Proinflamatorio</v>
      </c>
      <c r="BT151" s="6" t="str">
        <f t="shared" si="72"/>
        <v>Bajo en grasas</v>
      </c>
      <c r="BU151" s="18" t="str">
        <f t="shared" si="81"/>
        <v>Equilibrio de líquidos ideal</v>
      </c>
      <c r="BV151" s="18" t="str">
        <f t="shared" si="82"/>
        <v>Baja fuente de magnesio</v>
      </c>
      <c r="BW151" s="18" t="str">
        <f t="shared" si="83"/>
        <v>Sin aporte de Omega 3</v>
      </c>
      <c r="BX151" s="18" t="str">
        <f t="shared" si="84"/>
        <v>Libre de grasas trans</v>
      </c>
      <c r="BY151" s="18" t="str">
        <f t="shared" si="85"/>
        <v>Alto poder antioxidante</v>
      </c>
      <c r="BZ151" s="6" t="str">
        <f t="shared" si="73"/>
        <v>Sin probióticos</v>
      </c>
      <c r="CA151" s="18" t="str">
        <f t="shared" si="86"/>
        <v>Antiinflamatorio</v>
      </c>
      <c r="CB151" s="18" t="str">
        <f>IF(ISNUMBER(SEARCH("miel", D151)), "No irritante (Uso condicionado SII)", IF(OR(J151&gt;0, ISNUMBER(SEARCH("cacao", D151)), ISNUMBER(SEARCH("chocolate puro", D151))), "Altamente irritante", IF(OR(AND(O151&gt;15, BI151&gt;1), ISNUMBER(SEARCH("chocolate", D151))), "Moderadamente irritante", "No irritante")))</f>
        <v>No irritante</v>
      </c>
      <c r="CC151" s="6" t="str">
        <f t="shared" si="74"/>
        <v>Balance de omegas favorable</v>
      </c>
    </row>
    <row r="152" spans="1:81" ht="15" customHeight="1" x14ac:dyDescent="0.3">
      <c r="A152" s="2">
        <f t="shared" si="75"/>
        <v>151</v>
      </c>
      <c r="B152" s="3" t="s">
        <v>234</v>
      </c>
      <c r="C152" s="3" t="s">
        <v>255</v>
      </c>
      <c r="D152" s="3" t="s">
        <v>260</v>
      </c>
      <c r="E152" s="3"/>
      <c r="F152" s="4">
        <v>3</v>
      </c>
      <c r="G152" s="5">
        <v>0.87</v>
      </c>
      <c r="H152" s="5">
        <v>74.2</v>
      </c>
      <c r="I152" s="5">
        <v>80.5</v>
      </c>
      <c r="J152" s="5">
        <v>0</v>
      </c>
      <c r="K152" s="5">
        <v>0.63</v>
      </c>
      <c r="L152" s="5">
        <v>16</v>
      </c>
      <c r="M152" s="5">
        <v>0</v>
      </c>
      <c r="N152" s="5">
        <v>16</v>
      </c>
      <c r="O152" s="5">
        <v>0</v>
      </c>
      <c r="P152" s="5">
        <v>2.5</v>
      </c>
      <c r="Q152" s="5">
        <v>0.3</v>
      </c>
      <c r="R152" s="5">
        <v>4.9000000000000002E-2</v>
      </c>
      <c r="S152" s="5">
        <v>9.4E-2</v>
      </c>
      <c r="T152" s="5">
        <v>6.2E-2</v>
      </c>
      <c r="U152" s="5">
        <v>0</v>
      </c>
      <c r="V152" s="5">
        <v>267</v>
      </c>
      <c r="W152" s="5">
        <v>0</v>
      </c>
      <c r="X152" s="5">
        <v>1600</v>
      </c>
      <c r="Y152" s="5">
        <v>0</v>
      </c>
      <c r="Z152" s="5">
        <v>0.59</v>
      </c>
      <c r="AA152" s="5">
        <v>2.6</v>
      </c>
      <c r="AB152" s="5">
        <v>2.4E-2</v>
      </c>
      <c r="AC152" s="5">
        <v>0.03</v>
      </c>
      <c r="AD152" s="5">
        <v>0.28000000000000003</v>
      </c>
      <c r="AE152" s="5">
        <v>0.1</v>
      </c>
      <c r="AF152" s="5">
        <v>7</v>
      </c>
      <c r="AG152" s="5">
        <v>0</v>
      </c>
      <c r="AH152" s="5">
        <v>0.16</v>
      </c>
      <c r="AI152" s="5">
        <v>0</v>
      </c>
      <c r="AJ152" s="5">
        <v>16</v>
      </c>
      <c r="AK152" s="5">
        <v>8</v>
      </c>
      <c r="AL152" s="5">
        <v>25</v>
      </c>
      <c r="AM152" s="5">
        <v>0.37</v>
      </c>
      <c r="AN152" s="5">
        <v>3</v>
      </c>
      <c r="AO152" s="5">
        <v>3.7999999999999999E-2</v>
      </c>
      <c r="AP152" s="5">
        <v>8</v>
      </c>
      <c r="AQ152" s="5">
        <v>4</v>
      </c>
      <c r="AR152" s="5">
        <v>178</v>
      </c>
      <c r="AS152" s="5">
        <v>4.7E-2</v>
      </c>
      <c r="AT152" s="5">
        <v>0.02</v>
      </c>
      <c r="AU152" s="5">
        <v>0.6</v>
      </c>
      <c r="AV152" s="5">
        <f>IFERROR(VLOOKUP(IFERROR(VLOOKUP(D152,Mapa_Similitud!$A$2:$B$2000,2,FALSE()),D152),Hoja1!$A$2:$K$1000,2,FALSE()),IFERROR(VLOOKUP(IFERROR(VLOOKUP(D152,Mapa_Similitud!$A$2:$B$2000,2,FALSE()),D152),Omega3_Referencia!$A$2:$E$100,3,FALSE()),0))</f>
        <v>0</v>
      </c>
      <c r="AW152" s="3" t="str">
        <f>IFERROR(VLOOKUP(IFERROR(VLOOKUP(D152,Mapa_Similitud!$A$2:$B$2000,2,FALSE()),D152),Hoja1!$A$2:$K$1000,3,FALSE()),IFERROR(VLOOKUP(IFERROR(VLOOKUP(D152,Mapa_Similitud!$A$2:$B$2000,2,FALSE()),D152),Omega3_Referencia!$A$2:$E$100,4,FALSE()),"N/A"))</f>
        <v>N/A</v>
      </c>
      <c r="AX152" s="5">
        <f>IFERROR(VLOOKUP(IFERROR(VLOOKUP(D152,Mapa_Similitud!$A$2:$B$2000,2,FALSE()),D152),Hoja1!$A$2:$K$1000,5,FALSE()),0)</f>
        <v>0</v>
      </c>
      <c r="AY152" s="5">
        <f>IFERROR(VLOOKUP(IFERROR(VLOOKUP(D152,Mapa_Similitud!$A$2:$B$2000,2,FALSE()),D152),Hoja1!$A$2:$K$1000,7,FALSE()),0)</f>
        <v>60</v>
      </c>
      <c r="AZ152" s="5">
        <f>IFERROR(VLOOKUP(IFERROR(VLOOKUP(D152,Mapa_Similitud!$A$2:$B$2000,2,FALSE()),D152),Hoja1!$A$2:$K$1000,9,FALSE()),0)</f>
        <v>0</v>
      </c>
      <c r="BA152" s="25">
        <f t="shared" si="58"/>
        <v>8.4905660377358489E-3</v>
      </c>
      <c r="BB152" s="25">
        <f t="shared" si="59"/>
        <v>3.3692722371967652E-2</v>
      </c>
      <c r="BC152" s="25">
        <f t="shared" si="60"/>
        <v>0.10781671159029649</v>
      </c>
      <c r="BD152" s="25">
        <f t="shared" si="61"/>
        <v>4.9865229110512129E-3</v>
      </c>
      <c r="BE152" s="25">
        <f t="shared" si="62"/>
        <v>5.3908355795148244E-2</v>
      </c>
      <c r="BF152" s="25">
        <f t="shared" si="63"/>
        <v>1.2653061224489794</v>
      </c>
      <c r="BG152" s="25">
        <f t="shared" si="64"/>
        <v>0.32</v>
      </c>
      <c r="BH152" s="25">
        <f t="shared" si="65"/>
        <v>0.16333333333333336</v>
      </c>
      <c r="BI152" s="25">
        <f t="shared" si="66"/>
        <v>2.247191011235955E-2</v>
      </c>
      <c r="BJ152" s="25">
        <f t="shared" si="67"/>
        <v>1</v>
      </c>
      <c r="BK152" s="25">
        <f t="shared" si="68"/>
        <v>0.15625</v>
      </c>
      <c r="BL152" s="25">
        <f t="shared" si="69"/>
        <v>3.6388140161725063E-2</v>
      </c>
      <c r="BM152" s="25">
        <f t="shared" si="70"/>
        <v>0.10781671159029649</v>
      </c>
      <c r="BN152" s="18" t="str">
        <f t="shared" si="76"/>
        <v>Baja fuente de proteína</v>
      </c>
      <c r="BO152" s="18" t="str">
        <f t="shared" si="77"/>
        <v>Alta fuente de fibra</v>
      </c>
      <c r="BP152" s="18" t="str">
        <f t="shared" si="78"/>
        <v>Baja fuente de calcio</v>
      </c>
      <c r="BQ152" s="18" t="str">
        <f t="shared" si="79"/>
        <v>Baja fuente de hierro</v>
      </c>
      <c r="BR152" s="18" t="str">
        <f t="shared" si="80"/>
        <v>Bajo en sodio</v>
      </c>
      <c r="BS152" s="6" t="str">
        <f t="shared" si="71"/>
        <v>Ligeramente antiinflamatorio</v>
      </c>
      <c r="BT152" s="6" t="str">
        <f t="shared" si="72"/>
        <v>Bajo en grasas</v>
      </c>
      <c r="BU152" s="18" t="str">
        <f t="shared" si="81"/>
        <v>Equilibrio de líquidos ideal</v>
      </c>
      <c r="BV152" s="18" t="str">
        <f t="shared" si="82"/>
        <v>Baja fuente de magnesio</v>
      </c>
      <c r="BW152" s="18" t="str">
        <f t="shared" si="83"/>
        <v>Sin aporte de Omega 3</v>
      </c>
      <c r="BX152" s="18" t="str">
        <f t="shared" si="84"/>
        <v>Libre de grasas trans</v>
      </c>
      <c r="BY152" s="18" t="str">
        <f t="shared" si="85"/>
        <v>Alto poder antioxidante</v>
      </c>
      <c r="BZ152" s="6" t="str">
        <f t="shared" si="73"/>
        <v>Sin probióticos</v>
      </c>
      <c r="CA152" s="18" t="str">
        <f t="shared" si="86"/>
        <v>Antiinflamatorio</v>
      </c>
      <c r="CB152" s="18" t="str">
        <f>IF(ISNUMBER(SEARCH("miel", D152)), "No irritante (Uso condicionado SII)", IF(OR(J152&gt;0, ISNUMBER(SEARCH("cacao", D152)), ISNUMBER(SEARCH("chocolate puro", D152))), "Altamente irritante", IF(OR(AND(O152&gt;15, BI152&gt;1), ISNUMBER(SEARCH("chocolate", D152))), "Moderadamente irritante", "No irritante")))</f>
        <v>No irritante</v>
      </c>
      <c r="CC152" s="6" t="str">
        <f t="shared" si="74"/>
        <v>Sin Omega 3 para evaluar</v>
      </c>
    </row>
    <row r="153" spans="1:81" ht="15" customHeight="1" x14ac:dyDescent="0.3">
      <c r="A153" s="2">
        <f t="shared" si="75"/>
        <v>152</v>
      </c>
      <c r="B153" s="3" t="s">
        <v>234</v>
      </c>
      <c r="C153" s="3" t="s">
        <v>255</v>
      </c>
      <c r="D153" s="3" t="s">
        <v>261</v>
      </c>
      <c r="E153" s="3"/>
      <c r="F153" s="4">
        <v>1</v>
      </c>
      <c r="G153" s="5">
        <v>1</v>
      </c>
      <c r="H153" s="5">
        <v>31</v>
      </c>
      <c r="I153" s="5">
        <v>91</v>
      </c>
      <c r="J153" s="5">
        <v>0</v>
      </c>
      <c r="K153" s="5">
        <v>0.5</v>
      </c>
      <c r="L153" s="5">
        <v>6.3</v>
      </c>
      <c r="M153" s="5">
        <v>0.3</v>
      </c>
      <c r="N153" s="5">
        <v>6</v>
      </c>
      <c r="O153" s="5">
        <v>0</v>
      </c>
      <c r="P153" s="5">
        <v>1.7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31</v>
      </c>
      <c r="W153" s="5">
        <v>0</v>
      </c>
      <c r="X153" s="5">
        <v>188</v>
      </c>
      <c r="Y153" s="5">
        <v>0</v>
      </c>
      <c r="Z153" s="5">
        <v>0.5</v>
      </c>
      <c r="AA153" s="5">
        <v>0</v>
      </c>
      <c r="AB153" s="5">
        <v>0.03</v>
      </c>
      <c r="AC153" s="5">
        <v>0.03</v>
      </c>
      <c r="AD153" s="5">
        <v>0.47</v>
      </c>
      <c r="AE153" s="5">
        <v>0.1</v>
      </c>
      <c r="AF153" s="5">
        <v>0</v>
      </c>
      <c r="AG153" s="5">
        <v>0</v>
      </c>
      <c r="AH153" s="5">
        <v>0</v>
      </c>
      <c r="AI153" s="5">
        <v>0</v>
      </c>
      <c r="AJ153" s="5">
        <v>23</v>
      </c>
      <c r="AK153" s="5">
        <v>4</v>
      </c>
      <c r="AL153" s="5">
        <v>15</v>
      </c>
      <c r="AM153" s="5">
        <v>0.5</v>
      </c>
      <c r="AN153" s="5">
        <v>0</v>
      </c>
      <c r="AO153" s="5">
        <v>0.1</v>
      </c>
      <c r="AP153" s="5">
        <v>8</v>
      </c>
      <c r="AQ153" s="5">
        <v>3</v>
      </c>
      <c r="AR153" s="5">
        <v>158</v>
      </c>
      <c r="AS153" s="5">
        <v>0</v>
      </c>
      <c r="AT153" s="5">
        <v>0</v>
      </c>
      <c r="AU153" s="5">
        <v>0</v>
      </c>
      <c r="AV153" s="5">
        <f>IFERROR(VLOOKUP(IFERROR(VLOOKUP(D153,Mapa_Similitud!$A$2:$B$2000,2,FALSE()),D153),Hoja1!$A$2:$K$1000,2,FALSE()),IFERROR(VLOOKUP(IFERROR(VLOOKUP(D153,Mapa_Similitud!$A$2:$B$2000,2,FALSE()),D153),Omega3_Referencia!$A$2:$E$100,3,FALSE()),0))</f>
        <v>0.01</v>
      </c>
      <c r="AW153" s="3" t="str">
        <f>IFERROR(VLOOKUP(IFERROR(VLOOKUP(D153,Mapa_Similitud!$A$2:$B$2000,2,FALSE()),D153),Hoja1!$A$2:$K$1000,3,FALSE()),IFERROR(VLOOKUP(IFERROR(VLOOKUP(D153,Mapa_Similitud!$A$2:$B$2000,2,FALSE()),D153),Omega3_Referencia!$A$2:$E$100,4,FALSE()),"N/A"))</f>
        <v>ALA</v>
      </c>
      <c r="AX153" s="5">
        <f>IFERROR(VLOOKUP(IFERROR(VLOOKUP(D153,Mapa_Similitud!$A$2:$B$2000,2,FALSE()),D153),Hoja1!$A$2:$K$1000,5,FALSE()),0)</f>
        <v>0</v>
      </c>
      <c r="AY153" s="5">
        <f>IFERROR(VLOOKUP(IFERROR(VLOOKUP(D153,Mapa_Similitud!$A$2:$B$2000,2,FALSE()),D153),Hoja1!$A$2:$K$1000,7,FALSE()),0)</f>
        <v>130</v>
      </c>
      <c r="AZ153" s="5">
        <f>IFERROR(VLOOKUP(IFERROR(VLOOKUP(D153,Mapa_Similitud!$A$2:$B$2000,2,FALSE()),D153),Hoja1!$A$2:$K$1000,9,FALSE()),0)</f>
        <v>0</v>
      </c>
      <c r="BA153" s="25">
        <f t="shared" si="58"/>
        <v>1.6129032258064516E-2</v>
      </c>
      <c r="BB153" s="25">
        <f t="shared" si="59"/>
        <v>5.4838709677419356E-2</v>
      </c>
      <c r="BC153" s="25">
        <f t="shared" si="60"/>
        <v>0.12903225806451613</v>
      </c>
      <c r="BD153" s="25">
        <f t="shared" si="61"/>
        <v>1.6129032258064516E-2</v>
      </c>
      <c r="BE153" s="25">
        <f t="shared" si="62"/>
        <v>9.6774193548387094E-2</v>
      </c>
      <c r="BF153" s="25">
        <f t="shared" si="63"/>
        <v>0</v>
      </c>
      <c r="BG153" s="25">
        <f t="shared" si="64"/>
        <v>0.26666666666666666</v>
      </c>
      <c r="BH153" s="25">
        <f t="shared" si="65"/>
        <v>0</v>
      </c>
      <c r="BI153" s="25">
        <f t="shared" si="66"/>
        <v>1.8987341772151899E-2</v>
      </c>
      <c r="BJ153" s="25">
        <f t="shared" si="67"/>
        <v>0.95238095238095244</v>
      </c>
      <c r="BK153" s="25">
        <f t="shared" si="68"/>
        <v>0.26984126984126983</v>
      </c>
      <c r="BL153" s="25">
        <f t="shared" si="69"/>
        <v>0</v>
      </c>
      <c r="BM153" s="25">
        <f t="shared" si="70"/>
        <v>0.25806451612903225</v>
      </c>
      <c r="BN153" s="18" t="str">
        <f t="shared" si="76"/>
        <v>Baja fuente de proteína</v>
      </c>
      <c r="BO153" s="18" t="str">
        <f t="shared" si="77"/>
        <v>Alta fuente de fibra</v>
      </c>
      <c r="BP153" s="18" t="str">
        <f t="shared" si="78"/>
        <v>Baja fuente de calcio</v>
      </c>
      <c r="BQ153" s="18" t="str">
        <f t="shared" si="79"/>
        <v>Alta fuente de hierro</v>
      </c>
      <c r="BR153" s="18" t="str">
        <f t="shared" si="80"/>
        <v>Bajo en sodio</v>
      </c>
      <c r="BS153" s="6" t="str">
        <f t="shared" si="71"/>
        <v>Proinflamatorio</v>
      </c>
      <c r="BT153" s="6" t="str">
        <f t="shared" si="72"/>
        <v>Bajo en grasas</v>
      </c>
      <c r="BU153" s="18" t="str">
        <f t="shared" si="81"/>
        <v>Equilibrio de líquidos ideal</v>
      </c>
      <c r="BV153" s="18" t="str">
        <f t="shared" si="82"/>
        <v>Media fuente de magnesio</v>
      </c>
      <c r="BW153" s="18" t="str">
        <f t="shared" si="83"/>
        <v>Sin aporte de Omega 3</v>
      </c>
      <c r="BX153" s="18" t="str">
        <f t="shared" si="84"/>
        <v>Libre de grasas trans</v>
      </c>
      <c r="BY153" s="18" t="str">
        <f t="shared" si="85"/>
        <v>Alto poder antioxidante</v>
      </c>
      <c r="BZ153" s="6" t="str">
        <f t="shared" si="73"/>
        <v>Sin probióticos</v>
      </c>
      <c r="CA153" s="18" t="str">
        <f t="shared" si="86"/>
        <v>Antiinflamatorio</v>
      </c>
      <c r="CB153" s="18" t="str">
        <f>IF(ISNUMBER(SEARCH("miel", D153)), "No irritante (Uso condicionado SII)", IF(OR(J153&gt;0, ISNUMBER(SEARCH("cacao", D153)), ISNUMBER(SEARCH("chocolate puro", D153))), "Altamente irritante", IF(OR(AND(O153&gt;15, BI153&gt;1), ISNUMBER(SEARCH("chocolate", D153))), "Moderadamente irritante", "No irritante")))</f>
        <v>No irritante</v>
      </c>
      <c r="CC153" s="6" t="str">
        <f t="shared" si="74"/>
        <v>Balance de omegas favorable</v>
      </c>
    </row>
    <row r="154" spans="1:81" ht="15" customHeight="1" x14ac:dyDescent="0.3">
      <c r="A154" s="2">
        <f t="shared" si="75"/>
        <v>153</v>
      </c>
      <c r="B154" s="3" t="s">
        <v>234</v>
      </c>
      <c r="C154" s="3" t="s">
        <v>255</v>
      </c>
      <c r="D154" s="3" t="s">
        <v>262</v>
      </c>
      <c r="E154" s="3"/>
      <c r="F154" s="4">
        <v>4</v>
      </c>
      <c r="G154" s="5">
        <v>0.83</v>
      </c>
      <c r="H154" s="5">
        <v>62.1</v>
      </c>
      <c r="I154" s="5">
        <v>84.2</v>
      </c>
      <c r="J154" s="5">
        <v>0</v>
      </c>
      <c r="K154" s="5">
        <v>0.88</v>
      </c>
      <c r="L154" s="5">
        <v>13.3</v>
      </c>
      <c r="M154" s="5">
        <v>0</v>
      </c>
      <c r="N154" s="5">
        <v>13.3</v>
      </c>
      <c r="O154" s="5">
        <v>0</v>
      </c>
      <c r="P154" s="5">
        <v>1.3</v>
      </c>
      <c r="Q154" s="5">
        <v>0.31</v>
      </c>
      <c r="R154" s="5">
        <v>7.0000000000000007E-2</v>
      </c>
      <c r="S154" s="5">
        <v>8.4000000000000005E-2</v>
      </c>
      <c r="T154" s="5">
        <v>9.2999999999999999E-2</v>
      </c>
      <c r="U154" s="5">
        <v>0</v>
      </c>
      <c r="V154" s="5">
        <v>2.8</v>
      </c>
      <c r="W154" s="5">
        <v>0</v>
      </c>
      <c r="X154" s="5">
        <v>16.5</v>
      </c>
      <c r="Y154" s="5">
        <v>0</v>
      </c>
      <c r="Z154" s="5">
        <v>0.13</v>
      </c>
      <c r="AA154" s="5">
        <v>1.5</v>
      </c>
      <c r="AB154" s="5">
        <v>3.9E-2</v>
      </c>
      <c r="AC154" s="5">
        <v>4.2000000000000003E-2</v>
      </c>
      <c r="AD154" s="5">
        <v>0.33</v>
      </c>
      <c r="AE154" s="5">
        <v>4.4999999999999998E-2</v>
      </c>
      <c r="AF154" s="5">
        <v>52</v>
      </c>
      <c r="AG154" s="5">
        <v>0</v>
      </c>
      <c r="AH154" s="5">
        <v>0.19</v>
      </c>
      <c r="AI154" s="5">
        <v>0.4</v>
      </c>
      <c r="AJ154" s="5">
        <v>15</v>
      </c>
      <c r="AK154" s="5">
        <v>17</v>
      </c>
      <c r="AL154" s="5">
        <v>23</v>
      </c>
      <c r="AM154" s="5">
        <v>0.35</v>
      </c>
      <c r="AN154" s="5">
        <v>1.2</v>
      </c>
      <c r="AO154" s="5">
        <v>8.6999999999999994E-2</v>
      </c>
      <c r="AP154" s="5">
        <v>13</v>
      </c>
      <c r="AQ154" s="5">
        <v>2.7</v>
      </c>
      <c r="AR154" s="5">
        <v>234</v>
      </c>
      <c r="AS154" s="5">
        <v>8.4000000000000005E-2</v>
      </c>
      <c r="AT154" s="5">
        <v>9.9000000000000005E-2</v>
      </c>
      <c r="AU154" s="5">
        <v>1.2</v>
      </c>
      <c r="AV154" s="5">
        <f>IFERROR(VLOOKUP(IFERROR(VLOOKUP(D154,Mapa_Similitud!$A$2:$B$2000,2,FALSE()),D154),Hoja1!$A$2:$K$1000,2,FALSE()),IFERROR(VLOOKUP(IFERROR(VLOOKUP(D154,Mapa_Similitud!$A$2:$B$2000,2,FALSE()),D154),Omega3_Referencia!$A$2:$E$100,3,FALSE()),0))</f>
        <v>0.01</v>
      </c>
      <c r="AW154" s="3" t="str">
        <f>IFERROR(VLOOKUP(IFERROR(VLOOKUP(D154,Mapa_Similitud!$A$2:$B$2000,2,FALSE()),D154),Hoja1!$A$2:$K$1000,3,FALSE()),IFERROR(VLOOKUP(IFERROR(VLOOKUP(D154,Mapa_Similitud!$A$2:$B$2000,2,FALSE()),D154),Omega3_Referencia!$A$2:$E$100,4,FALSE()),"N/A"))</f>
        <v>ALA</v>
      </c>
      <c r="AX154" s="5">
        <f>IFERROR(VLOOKUP(IFERROR(VLOOKUP(D154,Mapa_Similitud!$A$2:$B$2000,2,FALSE()),D154),Hoja1!$A$2:$K$1000,5,FALSE()),0)</f>
        <v>0</v>
      </c>
      <c r="AY154" s="5">
        <f>IFERROR(VLOOKUP(IFERROR(VLOOKUP(D154,Mapa_Similitud!$A$2:$B$2000,2,FALSE()),D154),Hoja1!$A$2:$K$1000,7,FALSE()),0)</f>
        <v>150</v>
      </c>
      <c r="AZ154" s="5">
        <f>IFERROR(VLOOKUP(IFERROR(VLOOKUP(D154,Mapa_Similitud!$A$2:$B$2000,2,FALSE()),D154),Hoja1!$A$2:$K$1000,9,FALSE()),0)</f>
        <v>0</v>
      </c>
      <c r="BA154" s="25">
        <f t="shared" si="58"/>
        <v>1.4170692431561997E-2</v>
      </c>
      <c r="BB154" s="25">
        <f t="shared" si="59"/>
        <v>2.0933977455716585E-2</v>
      </c>
      <c r="BC154" s="25">
        <f t="shared" si="60"/>
        <v>0.27375201288244766</v>
      </c>
      <c r="BD154" s="25">
        <f t="shared" si="61"/>
        <v>5.6360708534621577E-3</v>
      </c>
      <c r="BE154" s="25">
        <f t="shared" si="62"/>
        <v>4.3478260869565216E-2</v>
      </c>
      <c r="BF154" s="25">
        <f t="shared" si="63"/>
        <v>1.3285714285714285</v>
      </c>
      <c r="BG154" s="25">
        <f t="shared" si="64"/>
        <v>0.73913043478260865</v>
      </c>
      <c r="BH154" s="25">
        <f t="shared" si="65"/>
        <v>0.22580645161290325</v>
      </c>
      <c r="BI154" s="25">
        <f t="shared" si="66"/>
        <v>1.1538461538461539E-2</v>
      </c>
      <c r="BJ154" s="25">
        <f t="shared" si="67"/>
        <v>1</v>
      </c>
      <c r="BK154" s="25">
        <f t="shared" si="68"/>
        <v>9.7744360902255634E-2</v>
      </c>
      <c r="BL154" s="25">
        <f t="shared" si="69"/>
        <v>4.4927536231884058E-2</v>
      </c>
      <c r="BM154" s="25">
        <f t="shared" si="70"/>
        <v>0.20933977455716585</v>
      </c>
      <c r="BN154" s="18" t="str">
        <f t="shared" si="76"/>
        <v>Baja fuente de proteína</v>
      </c>
      <c r="BO154" s="18" t="str">
        <f t="shared" si="77"/>
        <v>Media fuente de fibra</v>
      </c>
      <c r="BP154" s="18" t="str">
        <f t="shared" si="78"/>
        <v>Baja fuente de calcio</v>
      </c>
      <c r="BQ154" s="18" t="str">
        <f t="shared" si="79"/>
        <v>Baja fuente de hierro</v>
      </c>
      <c r="BR154" s="18" t="str">
        <f t="shared" si="80"/>
        <v>Bajo en sodio</v>
      </c>
      <c r="BS154" s="6" t="str">
        <f t="shared" si="71"/>
        <v>Ligeramente antiinflamatorio</v>
      </c>
      <c r="BT154" s="6" t="str">
        <f t="shared" si="72"/>
        <v>Bajo en grasas</v>
      </c>
      <c r="BU154" s="18" t="str">
        <f t="shared" si="81"/>
        <v>Equilibrio de líquidos ideal</v>
      </c>
      <c r="BV154" s="18" t="str">
        <f t="shared" si="82"/>
        <v>Media fuente de magnesio</v>
      </c>
      <c r="BW154" s="18" t="str">
        <f t="shared" si="83"/>
        <v>Sin aporte de Omega 3</v>
      </c>
      <c r="BX154" s="18" t="str">
        <f t="shared" si="84"/>
        <v>Libre de grasas trans</v>
      </c>
      <c r="BY154" s="18" t="str">
        <f t="shared" si="85"/>
        <v>Alto poder antioxidante</v>
      </c>
      <c r="BZ154" s="6" t="str">
        <f t="shared" si="73"/>
        <v>Sin probióticos</v>
      </c>
      <c r="CA154" s="18" t="str">
        <f t="shared" si="86"/>
        <v>Antiinflamatorio</v>
      </c>
      <c r="CB154" s="18" t="str">
        <f>IF(ISNUMBER(SEARCH("miel", D154)), "No irritante (Uso condicionado SII)", IF(OR(J154&gt;0, ISNUMBER(SEARCH("cacao", D154)), ISNUMBER(SEARCH("chocolate puro", D154))), "Altamente irritante", IF(OR(AND(O154&gt;15, BI154&gt;1), ISNUMBER(SEARCH("chocolate", D154))), "Moderadamente irritante", "No irritante")))</f>
        <v>No irritante</v>
      </c>
      <c r="CC154" s="6" t="str">
        <f t="shared" si="74"/>
        <v>Exceso relativo de Omega 6</v>
      </c>
    </row>
    <row r="155" spans="1:81" ht="15" customHeight="1" x14ac:dyDescent="0.3">
      <c r="A155" s="2">
        <f t="shared" si="75"/>
        <v>154</v>
      </c>
      <c r="B155" s="3" t="s">
        <v>234</v>
      </c>
      <c r="C155" s="3" t="s">
        <v>255</v>
      </c>
      <c r="D155" s="3" t="s">
        <v>263</v>
      </c>
      <c r="E155" s="3"/>
      <c r="F155" s="4">
        <v>1.5</v>
      </c>
      <c r="G155" s="5">
        <v>0.6</v>
      </c>
      <c r="H155" s="5">
        <v>72.7</v>
      </c>
      <c r="I155" s="5">
        <v>81.599999999999994</v>
      </c>
      <c r="J155" s="5">
        <v>0</v>
      </c>
      <c r="K155" s="5">
        <v>1.3</v>
      </c>
      <c r="L155" s="5">
        <v>14.1</v>
      </c>
      <c r="M155" s="5">
        <v>0</v>
      </c>
      <c r="N155" s="5">
        <v>14.1</v>
      </c>
      <c r="O155" s="5">
        <v>0</v>
      </c>
      <c r="P155" s="5">
        <v>2.4</v>
      </c>
      <c r="Q155" s="5">
        <v>0.7</v>
      </c>
      <c r="R155" s="5">
        <v>0.2</v>
      </c>
      <c r="S155" s="5">
        <v>0.1</v>
      </c>
      <c r="T155" s="5">
        <v>0.3</v>
      </c>
      <c r="U155" s="5">
        <v>0</v>
      </c>
      <c r="V155" s="5">
        <v>9.8000000000000007</v>
      </c>
      <c r="W155" s="5">
        <v>0</v>
      </c>
      <c r="X155" s="5">
        <v>58.8</v>
      </c>
      <c r="Y155" s="5">
        <v>0</v>
      </c>
      <c r="Z155" s="5">
        <v>0.01</v>
      </c>
      <c r="AA155" s="5">
        <v>0</v>
      </c>
      <c r="AB155" s="5">
        <v>7.0000000000000007E-2</v>
      </c>
      <c r="AC155" s="5">
        <v>0.11</v>
      </c>
      <c r="AD155" s="5">
        <v>1.2</v>
      </c>
      <c r="AE155" s="5">
        <v>0.03</v>
      </c>
      <c r="AF155" s="5">
        <v>12.5</v>
      </c>
      <c r="AG155" s="5">
        <v>0</v>
      </c>
      <c r="AH155" s="5">
        <v>0.24</v>
      </c>
      <c r="AI155" s="5">
        <v>0</v>
      </c>
      <c r="AJ155" s="5">
        <v>14.2</v>
      </c>
      <c r="AK155" s="5">
        <v>21.2</v>
      </c>
      <c r="AL155" s="5">
        <v>21</v>
      </c>
      <c r="AM155" s="5">
        <v>0.43</v>
      </c>
      <c r="AN155" s="5">
        <v>1.5</v>
      </c>
      <c r="AO155" s="5">
        <v>0.11</v>
      </c>
      <c r="AP155" s="5">
        <v>17.3</v>
      </c>
      <c r="AQ155" s="5">
        <v>4</v>
      </c>
      <c r="AR155" s="5">
        <v>382</v>
      </c>
      <c r="AS155" s="5">
        <v>8.3000000000000004E-2</v>
      </c>
      <c r="AT155" s="5">
        <v>7.2999999999999995E-2</v>
      </c>
      <c r="AU155" s="5">
        <v>0</v>
      </c>
      <c r="AV155" s="5">
        <f>IFERROR(VLOOKUP(IFERROR(VLOOKUP(D155,Mapa_Similitud!$A$2:$B$2000,2,FALSE()),D155),Hoja1!$A$2:$K$1000,2,FALSE()),IFERROR(VLOOKUP(IFERROR(VLOOKUP(D155,Mapa_Similitud!$A$2:$B$2000,2,FALSE()),D155),Omega3_Referencia!$A$2:$E$100,3,FALSE()),0))</f>
        <v>0.01</v>
      </c>
      <c r="AW155" s="3" t="str">
        <f>IFERROR(VLOOKUP(IFERROR(VLOOKUP(D155,Mapa_Similitud!$A$2:$B$2000,2,FALSE()),D155),Hoja1!$A$2:$K$1000,3,FALSE()),IFERROR(VLOOKUP(IFERROR(VLOOKUP(D155,Mapa_Similitud!$A$2:$B$2000,2,FALSE()),D155),Omega3_Referencia!$A$2:$E$100,4,FALSE()),"N/A"))</f>
        <v>ALA</v>
      </c>
      <c r="AX155" s="5">
        <f>IFERROR(VLOOKUP(IFERROR(VLOOKUP(D155,Mapa_Similitud!$A$2:$B$2000,2,FALSE()),D155),Hoja1!$A$2:$K$1000,5,FALSE()),0)</f>
        <v>0</v>
      </c>
      <c r="AY155" s="5">
        <f>IFERROR(VLOOKUP(IFERROR(VLOOKUP(D155,Mapa_Similitud!$A$2:$B$2000,2,FALSE()),D155),Hoja1!$A$2:$K$1000,7,FALSE()),0)</f>
        <v>45</v>
      </c>
      <c r="AZ155" s="5">
        <f>IFERROR(VLOOKUP(IFERROR(VLOOKUP(D155,Mapa_Similitud!$A$2:$B$2000,2,FALSE()),D155),Hoja1!$A$2:$K$1000,9,FALSE()),0)</f>
        <v>0</v>
      </c>
      <c r="BA155" s="25">
        <f t="shared" si="58"/>
        <v>1.7881705639614855E-2</v>
      </c>
      <c r="BB155" s="25">
        <f t="shared" si="59"/>
        <v>3.3012379642365884E-2</v>
      </c>
      <c r="BC155" s="25">
        <f t="shared" si="60"/>
        <v>0.29160935350756534</v>
      </c>
      <c r="BD155" s="25">
        <f t="shared" si="61"/>
        <v>5.9147180192572211E-3</v>
      </c>
      <c r="BE155" s="25">
        <f t="shared" si="62"/>
        <v>5.5020632737276476E-2</v>
      </c>
      <c r="BF155" s="25">
        <f t="shared" si="63"/>
        <v>1.4999999999999998</v>
      </c>
      <c r="BG155" s="25">
        <f t="shared" si="64"/>
        <v>1.0095238095238095</v>
      </c>
      <c r="BH155" s="25">
        <f t="shared" si="65"/>
        <v>0.28571428571428575</v>
      </c>
      <c r="BI155" s="25">
        <f t="shared" si="66"/>
        <v>1.0471204188481676E-2</v>
      </c>
      <c r="BJ155" s="25">
        <f t="shared" si="67"/>
        <v>1</v>
      </c>
      <c r="BK155" s="25">
        <f t="shared" si="68"/>
        <v>0.1702127659574468</v>
      </c>
      <c r="BL155" s="25">
        <f t="shared" si="69"/>
        <v>8.6657496561210454E-2</v>
      </c>
      <c r="BM155" s="25">
        <f t="shared" si="70"/>
        <v>0.23796423658872076</v>
      </c>
      <c r="BN155" s="18" t="str">
        <f t="shared" si="76"/>
        <v>Baja fuente de proteína</v>
      </c>
      <c r="BO155" s="18" t="str">
        <f t="shared" si="77"/>
        <v>Alta fuente de fibra</v>
      </c>
      <c r="BP155" s="18" t="str">
        <f t="shared" si="78"/>
        <v>Baja fuente de calcio</v>
      </c>
      <c r="BQ155" s="18" t="str">
        <f t="shared" si="79"/>
        <v>Baja fuente de hierro</v>
      </c>
      <c r="BR155" s="18" t="str">
        <f t="shared" si="80"/>
        <v>Bajo en sodio</v>
      </c>
      <c r="BS155" s="6" t="str">
        <f t="shared" si="71"/>
        <v>Ligeramente antiinflamatorio</v>
      </c>
      <c r="BT155" s="6" t="str">
        <f t="shared" si="72"/>
        <v>Bajo en grasas</v>
      </c>
      <c r="BU155" s="18" t="str">
        <f t="shared" si="81"/>
        <v>Equilibrio de líquidos ideal</v>
      </c>
      <c r="BV155" s="18" t="str">
        <f t="shared" si="82"/>
        <v>Media fuente de magnesio</v>
      </c>
      <c r="BW155" s="18" t="str">
        <f t="shared" si="83"/>
        <v>Sin aporte de Omega 3</v>
      </c>
      <c r="BX155" s="18" t="str">
        <f t="shared" si="84"/>
        <v>Libre de grasas trans</v>
      </c>
      <c r="BY155" s="18" t="str">
        <f t="shared" si="85"/>
        <v>Medio poder antioxidante</v>
      </c>
      <c r="BZ155" s="6" t="str">
        <f t="shared" si="73"/>
        <v>Sin probióticos</v>
      </c>
      <c r="CA155" s="18" t="str">
        <f t="shared" si="86"/>
        <v>Poco inflamatorio</v>
      </c>
      <c r="CB155" s="18" t="str">
        <f>IF(ISNUMBER(SEARCH("miel", D155)), "No irritante (Uso condicionado SII)", IF(OR(J155&gt;0, ISNUMBER(SEARCH("cacao", D155)), ISNUMBER(SEARCH("chocolate puro", D155))), "Altamente irritante", IF(OR(AND(O155&gt;15, BI155&gt;1), ISNUMBER(SEARCH("chocolate", D155))), "Moderadamente irritante", "No irritante")))</f>
        <v>No irritante</v>
      </c>
      <c r="CC155" s="6" t="str">
        <f t="shared" si="74"/>
        <v>Exceso relativo de Omega 6</v>
      </c>
    </row>
    <row r="156" spans="1:81" ht="15" customHeight="1" x14ac:dyDescent="0.3">
      <c r="A156" s="2">
        <f t="shared" si="75"/>
        <v>155</v>
      </c>
      <c r="B156" s="3" t="s">
        <v>234</v>
      </c>
      <c r="C156" s="3" t="s">
        <v>255</v>
      </c>
      <c r="D156" s="3" t="s">
        <v>264</v>
      </c>
      <c r="E156" s="3"/>
      <c r="F156" s="4">
        <v>1.2</v>
      </c>
      <c r="G156" s="5">
        <v>0.94</v>
      </c>
      <c r="H156" s="5">
        <v>48.1</v>
      </c>
      <c r="I156" s="5">
        <v>87.4</v>
      </c>
      <c r="J156" s="5">
        <v>0</v>
      </c>
      <c r="K156" s="5">
        <v>0.63</v>
      </c>
      <c r="L156" s="5">
        <v>10.199999999999999</v>
      </c>
      <c r="M156" s="5">
        <v>0</v>
      </c>
      <c r="N156" s="5">
        <v>10.199999999999999</v>
      </c>
      <c r="O156" s="5">
        <v>0</v>
      </c>
      <c r="P156" s="5">
        <v>1.6</v>
      </c>
      <c r="Q156" s="5">
        <v>0.17</v>
      </c>
      <c r="R156" s="5">
        <v>2.1999999999999999E-2</v>
      </c>
      <c r="S156" s="5">
        <v>5.1999999999999998E-2</v>
      </c>
      <c r="T156" s="5">
        <v>7.8E-2</v>
      </c>
      <c r="U156" s="5">
        <v>0</v>
      </c>
      <c r="V156" s="5">
        <v>23.2</v>
      </c>
      <c r="W156" s="5">
        <v>0</v>
      </c>
      <c r="X156" s="5">
        <v>139</v>
      </c>
      <c r="Y156" s="5">
        <v>0</v>
      </c>
      <c r="Z156" s="5">
        <v>0.86</v>
      </c>
      <c r="AA156" s="5">
        <v>8.3000000000000007</v>
      </c>
      <c r="AB156" s="5">
        <v>7.1999999999999995E-2</v>
      </c>
      <c r="AC156" s="5">
        <v>4.2999999999999997E-2</v>
      </c>
      <c r="AD156" s="5">
        <v>1.3</v>
      </c>
      <c r="AE156" s="5">
        <v>4.4999999999999998E-2</v>
      </c>
      <c r="AF156" s="5">
        <v>2</v>
      </c>
      <c r="AG156" s="5">
        <v>0</v>
      </c>
      <c r="AH156" s="5">
        <v>0.18</v>
      </c>
      <c r="AI156" s="5">
        <v>0.1</v>
      </c>
      <c r="AJ156" s="5">
        <v>5.4</v>
      </c>
      <c r="AK156" s="5">
        <v>8.3000000000000007</v>
      </c>
      <c r="AL156" s="5">
        <v>17</v>
      </c>
      <c r="AM156" s="5">
        <v>0.26</v>
      </c>
      <c r="AN156" s="5">
        <v>1.4</v>
      </c>
      <c r="AO156" s="5">
        <v>9.2999999999999999E-2</v>
      </c>
      <c r="AP156" s="5">
        <v>7.9</v>
      </c>
      <c r="AQ156" s="5">
        <v>1.7</v>
      </c>
      <c r="AR156" s="5">
        <v>177</v>
      </c>
      <c r="AS156" s="5">
        <v>6.8000000000000005E-2</v>
      </c>
      <c r="AT156" s="5">
        <v>7.0999999999999994E-2</v>
      </c>
      <c r="AU156" s="5">
        <v>0.59</v>
      </c>
      <c r="AV156" s="5">
        <f>IFERROR(VLOOKUP(IFERROR(VLOOKUP(D156,Mapa_Similitud!$A$2:$B$2000,2,FALSE()),D156),Hoja1!$A$2:$K$1000,2,FALSE()),IFERROR(VLOOKUP(IFERROR(VLOOKUP(D156,Mapa_Similitud!$A$2:$B$2000,2,FALSE()),D156),Omega3_Referencia!$A$2:$E$100,3,FALSE()),0))</f>
        <v>0.01</v>
      </c>
      <c r="AW156" s="3" t="str">
        <f>IFERROR(VLOOKUP(IFERROR(VLOOKUP(D156,Mapa_Similitud!$A$2:$B$2000,2,FALSE()),D156),Hoja1!$A$2:$K$1000,3,FALSE()),IFERROR(VLOOKUP(IFERROR(VLOOKUP(D156,Mapa_Similitud!$A$2:$B$2000,2,FALSE()),D156),Omega3_Referencia!$A$2:$E$100,4,FALSE()),"N/A"))</f>
        <v>ALA</v>
      </c>
      <c r="AX156" s="5">
        <f>IFERROR(VLOOKUP(IFERROR(VLOOKUP(D156,Mapa_Similitud!$A$2:$B$2000,2,FALSE()),D156),Hoja1!$A$2:$K$1000,5,FALSE()),0)</f>
        <v>0</v>
      </c>
      <c r="AY156" s="5">
        <f>IFERROR(VLOOKUP(IFERROR(VLOOKUP(D156,Mapa_Similitud!$A$2:$B$2000,2,FALSE()),D156),Hoja1!$A$2:$K$1000,7,FALSE()),0)</f>
        <v>125</v>
      </c>
      <c r="AZ156" s="5">
        <f>IFERROR(VLOOKUP(IFERROR(VLOOKUP(D156,Mapa_Similitud!$A$2:$B$2000,2,FALSE()),D156),Hoja1!$A$2:$K$1000,9,FALSE()),0)</f>
        <v>0</v>
      </c>
      <c r="BA156" s="25">
        <f t="shared" si="58"/>
        <v>1.3097713097713097E-2</v>
      </c>
      <c r="BB156" s="25">
        <f t="shared" si="59"/>
        <v>3.3264033264033266E-2</v>
      </c>
      <c r="BC156" s="25">
        <f t="shared" si="60"/>
        <v>0.17255717255717257</v>
      </c>
      <c r="BD156" s="25">
        <f t="shared" si="61"/>
        <v>5.4054054054054057E-3</v>
      </c>
      <c r="BE156" s="25">
        <f t="shared" si="62"/>
        <v>3.5343035343035338E-2</v>
      </c>
      <c r="BF156" s="25">
        <f t="shared" si="63"/>
        <v>3.5454545454545459</v>
      </c>
      <c r="BG156" s="25">
        <f t="shared" si="64"/>
        <v>0.4882352941176471</v>
      </c>
      <c r="BH156" s="25">
        <f t="shared" si="65"/>
        <v>0.12941176470588234</v>
      </c>
      <c r="BI156" s="25">
        <f t="shared" si="66"/>
        <v>9.6045197740112984E-3</v>
      </c>
      <c r="BJ156" s="25">
        <f t="shared" si="67"/>
        <v>1</v>
      </c>
      <c r="BK156" s="25">
        <f t="shared" si="68"/>
        <v>0.15686274509803924</v>
      </c>
      <c r="BL156" s="25">
        <f t="shared" si="69"/>
        <v>3.180873180873181E-2</v>
      </c>
      <c r="BM156" s="25">
        <f t="shared" si="70"/>
        <v>0.16424116424116425</v>
      </c>
      <c r="BN156" s="18" t="str">
        <f t="shared" si="76"/>
        <v>Baja fuente de proteína</v>
      </c>
      <c r="BO156" s="18" t="str">
        <f t="shared" si="77"/>
        <v>Alta fuente de fibra</v>
      </c>
      <c r="BP156" s="18" t="str">
        <f t="shared" si="78"/>
        <v>Baja fuente de calcio</v>
      </c>
      <c r="BQ156" s="18" t="str">
        <f t="shared" si="79"/>
        <v>Baja fuente de hierro</v>
      </c>
      <c r="BR156" s="18" t="str">
        <f t="shared" si="80"/>
        <v>Bajo en sodio</v>
      </c>
      <c r="BS156" s="6" t="str">
        <f t="shared" si="71"/>
        <v>Altamente antiinflamatorio</v>
      </c>
      <c r="BT156" s="6" t="str">
        <f t="shared" si="72"/>
        <v>Bajo en grasas</v>
      </c>
      <c r="BU156" s="18" t="str">
        <f t="shared" si="81"/>
        <v>Equilibrio de líquidos ideal</v>
      </c>
      <c r="BV156" s="18" t="str">
        <f t="shared" si="82"/>
        <v>Baja fuente de magnesio</v>
      </c>
      <c r="BW156" s="18" t="str">
        <f t="shared" si="83"/>
        <v>Sin aporte de Omega 3</v>
      </c>
      <c r="BX156" s="18" t="str">
        <f t="shared" si="84"/>
        <v>Libre de grasas trans</v>
      </c>
      <c r="BY156" s="18" t="str">
        <f t="shared" si="85"/>
        <v>Alto poder antioxidante</v>
      </c>
      <c r="BZ156" s="6" t="str">
        <f t="shared" si="73"/>
        <v>Sin probióticos</v>
      </c>
      <c r="CA156" s="18" t="str">
        <f t="shared" si="86"/>
        <v>Antiinflamatorio</v>
      </c>
      <c r="CB156" s="18" t="str">
        <f>IF(ISNUMBER(SEARCH("miel", D156)), "No irritante (Uso condicionado SII)", IF(OR(J156&gt;0, ISNUMBER(SEARCH("cacao", D156)), ISNUMBER(SEARCH("chocolate puro", D156))), "Altamente irritante", IF(OR(AND(O156&gt;15, BI156&gt;1), ISNUMBER(SEARCH("chocolate", D156))), "Moderadamente irritante", "No irritante")))</f>
        <v>No irritante</v>
      </c>
      <c r="CC156" s="6" t="str">
        <f t="shared" si="74"/>
        <v>Exceso relativo de Omega 6</v>
      </c>
    </row>
    <row r="157" spans="1:81" ht="15" customHeight="1" x14ac:dyDescent="0.3">
      <c r="A157" s="2">
        <f t="shared" si="75"/>
        <v>156</v>
      </c>
      <c r="B157" s="3" t="s">
        <v>234</v>
      </c>
      <c r="C157" s="3" t="s">
        <v>255</v>
      </c>
      <c r="D157" s="3" t="s">
        <v>265</v>
      </c>
      <c r="E157" s="3"/>
      <c r="F157" s="4">
        <v>1</v>
      </c>
      <c r="G157" s="5">
        <v>0.7</v>
      </c>
      <c r="H157" s="5">
        <v>384</v>
      </c>
      <c r="I157" s="5">
        <v>45.1</v>
      </c>
      <c r="J157" s="5">
        <v>0</v>
      </c>
      <c r="K157" s="5">
        <v>4.5999999999999996</v>
      </c>
      <c r="L157" s="5">
        <v>4.8</v>
      </c>
      <c r="M157" s="5">
        <v>0</v>
      </c>
      <c r="N157" s="5">
        <v>4.8</v>
      </c>
      <c r="O157" s="5">
        <v>0</v>
      </c>
      <c r="P157" s="5">
        <v>9</v>
      </c>
      <c r="Q157" s="5">
        <v>36.5</v>
      </c>
      <c r="R157" s="5">
        <v>31.8</v>
      </c>
      <c r="S157" s="5">
        <v>2.2000000000000002</v>
      </c>
      <c r="T157" s="5">
        <v>0.68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0.73</v>
      </c>
      <c r="AA157" s="5">
        <v>0.2</v>
      </c>
      <c r="AB157" s="5">
        <v>6.0999999999999999E-2</v>
      </c>
      <c r="AC157" s="5">
        <v>8.0000000000000002E-3</v>
      </c>
      <c r="AD157" s="5">
        <v>1.2</v>
      </c>
      <c r="AE157" s="5">
        <v>0.06</v>
      </c>
      <c r="AF157" s="5">
        <v>30</v>
      </c>
      <c r="AG157" s="5">
        <v>0</v>
      </c>
      <c r="AH157" s="5">
        <v>0.2</v>
      </c>
      <c r="AI157" s="5">
        <v>0</v>
      </c>
      <c r="AJ157" s="5">
        <v>2</v>
      </c>
      <c r="AK157" s="5">
        <v>20</v>
      </c>
      <c r="AL157" s="5">
        <v>94</v>
      </c>
      <c r="AM157" s="5">
        <v>2.2999999999999998</v>
      </c>
      <c r="AN157" s="5">
        <v>1.2</v>
      </c>
      <c r="AO157" s="5">
        <v>0.79</v>
      </c>
      <c r="AP157" s="5">
        <v>39</v>
      </c>
      <c r="AQ157" s="5">
        <v>35</v>
      </c>
      <c r="AR157" s="5">
        <v>379</v>
      </c>
      <c r="AS157" s="5">
        <v>1.3</v>
      </c>
      <c r="AT157" s="5">
        <v>0.44</v>
      </c>
      <c r="AU157" s="5">
        <v>10.1</v>
      </c>
      <c r="AV157" s="5">
        <f>IFERROR(VLOOKUP(IFERROR(VLOOKUP(D157,Mapa_Similitud!$A$2:$B$2000,2,FALSE()),D157),Hoja1!$A$2:$K$1000,2,FALSE()),IFERROR(VLOOKUP(IFERROR(VLOOKUP(D157,Mapa_Similitud!$A$2:$B$2000,2,FALSE()),D157),Omega3_Referencia!$A$2:$E$100,3,FALSE()),0))</f>
        <v>0</v>
      </c>
      <c r="AW157" s="3" t="str">
        <f>IFERROR(VLOOKUP(IFERROR(VLOOKUP(D157,Mapa_Similitud!$A$2:$B$2000,2,FALSE()),D157),Hoja1!$A$2:$K$1000,3,FALSE()),IFERROR(VLOOKUP(IFERROR(VLOOKUP(D157,Mapa_Similitud!$A$2:$B$2000,2,FALSE()),D157),Omega3_Referencia!$A$2:$E$100,4,FALSE()),"N/A"))</f>
        <v>N/A</v>
      </c>
      <c r="AX157" s="5">
        <f>IFERROR(VLOOKUP(IFERROR(VLOOKUP(D157,Mapa_Similitud!$A$2:$B$2000,2,FALSE()),D157),Hoja1!$A$2:$K$1000,5,FALSE()),0)</f>
        <v>0</v>
      </c>
      <c r="AY157" s="5">
        <f>IFERROR(VLOOKUP(IFERROR(VLOOKUP(D157,Mapa_Similitud!$A$2:$B$2000,2,FALSE()),D157),Hoja1!$A$2:$K$1000,7,FALSE()),0)</f>
        <v>15</v>
      </c>
      <c r="AZ157" s="5">
        <f>IFERROR(VLOOKUP(IFERROR(VLOOKUP(D157,Mapa_Similitud!$A$2:$B$2000,2,FALSE()),D157),Hoja1!$A$2:$K$1000,9,FALSE()),0)</f>
        <v>0</v>
      </c>
      <c r="BA157" s="25">
        <f t="shared" si="58"/>
        <v>1.1979166666666666E-2</v>
      </c>
      <c r="BB157" s="25">
        <f t="shared" si="59"/>
        <v>2.34375E-2</v>
      </c>
      <c r="BC157" s="25">
        <f t="shared" si="60"/>
        <v>5.2083333333333336E-2</v>
      </c>
      <c r="BD157" s="25">
        <f t="shared" si="61"/>
        <v>5.9895833333333329E-3</v>
      </c>
      <c r="BE157" s="25">
        <f t="shared" si="62"/>
        <v>9.1145833333333329E-2</v>
      </c>
      <c r="BF157" s="25">
        <f t="shared" si="63"/>
        <v>2.1383647798742141E-2</v>
      </c>
      <c r="BG157" s="25">
        <f t="shared" si="64"/>
        <v>0.21276595744680851</v>
      </c>
      <c r="BH157" s="25">
        <f t="shared" si="65"/>
        <v>0.87123287671232874</v>
      </c>
      <c r="BI157" s="25">
        <f t="shared" si="66"/>
        <v>9.2348284960422161E-2</v>
      </c>
      <c r="BJ157" s="25">
        <f t="shared" si="67"/>
        <v>1</v>
      </c>
      <c r="BK157" s="25">
        <f t="shared" si="68"/>
        <v>1.875</v>
      </c>
      <c r="BL157" s="25">
        <f t="shared" si="69"/>
        <v>0.85546875</v>
      </c>
      <c r="BM157" s="25">
        <f t="shared" si="70"/>
        <v>0.1015625</v>
      </c>
      <c r="BN157" s="18" t="str">
        <f t="shared" si="76"/>
        <v>Baja fuente de proteína</v>
      </c>
      <c r="BO157" s="18" t="str">
        <f t="shared" si="77"/>
        <v>Media fuente de fibra</v>
      </c>
      <c r="BP157" s="18" t="str">
        <f t="shared" si="78"/>
        <v>Baja fuente de calcio</v>
      </c>
      <c r="BQ157" s="18" t="str">
        <f t="shared" si="79"/>
        <v>Baja fuente de hierro</v>
      </c>
      <c r="BR157" s="18" t="str">
        <f t="shared" si="80"/>
        <v>Bajo en sodio</v>
      </c>
      <c r="BS157" s="6" t="str">
        <f t="shared" si="71"/>
        <v>Proinflamatorio</v>
      </c>
      <c r="BT157" s="6" t="str">
        <f t="shared" si="72"/>
        <v>Muy alto en grasas</v>
      </c>
      <c r="BU157" s="18" t="str">
        <f t="shared" si="81"/>
        <v>Equilibrio de líquidos ideal</v>
      </c>
      <c r="BV157" s="18" t="str">
        <f t="shared" si="82"/>
        <v>Baja fuente de magnesio</v>
      </c>
      <c r="BW157" s="18" t="str">
        <f t="shared" si="83"/>
        <v>Sin aporte de Omega 3</v>
      </c>
      <c r="BX157" s="18" t="str">
        <f t="shared" si="84"/>
        <v>Libre de grasas trans</v>
      </c>
      <c r="BY157" s="18" t="str">
        <f t="shared" si="85"/>
        <v>Medio poder antioxidante</v>
      </c>
      <c r="BZ157" s="6" t="str">
        <f t="shared" si="73"/>
        <v>Sin probióticos</v>
      </c>
      <c r="CA157" s="18" t="str">
        <f t="shared" si="86"/>
        <v>Poco inflamatorio</v>
      </c>
      <c r="CB157" s="18" t="str">
        <f>IF(ISNUMBER(SEARCH("miel", D157)), "No irritante (Uso condicionado SII)", IF(OR(J157&gt;0, ISNUMBER(SEARCH("cacao", D157)), ISNUMBER(SEARCH("chocolate puro", D157))), "Altamente irritante", IF(OR(AND(O157&gt;15, BI157&gt;1), ISNUMBER(SEARCH("chocolate", D157))), "Moderadamente irritante", "No irritante")))</f>
        <v>No irritante</v>
      </c>
      <c r="CC157" s="6" t="str">
        <f t="shared" si="74"/>
        <v>Sin Omega 3 para evaluar</v>
      </c>
    </row>
    <row r="158" spans="1:81" ht="15" customHeight="1" x14ac:dyDescent="0.3">
      <c r="A158" s="2">
        <f t="shared" si="75"/>
        <v>157</v>
      </c>
      <c r="B158" s="3" t="s">
        <v>234</v>
      </c>
      <c r="C158" s="3" t="s">
        <v>255</v>
      </c>
      <c r="D158" s="3" t="s">
        <v>266</v>
      </c>
      <c r="E158" s="3"/>
      <c r="F158" s="4">
        <v>5</v>
      </c>
      <c r="G158" s="5">
        <v>1</v>
      </c>
      <c r="H158" s="5">
        <v>36.9</v>
      </c>
      <c r="I158" s="5">
        <v>88.8</v>
      </c>
      <c r="J158" s="5">
        <v>0</v>
      </c>
      <c r="K158" s="5">
        <v>1.3</v>
      </c>
      <c r="L158" s="5">
        <v>4.9000000000000004</v>
      </c>
      <c r="M158" s="5">
        <v>0</v>
      </c>
      <c r="N158" s="5">
        <v>4.9000000000000004</v>
      </c>
      <c r="O158" s="5">
        <v>0</v>
      </c>
      <c r="P158" s="5">
        <v>4.7</v>
      </c>
      <c r="Q158" s="5">
        <v>0.3</v>
      </c>
      <c r="R158" s="5">
        <v>0.01</v>
      </c>
      <c r="S158" s="5">
        <v>0.03</v>
      </c>
      <c r="T158" s="5">
        <v>0.2</v>
      </c>
      <c r="U158" s="5">
        <v>0</v>
      </c>
      <c r="V158" s="5">
        <v>3.8</v>
      </c>
      <c r="W158" s="5">
        <v>0</v>
      </c>
      <c r="X158" s="5">
        <v>22.5</v>
      </c>
      <c r="Y158" s="5">
        <v>0</v>
      </c>
      <c r="Z158" s="5">
        <v>0.91</v>
      </c>
      <c r="AA158" s="5">
        <v>10</v>
      </c>
      <c r="AB158" s="5">
        <v>2.3E-2</v>
      </c>
      <c r="AC158" s="5">
        <v>0.05</v>
      </c>
      <c r="AD158" s="5">
        <v>0.78</v>
      </c>
      <c r="AE158" s="5">
        <v>0.06</v>
      </c>
      <c r="AF158" s="5">
        <v>30</v>
      </c>
      <c r="AG158" s="5">
        <v>0</v>
      </c>
      <c r="AH158" s="5">
        <v>0.3</v>
      </c>
      <c r="AI158" s="5">
        <v>1.9</v>
      </c>
      <c r="AJ158" s="5">
        <v>25</v>
      </c>
      <c r="AK158" s="5">
        <v>40</v>
      </c>
      <c r="AL158" s="5">
        <v>44</v>
      </c>
      <c r="AM158" s="5">
        <v>1</v>
      </c>
      <c r="AN158" s="5">
        <v>3</v>
      </c>
      <c r="AO158" s="5">
        <v>0.36</v>
      </c>
      <c r="AP158" s="5">
        <v>30</v>
      </c>
      <c r="AQ158" s="5">
        <v>1.3</v>
      </c>
      <c r="AR158" s="5">
        <v>200</v>
      </c>
      <c r="AS158" s="5">
        <v>0.38</v>
      </c>
      <c r="AT158" s="5">
        <v>9.2999999999999999E-2</v>
      </c>
      <c r="AU158" s="5">
        <v>1.3</v>
      </c>
      <c r="AV158" s="5">
        <f>IFERROR(VLOOKUP(IFERROR(VLOOKUP(D158,Mapa_Similitud!$A$2:$B$2000,2,FALSE()),D158),Hoja1!$A$2:$K$1000,2,FALSE()),IFERROR(VLOOKUP(IFERROR(VLOOKUP(D158,Mapa_Similitud!$A$2:$B$2000,2,FALSE()),D158),Omega3_Referencia!$A$2:$E$100,3,FALSE()),0))</f>
        <v>0.12</v>
      </c>
      <c r="AW158" s="3" t="str">
        <f>IFERROR(VLOOKUP(IFERROR(VLOOKUP(D158,Mapa_Similitud!$A$2:$B$2000,2,FALSE()),D158),Hoja1!$A$2:$K$1000,3,FALSE()),IFERROR(VLOOKUP(IFERROR(VLOOKUP(D158,Mapa_Similitud!$A$2:$B$2000,2,FALSE()),D158),Omega3_Referencia!$A$2:$E$100,4,FALSE()),"N/A"))</f>
        <v>ALA</v>
      </c>
      <c r="AX158" s="5">
        <f>IFERROR(VLOOKUP(IFERROR(VLOOKUP(D158,Mapa_Similitud!$A$2:$B$2000,2,FALSE()),D158),Hoja1!$A$2:$K$1000,5,FALSE()),0)</f>
        <v>0</v>
      </c>
      <c r="AY158" s="5">
        <f>IFERROR(VLOOKUP(IFERROR(VLOOKUP(D158,Mapa_Similitud!$A$2:$B$2000,2,FALSE()),D158),Hoja1!$A$2:$K$1000,7,FALSE()),0)</f>
        <v>280</v>
      </c>
      <c r="AZ158" s="5">
        <f>IFERROR(VLOOKUP(IFERROR(VLOOKUP(D158,Mapa_Similitud!$A$2:$B$2000,2,FALSE()),D158),Hoja1!$A$2:$K$1000,9,FALSE()),0)</f>
        <v>0</v>
      </c>
      <c r="BA158" s="25">
        <f t="shared" si="58"/>
        <v>3.523035230352304E-2</v>
      </c>
      <c r="BB158" s="25">
        <f t="shared" si="59"/>
        <v>0.12737127371273713</v>
      </c>
      <c r="BC158" s="25">
        <f t="shared" si="60"/>
        <v>1.0840108401084012</v>
      </c>
      <c r="BD158" s="25">
        <f t="shared" si="61"/>
        <v>2.7100271002710029E-2</v>
      </c>
      <c r="BE158" s="25">
        <f t="shared" si="62"/>
        <v>3.523035230352304E-2</v>
      </c>
      <c r="BF158" s="25">
        <f t="shared" si="63"/>
        <v>20</v>
      </c>
      <c r="BG158" s="25">
        <f t="shared" si="64"/>
        <v>0.90909090909090906</v>
      </c>
      <c r="BH158" s="25">
        <f t="shared" si="65"/>
        <v>3.3333333333333333E-2</v>
      </c>
      <c r="BI158" s="25">
        <f t="shared" si="66"/>
        <v>6.5000000000000006E-3</v>
      </c>
      <c r="BJ158" s="25">
        <f t="shared" si="67"/>
        <v>1</v>
      </c>
      <c r="BK158" s="25">
        <f t="shared" si="68"/>
        <v>0.95918367346938771</v>
      </c>
      <c r="BL158" s="25">
        <f t="shared" si="69"/>
        <v>7.3170731707317069E-2</v>
      </c>
      <c r="BM158" s="25">
        <f t="shared" si="70"/>
        <v>0.81300813008130079</v>
      </c>
      <c r="BN158" s="18" t="str">
        <f t="shared" si="76"/>
        <v>Baja fuente de proteína</v>
      </c>
      <c r="BO158" s="18" t="str">
        <f t="shared" si="77"/>
        <v>Alta fuente de fibra</v>
      </c>
      <c r="BP158" s="18" t="str">
        <f t="shared" si="78"/>
        <v>Media fuente de calcio</v>
      </c>
      <c r="BQ158" s="18" t="str">
        <f t="shared" si="79"/>
        <v>Alta fuente de hierro</v>
      </c>
      <c r="BR158" s="18" t="str">
        <f t="shared" si="80"/>
        <v>Bajo en sodio</v>
      </c>
      <c r="BS158" s="6" t="str">
        <f t="shared" si="71"/>
        <v>Altamente antiinflamatorio</v>
      </c>
      <c r="BT158" s="6" t="str">
        <f t="shared" si="72"/>
        <v>Bajo en grasas</v>
      </c>
      <c r="BU158" s="18" t="str">
        <f t="shared" si="81"/>
        <v>Equilibrio de líquidos ideal</v>
      </c>
      <c r="BV158" s="18" t="str">
        <f t="shared" si="82"/>
        <v>Alta fuente de magnesio</v>
      </c>
      <c r="BW158" s="18" t="str">
        <f t="shared" si="83"/>
        <v>Ligera fuente de Omega 3</v>
      </c>
      <c r="BX158" s="18" t="str">
        <f t="shared" si="84"/>
        <v>Libre de grasas trans</v>
      </c>
      <c r="BY158" s="18" t="str">
        <f t="shared" si="85"/>
        <v>Alto poder antioxidante</v>
      </c>
      <c r="BZ158" s="6" t="str">
        <f t="shared" si="73"/>
        <v>Sin probióticos</v>
      </c>
      <c r="CA158" s="18" t="str">
        <f t="shared" si="86"/>
        <v>Antiinflamatorio</v>
      </c>
      <c r="CB158" s="18" t="str">
        <f>IF(ISNUMBER(SEARCH("miel", D158)), "No irritante (Uso condicionado SII)", IF(OR(J158&gt;0, ISNUMBER(SEARCH("cacao", D158)), ISNUMBER(SEARCH("chocolate puro", D158))), "Altamente irritante", IF(OR(AND(O158&gt;15, BI158&gt;1), ISNUMBER(SEARCH("chocolate", D158))), "Moderadamente irritante", "No irritante")))</f>
        <v>No irritante</v>
      </c>
      <c r="CC158" s="6" t="str">
        <f t="shared" si="74"/>
        <v>Balance de omegas favorable</v>
      </c>
    </row>
    <row r="159" spans="1:81" ht="15" customHeight="1" x14ac:dyDescent="0.3">
      <c r="A159" s="2">
        <f t="shared" si="75"/>
        <v>158</v>
      </c>
      <c r="B159" s="3" t="s">
        <v>234</v>
      </c>
      <c r="C159" s="3" t="s">
        <v>255</v>
      </c>
      <c r="D159" s="3" t="s">
        <v>267</v>
      </c>
      <c r="E159" s="3" t="s">
        <v>268</v>
      </c>
      <c r="F159" s="4">
        <v>1.5</v>
      </c>
      <c r="G159" s="5">
        <v>0.95</v>
      </c>
      <c r="H159" s="5">
        <v>32.200000000000003</v>
      </c>
      <c r="I159" s="5">
        <v>91.6</v>
      </c>
      <c r="J159" s="5">
        <v>0</v>
      </c>
      <c r="K159" s="5">
        <v>0.81</v>
      </c>
      <c r="L159" s="5">
        <v>5.5</v>
      </c>
      <c r="M159" s="5">
        <v>0</v>
      </c>
      <c r="N159" s="5">
        <v>5.5</v>
      </c>
      <c r="O159" s="5">
        <v>0</v>
      </c>
      <c r="P159" s="5">
        <v>1.7</v>
      </c>
      <c r="Q159" s="5">
        <v>0.4</v>
      </c>
      <c r="R159" s="5">
        <v>3.2000000000000001E-2</v>
      </c>
      <c r="S159" s="5">
        <v>6.3E-2</v>
      </c>
      <c r="T159" s="5">
        <v>0.24</v>
      </c>
      <c r="U159" s="5">
        <v>0</v>
      </c>
      <c r="V159" s="5">
        <v>3</v>
      </c>
      <c r="W159" s="5">
        <v>0</v>
      </c>
      <c r="X159" s="5">
        <v>18</v>
      </c>
      <c r="Y159" s="5">
        <v>0</v>
      </c>
      <c r="Z159" s="5">
        <v>0.23</v>
      </c>
      <c r="AA159" s="5">
        <v>5.5</v>
      </c>
      <c r="AB159" s="5">
        <v>3.1E-2</v>
      </c>
      <c r="AC159" s="5">
        <v>5.3999999999999999E-2</v>
      </c>
      <c r="AD159" s="5">
        <v>0.79</v>
      </c>
      <c r="AE159" s="5">
        <v>0.06</v>
      </c>
      <c r="AF159" s="5">
        <v>61.6</v>
      </c>
      <c r="AG159" s="5">
        <v>0</v>
      </c>
      <c r="AH159" s="5">
        <v>0.34</v>
      </c>
      <c r="AI159" s="5">
        <v>4</v>
      </c>
      <c r="AJ159" s="5">
        <v>54.9</v>
      </c>
      <c r="AK159" s="5">
        <v>21.5</v>
      </c>
      <c r="AL159" s="5">
        <v>26</v>
      </c>
      <c r="AM159" s="5">
        <v>0.46</v>
      </c>
      <c r="AN159" s="5">
        <v>2.7</v>
      </c>
      <c r="AO159" s="5">
        <v>0.22</v>
      </c>
      <c r="AP159" s="5">
        <v>13.3</v>
      </c>
      <c r="AQ159" s="5">
        <v>1.4</v>
      </c>
      <c r="AR159" s="5">
        <v>161</v>
      </c>
      <c r="AS159" s="5">
        <v>0.39</v>
      </c>
      <c r="AT159" s="5">
        <v>4.5999999999999999E-2</v>
      </c>
      <c r="AU159" s="5">
        <v>1.3</v>
      </c>
      <c r="AV159" s="5">
        <f>IFERROR(VLOOKUP(IFERROR(VLOOKUP(D159,Mapa_Similitud!$A$2:$B$2000,2,FALSE()),D159),Hoja1!$A$2:$K$1000,2,FALSE()),IFERROR(VLOOKUP(IFERROR(VLOOKUP(D159,Mapa_Similitud!$A$2:$B$2000,2,FALSE()),D159),Omega3_Referencia!$A$2:$E$100,3,FALSE()),0))</f>
        <v>0.02</v>
      </c>
      <c r="AW159" s="3" t="str">
        <f>IFERROR(VLOOKUP(IFERROR(VLOOKUP(D159,Mapa_Similitud!$A$2:$B$2000,2,FALSE()),D159),Hoja1!$A$2:$K$1000,3,FALSE()),IFERROR(VLOOKUP(IFERROR(VLOOKUP(D159,Mapa_Similitud!$A$2:$B$2000,2,FALSE()),D159),Omega3_Referencia!$A$2:$E$100,4,FALSE()),"N/A"))</f>
        <v>ALA</v>
      </c>
      <c r="AX159" s="5">
        <f>IFERROR(VLOOKUP(IFERROR(VLOOKUP(D159,Mapa_Similitud!$A$2:$B$2000,2,FALSE()),D159),Hoja1!$A$2:$K$1000,5,FALSE()),0)</f>
        <v>0</v>
      </c>
      <c r="AY159" s="5">
        <f>IFERROR(VLOOKUP(IFERROR(VLOOKUP(D159,Mapa_Similitud!$A$2:$B$2000,2,FALSE()),D159),Hoja1!$A$2:$K$1000,7,FALSE()),0)</f>
        <v>225</v>
      </c>
      <c r="AZ159" s="5">
        <f>IFERROR(VLOOKUP(IFERROR(VLOOKUP(D159,Mapa_Similitud!$A$2:$B$2000,2,FALSE()),D159),Hoja1!$A$2:$K$1000,9,FALSE()),0)</f>
        <v>0</v>
      </c>
      <c r="BA159" s="25">
        <f t="shared" si="58"/>
        <v>2.5155279503105591E-2</v>
      </c>
      <c r="BB159" s="25">
        <f t="shared" si="59"/>
        <v>5.2795031055900617E-2</v>
      </c>
      <c r="BC159" s="25">
        <f t="shared" si="60"/>
        <v>0.66770186335403725</v>
      </c>
      <c r="BD159" s="25">
        <f t="shared" si="61"/>
        <v>1.4285714285714285E-2</v>
      </c>
      <c r="BE159" s="25">
        <f t="shared" si="62"/>
        <v>4.3478260869565209E-2</v>
      </c>
      <c r="BF159" s="25">
        <f t="shared" si="63"/>
        <v>7.5</v>
      </c>
      <c r="BG159" s="25">
        <f t="shared" si="64"/>
        <v>0.82692307692307687</v>
      </c>
      <c r="BH159" s="25">
        <f t="shared" si="65"/>
        <v>0.08</v>
      </c>
      <c r="BI159" s="25">
        <f t="shared" si="66"/>
        <v>8.6956521739130436E-3</v>
      </c>
      <c r="BJ159" s="25">
        <f t="shared" si="67"/>
        <v>1</v>
      </c>
      <c r="BK159" s="25">
        <f t="shared" si="68"/>
        <v>0.30909090909090908</v>
      </c>
      <c r="BL159" s="25">
        <f t="shared" si="69"/>
        <v>0.11180124223602483</v>
      </c>
      <c r="BM159" s="25">
        <f t="shared" si="70"/>
        <v>0.41304347826086957</v>
      </c>
      <c r="BN159" s="18" t="str">
        <f t="shared" si="76"/>
        <v>Baja fuente de proteína</v>
      </c>
      <c r="BO159" s="18" t="str">
        <f t="shared" si="77"/>
        <v>Alta fuente de fibra</v>
      </c>
      <c r="BP159" s="18" t="str">
        <f t="shared" si="78"/>
        <v>Baja fuente de calcio</v>
      </c>
      <c r="BQ159" s="18" t="str">
        <f t="shared" si="79"/>
        <v>Media fuente de hierro</v>
      </c>
      <c r="BR159" s="18" t="str">
        <f t="shared" si="80"/>
        <v>Bajo en sodio</v>
      </c>
      <c r="BS159" s="6" t="str">
        <f t="shared" si="71"/>
        <v>Altamente antiinflamatorio</v>
      </c>
      <c r="BT159" s="6" t="str">
        <f t="shared" si="72"/>
        <v>Bajo en grasas</v>
      </c>
      <c r="BU159" s="18" t="str">
        <f t="shared" si="81"/>
        <v>Equilibrio de líquidos ideal</v>
      </c>
      <c r="BV159" s="18" t="str">
        <f t="shared" si="82"/>
        <v>Media fuente de magnesio</v>
      </c>
      <c r="BW159" s="18" t="str">
        <f t="shared" si="83"/>
        <v>Sin aporte de Omega 3</v>
      </c>
      <c r="BX159" s="18" t="str">
        <f t="shared" si="84"/>
        <v>Libre de grasas trans</v>
      </c>
      <c r="BY159" s="18" t="str">
        <f t="shared" si="85"/>
        <v>Alto poder antioxidante</v>
      </c>
      <c r="BZ159" s="6" t="str">
        <f t="shared" si="73"/>
        <v>Sin probióticos</v>
      </c>
      <c r="CA159" s="18" t="str">
        <f t="shared" si="86"/>
        <v>Antiinflamatorio</v>
      </c>
      <c r="CB159" s="18" t="str">
        <f>IF(ISNUMBER(SEARCH("miel", D159)), "No irritante (Uso condicionado SII)", IF(OR(J159&gt;0, ISNUMBER(SEARCH("cacao", D159)), ISNUMBER(SEARCH("chocolate puro", D159))), "Altamente irritante", IF(OR(AND(O159&gt;15, BI159&gt;1), ISNUMBER(SEARCH("chocolate", D159))), "Moderadamente irritante", "No irritante")))</f>
        <v>No irritante</v>
      </c>
      <c r="CC159" s="6" t="str">
        <f t="shared" si="74"/>
        <v>Exceso relativo de Omega 6</v>
      </c>
    </row>
    <row r="160" spans="1:81" ht="15" customHeight="1" x14ac:dyDescent="0.3">
      <c r="A160" s="2">
        <f t="shared" si="75"/>
        <v>159</v>
      </c>
      <c r="B160" s="3" t="s">
        <v>234</v>
      </c>
      <c r="C160" s="3" t="s">
        <v>255</v>
      </c>
      <c r="D160" s="3" t="s">
        <v>269</v>
      </c>
      <c r="E160" s="3"/>
      <c r="F160" s="4">
        <v>2</v>
      </c>
      <c r="G160" s="5">
        <v>0.56000000000000005</v>
      </c>
      <c r="H160" s="5">
        <v>77.2</v>
      </c>
      <c r="I160" s="5">
        <v>80.400000000000006</v>
      </c>
      <c r="J160" s="5">
        <v>0</v>
      </c>
      <c r="K160" s="5">
        <v>0.69</v>
      </c>
      <c r="L160" s="5">
        <v>16.100000000000001</v>
      </c>
      <c r="M160" s="5">
        <v>0</v>
      </c>
      <c r="N160" s="5">
        <v>16.100000000000001</v>
      </c>
      <c r="O160" s="5">
        <v>0</v>
      </c>
      <c r="P160" s="5">
        <v>2.2999999999999998</v>
      </c>
      <c r="Q160" s="5">
        <v>0.6</v>
      </c>
      <c r="R160" s="5">
        <v>7.5999999999999998E-2</v>
      </c>
      <c r="S160" s="5">
        <v>0.09</v>
      </c>
      <c r="T160" s="5">
        <v>0.13</v>
      </c>
      <c r="U160" s="5">
        <v>0</v>
      </c>
      <c r="V160" s="5">
        <v>6.7</v>
      </c>
      <c r="W160" s="5">
        <v>0</v>
      </c>
      <c r="X160" s="5">
        <v>40</v>
      </c>
      <c r="Y160" s="5">
        <v>0</v>
      </c>
      <c r="Z160" s="5">
        <v>0.55000000000000004</v>
      </c>
      <c r="AA160" s="5">
        <v>4.5999999999999996</v>
      </c>
      <c r="AB160" s="5">
        <v>0.05</v>
      </c>
      <c r="AC160" s="5">
        <v>0.02</v>
      </c>
      <c r="AD160" s="5">
        <v>0.3</v>
      </c>
      <c r="AE160" s="5">
        <v>0.2</v>
      </c>
      <c r="AF160" s="5">
        <v>29</v>
      </c>
      <c r="AG160" s="5">
        <v>0</v>
      </c>
      <c r="AH160" s="5">
        <v>0.6</v>
      </c>
      <c r="AI160" s="5">
        <v>0</v>
      </c>
      <c r="AJ160" s="5">
        <v>7</v>
      </c>
      <c r="AK160" s="5">
        <v>8</v>
      </c>
      <c r="AL160" s="5">
        <v>17</v>
      </c>
      <c r="AM160" s="5">
        <v>0.5</v>
      </c>
      <c r="AN160" s="5">
        <v>0</v>
      </c>
      <c r="AO160" s="5">
        <v>0.23</v>
      </c>
      <c r="AP160" s="5">
        <v>3</v>
      </c>
      <c r="AQ160" s="5">
        <v>2.5</v>
      </c>
      <c r="AR160" s="5">
        <v>238</v>
      </c>
      <c r="AS160" s="5">
        <v>0.13</v>
      </c>
      <c r="AT160" s="5">
        <v>0.12</v>
      </c>
      <c r="AU160" s="5">
        <v>0.6</v>
      </c>
      <c r="AV160" s="5">
        <f>IFERROR(VLOOKUP(IFERROR(VLOOKUP(D160,Mapa_Similitud!$A$2:$B$2000,2,FALSE()),D160),Hoja1!$A$2:$K$1000,2,FALSE()),IFERROR(VLOOKUP(IFERROR(VLOOKUP(D160,Mapa_Similitud!$A$2:$B$2000,2,FALSE()),D160),Omega3_Referencia!$A$2:$E$100,3,FALSE()),0))</f>
        <v>0.01</v>
      </c>
      <c r="AW160" s="3" t="str">
        <f>IFERROR(VLOOKUP(IFERROR(VLOOKUP(D160,Mapa_Similitud!$A$2:$B$2000,2,FALSE()),D160),Hoja1!$A$2:$K$1000,3,FALSE()),IFERROR(VLOOKUP(IFERROR(VLOOKUP(D160,Mapa_Similitud!$A$2:$B$2000,2,FALSE()),D160),Omega3_Referencia!$A$2:$E$100,4,FALSE()),"N/A"))</f>
        <v>ALA</v>
      </c>
      <c r="AX160" s="5">
        <f>IFERROR(VLOOKUP(IFERROR(VLOOKUP(D160,Mapa_Similitud!$A$2:$B$2000,2,FALSE()),D160),Hoja1!$A$2:$K$1000,5,FALSE()),0)</f>
        <v>0</v>
      </c>
      <c r="AY160" s="5">
        <f>IFERROR(VLOOKUP(IFERROR(VLOOKUP(D160,Mapa_Similitud!$A$2:$B$2000,2,FALSE()),D160),Hoja1!$A$2:$K$1000,7,FALSE()),0)</f>
        <v>250</v>
      </c>
      <c r="AZ160" s="5">
        <f>IFERROR(VLOOKUP(IFERROR(VLOOKUP(D160,Mapa_Similitud!$A$2:$B$2000,2,FALSE()),D160),Hoja1!$A$2:$K$1000,9,FALSE()),0)</f>
        <v>0</v>
      </c>
      <c r="BA160" s="25">
        <f t="shared" si="58"/>
        <v>8.9378238341968896E-3</v>
      </c>
      <c r="BB160" s="25">
        <f t="shared" si="59"/>
        <v>2.9792746113989636E-2</v>
      </c>
      <c r="BC160" s="25">
        <f t="shared" si="60"/>
        <v>0.10362694300518134</v>
      </c>
      <c r="BD160" s="25">
        <f t="shared" si="61"/>
        <v>6.4766839378238338E-3</v>
      </c>
      <c r="BE160" s="25">
        <f t="shared" si="62"/>
        <v>3.2383419689119168E-2</v>
      </c>
      <c r="BF160" s="25">
        <f t="shared" si="63"/>
        <v>1.7105263157894739</v>
      </c>
      <c r="BG160" s="25">
        <f t="shared" si="64"/>
        <v>0.47058823529411764</v>
      </c>
      <c r="BH160" s="25">
        <f t="shared" si="65"/>
        <v>0.12666666666666668</v>
      </c>
      <c r="BI160" s="25">
        <f t="shared" si="66"/>
        <v>1.050420168067227E-2</v>
      </c>
      <c r="BJ160" s="25">
        <f t="shared" si="67"/>
        <v>1</v>
      </c>
      <c r="BK160" s="25">
        <f t="shared" si="68"/>
        <v>0.14285714285714282</v>
      </c>
      <c r="BL160" s="25">
        <f t="shared" si="69"/>
        <v>6.9948186528497394E-2</v>
      </c>
      <c r="BM160" s="25">
        <f t="shared" si="70"/>
        <v>3.8860103626943004E-2</v>
      </c>
      <c r="BN160" s="18" t="str">
        <f t="shared" si="76"/>
        <v>Baja fuente de proteína</v>
      </c>
      <c r="BO160" s="18" t="str">
        <f t="shared" si="77"/>
        <v>Media fuente de fibra</v>
      </c>
      <c r="BP160" s="18" t="str">
        <f t="shared" si="78"/>
        <v>Baja fuente de calcio</v>
      </c>
      <c r="BQ160" s="18" t="str">
        <f t="shared" si="79"/>
        <v>Baja fuente de hierro</v>
      </c>
      <c r="BR160" s="18" t="str">
        <f t="shared" si="80"/>
        <v>Bajo en sodio</v>
      </c>
      <c r="BS160" s="6" t="str">
        <f t="shared" si="71"/>
        <v>Ligeramente antiinflamatorio</v>
      </c>
      <c r="BT160" s="6" t="str">
        <f t="shared" si="72"/>
        <v>Bajo en grasas</v>
      </c>
      <c r="BU160" s="18" t="str">
        <f t="shared" si="81"/>
        <v>Equilibrio de líquidos ideal</v>
      </c>
      <c r="BV160" s="18" t="str">
        <f t="shared" si="82"/>
        <v>Baja fuente de magnesio</v>
      </c>
      <c r="BW160" s="18" t="str">
        <f t="shared" si="83"/>
        <v>Sin aporte de Omega 3</v>
      </c>
      <c r="BX160" s="18" t="str">
        <f t="shared" si="84"/>
        <v>Libre de grasas trans</v>
      </c>
      <c r="BY160" s="18" t="str">
        <f t="shared" si="85"/>
        <v>Alto poder antioxidante</v>
      </c>
      <c r="BZ160" s="6" t="str">
        <f t="shared" si="73"/>
        <v>Sin probióticos</v>
      </c>
      <c r="CA160" s="18" t="str">
        <f t="shared" si="86"/>
        <v>Antiinflamatorio</v>
      </c>
      <c r="CB160" s="18" t="str">
        <f>IF(ISNUMBER(SEARCH("miel", D160)), "No irritante (Uso condicionado SII)", IF(OR(J160&gt;0, ISNUMBER(SEARCH("cacao", D160)), ISNUMBER(SEARCH("chocolate puro", D160))), "Altamente irritante", IF(OR(AND(O160&gt;15, BI160&gt;1), ISNUMBER(SEARCH("chocolate", D160))), "Moderadamente irritante", "No irritante")))</f>
        <v>No irritante</v>
      </c>
      <c r="CC160" s="6" t="str">
        <f t="shared" si="74"/>
        <v>Exceso relativo de Omega 6</v>
      </c>
    </row>
    <row r="161" spans="1:81" ht="15" customHeight="1" x14ac:dyDescent="0.3">
      <c r="A161" s="2">
        <f t="shared" si="75"/>
        <v>160</v>
      </c>
      <c r="B161" s="3" t="s">
        <v>234</v>
      </c>
      <c r="C161" s="3" t="s">
        <v>255</v>
      </c>
      <c r="D161" s="3" t="s">
        <v>270</v>
      </c>
      <c r="E161" s="3"/>
      <c r="F161" s="4">
        <v>5</v>
      </c>
      <c r="G161" s="5">
        <v>0.98</v>
      </c>
      <c r="H161" s="5">
        <v>45.2</v>
      </c>
      <c r="I161" s="5">
        <v>85.6</v>
      </c>
      <c r="J161" s="5">
        <v>0</v>
      </c>
      <c r="K161" s="5">
        <v>1.3</v>
      </c>
      <c r="L161" s="5">
        <v>6.1</v>
      </c>
      <c r="M161" s="5">
        <v>0</v>
      </c>
      <c r="N161" s="5">
        <v>6.1</v>
      </c>
      <c r="O161" s="5">
        <v>0</v>
      </c>
      <c r="P161" s="5">
        <v>6.8</v>
      </c>
      <c r="Q161" s="5">
        <v>0.22</v>
      </c>
      <c r="R161" s="5">
        <v>2.5999999999999999E-2</v>
      </c>
      <c r="S161" s="5">
        <v>2.5000000000000001E-2</v>
      </c>
      <c r="T161" s="5">
        <v>0.11</v>
      </c>
      <c r="U161" s="5">
        <v>0</v>
      </c>
      <c r="V161" s="5">
        <v>13.5</v>
      </c>
      <c r="W161" s="5">
        <v>0</v>
      </c>
      <c r="X161" s="5">
        <v>81</v>
      </c>
      <c r="Y161" s="5">
        <v>0</v>
      </c>
      <c r="Z161" s="5">
        <v>1.9</v>
      </c>
      <c r="AA161" s="5">
        <v>30</v>
      </c>
      <c r="AB161" s="5">
        <v>5.0999999999999997E-2</v>
      </c>
      <c r="AC161" s="5">
        <v>4.3999999999999997E-2</v>
      </c>
      <c r="AD161" s="5">
        <v>0.4</v>
      </c>
      <c r="AE161" s="5">
        <v>0.08</v>
      </c>
      <c r="AF161" s="5">
        <v>8.8000000000000007</v>
      </c>
      <c r="AG161" s="5">
        <v>0</v>
      </c>
      <c r="AH161" s="5">
        <v>0.4</v>
      </c>
      <c r="AI161" s="5">
        <v>2.4</v>
      </c>
      <c r="AJ161" s="5">
        <v>177</v>
      </c>
      <c r="AK161" s="5">
        <v>46</v>
      </c>
      <c r="AL161" s="5">
        <v>40</v>
      </c>
      <c r="AM161" s="5">
        <v>1.3</v>
      </c>
      <c r="AN161" s="5">
        <v>1</v>
      </c>
      <c r="AO161" s="5">
        <v>0.25</v>
      </c>
      <c r="AP161" s="5">
        <v>17</v>
      </c>
      <c r="AQ161" s="5">
        <v>1.7</v>
      </c>
      <c r="AR161" s="5">
        <v>303</v>
      </c>
      <c r="AS161" s="5">
        <v>0.35</v>
      </c>
      <c r="AT161" s="5">
        <v>0.1</v>
      </c>
      <c r="AU161" s="5">
        <v>1.7</v>
      </c>
      <c r="AV161" s="5">
        <f>IFERROR(VLOOKUP(IFERROR(VLOOKUP(D161,Mapa_Similitud!$A$2:$B$2000,2,FALSE()),D161),Hoja1!$A$2:$K$1000,2,FALSE()),IFERROR(VLOOKUP(IFERROR(VLOOKUP(D161,Mapa_Similitud!$A$2:$B$2000,2,FALSE()),D161),Omega3_Referencia!$A$2:$E$100,3,FALSE()),0))</f>
        <v>0.04</v>
      </c>
      <c r="AW161" s="3" t="str">
        <f>IFERROR(VLOOKUP(IFERROR(VLOOKUP(D161,Mapa_Similitud!$A$2:$B$2000,2,FALSE()),D161),Hoja1!$A$2:$K$1000,3,FALSE()),IFERROR(VLOOKUP(IFERROR(VLOOKUP(D161,Mapa_Similitud!$A$2:$B$2000,2,FALSE()),D161),Omega3_Referencia!$A$2:$E$100,4,FALSE()),"N/A"))</f>
        <v>ALA</v>
      </c>
      <c r="AX161" s="5">
        <f>IFERROR(VLOOKUP(IFERROR(VLOOKUP(D161,Mapa_Similitud!$A$2:$B$2000,2,FALSE()),D161),Hoja1!$A$2:$K$1000,5,FALSE()),0)</f>
        <v>0</v>
      </c>
      <c r="AY161" s="5">
        <f>IFERROR(VLOOKUP(IFERROR(VLOOKUP(D161,Mapa_Similitud!$A$2:$B$2000,2,FALSE()),D161),Hoja1!$A$2:$K$1000,7,FALSE()),0)</f>
        <v>350</v>
      </c>
      <c r="AZ161" s="5">
        <f>IFERROR(VLOOKUP(IFERROR(VLOOKUP(D161,Mapa_Similitud!$A$2:$B$2000,2,FALSE()),D161),Hoja1!$A$2:$K$1000,9,FALSE()),0)</f>
        <v>0</v>
      </c>
      <c r="BA161" s="25">
        <f t="shared" si="58"/>
        <v>2.8761061946902654E-2</v>
      </c>
      <c r="BB161" s="25">
        <f t="shared" si="59"/>
        <v>0.15044247787610618</v>
      </c>
      <c r="BC161" s="25">
        <f t="shared" si="60"/>
        <v>1.0176991150442478</v>
      </c>
      <c r="BD161" s="25">
        <f t="shared" si="61"/>
        <v>2.8761061946902654E-2</v>
      </c>
      <c r="BE161" s="25">
        <f t="shared" si="62"/>
        <v>3.7610619469026545E-2</v>
      </c>
      <c r="BF161" s="25">
        <f t="shared" si="63"/>
        <v>4.2307692307692308</v>
      </c>
      <c r="BG161" s="25">
        <f t="shared" si="64"/>
        <v>1.1499999999999999</v>
      </c>
      <c r="BH161" s="25">
        <f t="shared" si="65"/>
        <v>0.11818181818181818</v>
      </c>
      <c r="BI161" s="25">
        <f t="shared" si="66"/>
        <v>5.6105610561056106E-3</v>
      </c>
      <c r="BJ161" s="25">
        <f t="shared" si="67"/>
        <v>1</v>
      </c>
      <c r="BK161" s="25">
        <f t="shared" si="68"/>
        <v>1.1147540983606559</v>
      </c>
      <c r="BL161" s="25">
        <f t="shared" si="69"/>
        <v>4.380530973451327E-2</v>
      </c>
      <c r="BM161" s="25">
        <f t="shared" si="70"/>
        <v>0.37610619469026546</v>
      </c>
      <c r="BN161" s="18" t="str">
        <f t="shared" si="76"/>
        <v>Baja fuente de proteína</v>
      </c>
      <c r="BO161" s="18" t="str">
        <f t="shared" si="77"/>
        <v>Alta fuente de fibra</v>
      </c>
      <c r="BP161" s="18" t="str">
        <f t="shared" si="78"/>
        <v>Media fuente de calcio</v>
      </c>
      <c r="BQ161" s="18" t="str">
        <f t="shared" si="79"/>
        <v>Alta fuente de hierro</v>
      </c>
      <c r="BR161" s="18" t="str">
        <f t="shared" si="80"/>
        <v>Bajo en sodio</v>
      </c>
      <c r="BS161" s="6" t="str">
        <f t="shared" si="71"/>
        <v>Altamente antiinflamatorio</v>
      </c>
      <c r="BT161" s="6" t="str">
        <f t="shared" si="72"/>
        <v>Bajo en grasas</v>
      </c>
      <c r="BU161" s="18" t="str">
        <f t="shared" si="81"/>
        <v>Equilibrio de líquidos ideal</v>
      </c>
      <c r="BV161" s="18" t="str">
        <f t="shared" si="82"/>
        <v>Media fuente de magnesio</v>
      </c>
      <c r="BW161" s="18" t="str">
        <f t="shared" si="83"/>
        <v>Sin aporte de Omega 3</v>
      </c>
      <c r="BX161" s="18" t="str">
        <f t="shared" si="84"/>
        <v>Libre de grasas trans</v>
      </c>
      <c r="BY161" s="18" t="str">
        <f t="shared" si="85"/>
        <v>Alto poder antioxidante</v>
      </c>
      <c r="BZ161" s="6" t="str">
        <f t="shared" si="73"/>
        <v>Sin probióticos</v>
      </c>
      <c r="CA161" s="18" t="str">
        <f t="shared" si="86"/>
        <v>Antiinflamatorio</v>
      </c>
      <c r="CB161" s="18" t="str">
        <f>IF(ISNUMBER(SEARCH("miel", D161)), "No irritante (Uso condicionado SII)", IF(OR(J161&gt;0, ISNUMBER(SEARCH("cacao", D161)), ISNUMBER(SEARCH("chocolate puro", D161))), "Altamente irritante", IF(OR(AND(O161&gt;15, BI161&gt;1), ISNUMBER(SEARCH("chocolate", D161))), "Moderadamente irritante", "No irritante")))</f>
        <v>No irritante</v>
      </c>
      <c r="CC161" s="6" t="str">
        <f t="shared" si="74"/>
        <v>Balance de omegas favorable</v>
      </c>
    </row>
    <row r="162" spans="1:81" ht="15" customHeight="1" x14ac:dyDescent="0.3">
      <c r="A162" s="2">
        <f t="shared" si="75"/>
        <v>161</v>
      </c>
      <c r="B162" s="3" t="s">
        <v>234</v>
      </c>
      <c r="C162" s="3" t="s">
        <v>255</v>
      </c>
      <c r="D162" s="3" t="s">
        <v>271</v>
      </c>
      <c r="E162" s="3"/>
      <c r="F162" s="4">
        <v>5</v>
      </c>
      <c r="G162" s="5">
        <v>0.99</v>
      </c>
      <c r="H162" s="5">
        <v>32.4</v>
      </c>
      <c r="I162" s="5">
        <v>90.4</v>
      </c>
      <c r="J162" s="5">
        <v>0</v>
      </c>
      <c r="K162" s="5">
        <v>1.1000000000000001</v>
      </c>
      <c r="L162" s="5">
        <v>4.8</v>
      </c>
      <c r="M162" s="5">
        <v>0</v>
      </c>
      <c r="N162" s="5">
        <v>4.8</v>
      </c>
      <c r="O162" s="5">
        <v>0</v>
      </c>
      <c r="P162" s="5">
        <v>3.5</v>
      </c>
      <c r="Q162" s="5">
        <v>0.2</v>
      </c>
      <c r="R162" s="5">
        <v>3.9E-2</v>
      </c>
      <c r="S162" s="5">
        <v>2.9000000000000001E-2</v>
      </c>
      <c r="T162" s="5">
        <v>7.2999999999999995E-2</v>
      </c>
      <c r="U162" s="5">
        <v>0</v>
      </c>
      <c r="V162" s="5">
        <v>4.2</v>
      </c>
      <c r="W162" s="5">
        <v>0</v>
      </c>
      <c r="X162" s="5">
        <v>25</v>
      </c>
      <c r="Y162" s="5">
        <v>0</v>
      </c>
      <c r="Z162" s="5">
        <v>0.72</v>
      </c>
      <c r="AA162" s="5">
        <v>11</v>
      </c>
      <c r="AB162" s="5">
        <v>0.04</v>
      </c>
      <c r="AC162" s="5">
        <v>0.03</v>
      </c>
      <c r="AD162" s="5">
        <v>0.3</v>
      </c>
      <c r="AE162" s="5">
        <v>4.4999999999999998E-2</v>
      </c>
      <c r="AF162" s="5">
        <v>11</v>
      </c>
      <c r="AG162" s="5">
        <v>0</v>
      </c>
      <c r="AH162" s="5">
        <v>0.06</v>
      </c>
      <c r="AI162" s="5">
        <v>2.6</v>
      </c>
      <c r="AJ162" s="5">
        <v>36</v>
      </c>
      <c r="AK162" s="5">
        <v>29</v>
      </c>
      <c r="AL162" s="5">
        <v>27</v>
      </c>
      <c r="AM162" s="5">
        <v>0.91</v>
      </c>
      <c r="AN162" s="5">
        <v>1</v>
      </c>
      <c r="AO162" s="5">
        <v>0.24</v>
      </c>
      <c r="AP162" s="5">
        <v>13</v>
      </c>
      <c r="AQ162" s="5">
        <v>1.6</v>
      </c>
      <c r="AR162" s="5">
        <v>257</v>
      </c>
      <c r="AS162" s="5">
        <v>0.24</v>
      </c>
      <c r="AT162" s="5">
        <v>0.14000000000000001</v>
      </c>
      <c r="AU162" s="5">
        <v>1.3</v>
      </c>
      <c r="AV162" s="5">
        <f>IFERROR(VLOOKUP(IFERROR(VLOOKUP(D162,Mapa_Similitud!$A$2:$B$2000,2,FALSE()),D162),Hoja1!$A$2:$K$1000,2,FALSE()),IFERROR(VLOOKUP(IFERROR(VLOOKUP(D162,Mapa_Similitud!$A$2:$B$2000,2,FALSE()),D162),Omega3_Referencia!$A$2:$E$100,3,FALSE()),0))</f>
        <v>0.04</v>
      </c>
      <c r="AW162" s="3" t="str">
        <f>IFERROR(VLOOKUP(IFERROR(VLOOKUP(D162,Mapa_Similitud!$A$2:$B$2000,2,FALSE()),D162),Hoja1!$A$2:$K$1000,3,FALSE()),IFERROR(VLOOKUP(IFERROR(VLOOKUP(D162,Mapa_Similitud!$A$2:$B$2000,2,FALSE()),D162),Omega3_Referencia!$A$2:$E$100,4,FALSE()),"N/A"))</f>
        <v>ALA</v>
      </c>
      <c r="AX162" s="5">
        <f>IFERROR(VLOOKUP(IFERROR(VLOOKUP(D162,Mapa_Similitud!$A$2:$B$2000,2,FALSE()),D162),Hoja1!$A$2:$K$1000,5,FALSE()),0)</f>
        <v>0</v>
      </c>
      <c r="AY162" s="5">
        <f>IFERROR(VLOOKUP(IFERROR(VLOOKUP(D162,Mapa_Similitud!$A$2:$B$2000,2,FALSE()),D162),Hoja1!$A$2:$K$1000,7,FALSE()),0)</f>
        <v>300</v>
      </c>
      <c r="AZ162" s="5">
        <f>IFERROR(VLOOKUP(IFERROR(VLOOKUP(D162,Mapa_Similitud!$A$2:$B$2000,2,FALSE()),D162),Hoja1!$A$2:$K$1000,9,FALSE()),0)</f>
        <v>0</v>
      </c>
      <c r="BA162" s="25">
        <f t="shared" si="58"/>
        <v>3.3950617283950622E-2</v>
      </c>
      <c r="BB162" s="25">
        <f t="shared" si="59"/>
        <v>0.1080246913580247</v>
      </c>
      <c r="BC162" s="25">
        <f t="shared" si="60"/>
        <v>0.89506172839506182</v>
      </c>
      <c r="BD162" s="25">
        <f t="shared" si="61"/>
        <v>2.8086419753086421E-2</v>
      </c>
      <c r="BE162" s="25">
        <f t="shared" si="62"/>
        <v>4.938271604938272E-2</v>
      </c>
      <c r="BF162" s="25">
        <f t="shared" si="63"/>
        <v>1.8717948717948716</v>
      </c>
      <c r="BG162" s="25">
        <f t="shared" si="64"/>
        <v>1.0740740740740742</v>
      </c>
      <c r="BH162" s="25">
        <f t="shared" si="65"/>
        <v>0.19499999999999998</v>
      </c>
      <c r="BI162" s="25">
        <f t="shared" si="66"/>
        <v>6.2256809338521405E-3</v>
      </c>
      <c r="BJ162" s="25">
        <f t="shared" si="67"/>
        <v>1</v>
      </c>
      <c r="BK162" s="25">
        <f t="shared" si="68"/>
        <v>0.72916666666666674</v>
      </c>
      <c r="BL162" s="25">
        <f t="shared" si="69"/>
        <v>5.5555555555555559E-2</v>
      </c>
      <c r="BM162" s="25">
        <f t="shared" si="70"/>
        <v>0.40123456790123457</v>
      </c>
      <c r="BN162" s="18" t="str">
        <f t="shared" si="76"/>
        <v>Baja fuente de proteína</v>
      </c>
      <c r="BO162" s="18" t="str">
        <f t="shared" si="77"/>
        <v>Alta fuente de fibra</v>
      </c>
      <c r="BP162" s="18" t="str">
        <f t="shared" si="78"/>
        <v>Media fuente de calcio</v>
      </c>
      <c r="BQ162" s="18" t="str">
        <f t="shared" si="79"/>
        <v>Alta fuente de hierro</v>
      </c>
      <c r="BR162" s="18" t="str">
        <f t="shared" si="80"/>
        <v>Bajo en sodio</v>
      </c>
      <c r="BS162" s="6" t="str">
        <f t="shared" si="71"/>
        <v>Ligeramente antiinflamatorio</v>
      </c>
      <c r="BT162" s="6" t="str">
        <f t="shared" si="72"/>
        <v>Bajo en grasas</v>
      </c>
      <c r="BU162" s="18" t="str">
        <f t="shared" si="81"/>
        <v>Equilibrio de líquidos ideal</v>
      </c>
      <c r="BV162" s="18" t="str">
        <f t="shared" si="82"/>
        <v>Media fuente de magnesio</v>
      </c>
      <c r="BW162" s="18" t="str">
        <f t="shared" si="83"/>
        <v>Sin aporte de Omega 3</v>
      </c>
      <c r="BX162" s="18" t="str">
        <f t="shared" si="84"/>
        <v>Libre de grasas trans</v>
      </c>
      <c r="BY162" s="18" t="str">
        <f t="shared" si="85"/>
        <v>Alto poder antioxidante</v>
      </c>
      <c r="BZ162" s="6" t="str">
        <f t="shared" si="73"/>
        <v>Sin probióticos</v>
      </c>
      <c r="CA162" s="18" t="str">
        <f t="shared" si="86"/>
        <v>Antiinflamatorio</v>
      </c>
      <c r="CB162" s="18" t="str">
        <f>IF(ISNUMBER(SEARCH("miel", D162)), "No irritante (Uso condicionado SII)", IF(OR(J162&gt;0, ISNUMBER(SEARCH("cacao", D162)), ISNUMBER(SEARCH("chocolate puro", D162))), "Altamente irritante", IF(OR(AND(O162&gt;15, BI162&gt;1), ISNUMBER(SEARCH("chocolate", D162))), "Moderadamente irritante", "No irritante")))</f>
        <v>No irritante</v>
      </c>
      <c r="CC162" s="6" t="str">
        <f t="shared" si="74"/>
        <v>Balance de omegas favorable</v>
      </c>
    </row>
    <row r="163" spans="1:81" ht="15" customHeight="1" x14ac:dyDescent="0.3">
      <c r="A163" s="2">
        <f t="shared" si="75"/>
        <v>162</v>
      </c>
      <c r="B163" s="3" t="s">
        <v>234</v>
      </c>
      <c r="C163" s="3" t="s">
        <v>255</v>
      </c>
      <c r="D163" s="3" t="s">
        <v>272</v>
      </c>
      <c r="E163" s="3"/>
      <c r="F163" s="4">
        <v>0.8</v>
      </c>
      <c r="G163" s="5">
        <v>0.89</v>
      </c>
      <c r="H163" s="5">
        <v>41.6</v>
      </c>
      <c r="I163" s="5">
        <v>87.6</v>
      </c>
      <c r="J163" s="5">
        <v>0</v>
      </c>
      <c r="K163" s="5">
        <v>0.88</v>
      </c>
      <c r="L163" s="5">
        <v>5.8</v>
      </c>
      <c r="M163" s="5">
        <v>0</v>
      </c>
      <c r="N163" s="5">
        <v>5.8</v>
      </c>
      <c r="O163" s="5">
        <v>0</v>
      </c>
      <c r="P163" s="5">
        <v>5.2</v>
      </c>
      <c r="Q163" s="5">
        <v>0.5</v>
      </c>
      <c r="R163" s="5">
        <v>0.14000000000000001</v>
      </c>
      <c r="S163" s="5">
        <v>4.4999999999999998E-2</v>
      </c>
      <c r="T163" s="5">
        <v>0.21</v>
      </c>
      <c r="U163" s="5">
        <v>0</v>
      </c>
      <c r="V163" s="5">
        <v>122</v>
      </c>
      <c r="W163" s="5">
        <v>0</v>
      </c>
      <c r="X163" s="5">
        <v>733</v>
      </c>
      <c r="Y163" s="5">
        <v>0</v>
      </c>
      <c r="Z163" s="5">
        <v>1.1000000000000001</v>
      </c>
      <c r="AA163" s="5">
        <v>2.6</v>
      </c>
      <c r="AB163" s="5">
        <v>0.03</v>
      </c>
      <c r="AC163" s="5">
        <v>0.04</v>
      </c>
      <c r="AD163" s="5">
        <v>1.1000000000000001</v>
      </c>
      <c r="AE163" s="5">
        <v>0.14000000000000001</v>
      </c>
      <c r="AF163" s="5">
        <v>14</v>
      </c>
      <c r="AG163" s="5">
        <v>0</v>
      </c>
      <c r="AH163" s="5">
        <v>0.15</v>
      </c>
      <c r="AI163" s="5">
        <v>0</v>
      </c>
      <c r="AJ163" s="5">
        <v>273</v>
      </c>
      <c r="AK163" s="5">
        <v>17</v>
      </c>
      <c r="AL163" s="5">
        <v>31</v>
      </c>
      <c r="AM163" s="5">
        <v>0.75</v>
      </c>
      <c r="AN163" s="5">
        <v>0</v>
      </c>
      <c r="AO163" s="5">
        <v>0.56000000000000005</v>
      </c>
      <c r="AP163" s="5">
        <v>13</v>
      </c>
      <c r="AQ163" s="5">
        <v>4</v>
      </c>
      <c r="AR163" s="5">
        <v>290</v>
      </c>
      <c r="AS163" s="5">
        <v>0.1</v>
      </c>
      <c r="AT163" s="5">
        <v>0.1</v>
      </c>
      <c r="AU163" s="5">
        <v>0.5</v>
      </c>
      <c r="AV163" s="5">
        <f>IFERROR(VLOOKUP(IFERROR(VLOOKUP(D163,Mapa_Similitud!$A$2:$B$2000,2,FALSE()),D163),Hoja1!$A$2:$K$1000,2,FALSE()),IFERROR(VLOOKUP(IFERROR(VLOOKUP(D163,Mapa_Similitud!$A$2:$B$2000,2,FALSE()),D163),Omega3_Referencia!$A$2:$E$100,3,FALSE()),0))</f>
        <v>0.11</v>
      </c>
      <c r="AW163" s="3" t="str">
        <f>IFERROR(VLOOKUP(IFERROR(VLOOKUP(D163,Mapa_Similitud!$A$2:$B$2000,2,FALSE()),D163),Hoja1!$A$2:$K$1000,3,FALSE()),IFERROR(VLOOKUP(IFERROR(VLOOKUP(D163,Mapa_Similitud!$A$2:$B$2000,2,FALSE()),D163),Omega3_Referencia!$A$2:$E$100,4,FALSE()),"N/A"))</f>
        <v>ALA</v>
      </c>
      <c r="AX163" s="5">
        <f>IFERROR(VLOOKUP(IFERROR(VLOOKUP(D163,Mapa_Similitud!$A$2:$B$2000,2,FALSE()),D163),Hoja1!$A$2:$K$1000,5,FALSE()),0)</f>
        <v>0</v>
      </c>
      <c r="AY163" s="5">
        <f>IFERROR(VLOOKUP(IFERROR(VLOOKUP(D163,Mapa_Similitud!$A$2:$B$2000,2,FALSE()),D163),Hoja1!$A$2:$K$1000,7,FALSE()),0)</f>
        <v>126.4</v>
      </c>
      <c r="AZ163" s="5">
        <f>IFERROR(VLOOKUP(IFERROR(VLOOKUP(D163,Mapa_Similitud!$A$2:$B$2000,2,FALSE()),D163),Hoja1!$A$2:$K$1000,9,FALSE()),0)</f>
        <v>0</v>
      </c>
      <c r="BA163" s="25">
        <f t="shared" si="58"/>
        <v>2.1153846153846152E-2</v>
      </c>
      <c r="BB163" s="25">
        <f t="shared" si="59"/>
        <v>0.125</v>
      </c>
      <c r="BC163" s="25">
        <f t="shared" si="60"/>
        <v>0.40865384615384615</v>
      </c>
      <c r="BD163" s="25">
        <f t="shared" si="61"/>
        <v>1.8028846153846152E-2</v>
      </c>
      <c r="BE163" s="25">
        <f t="shared" si="62"/>
        <v>9.6153846153846145E-2</v>
      </c>
      <c r="BF163" s="25">
        <f t="shared" si="63"/>
        <v>1.4999999999999998</v>
      </c>
      <c r="BG163" s="25">
        <f t="shared" si="64"/>
        <v>0.54838709677419351</v>
      </c>
      <c r="BH163" s="25">
        <f t="shared" si="65"/>
        <v>0.28000000000000003</v>
      </c>
      <c r="BI163" s="25">
        <f t="shared" si="66"/>
        <v>1.3793103448275862E-2</v>
      </c>
      <c r="BJ163" s="25">
        <f t="shared" si="67"/>
        <v>1</v>
      </c>
      <c r="BK163" s="25">
        <f t="shared" si="68"/>
        <v>0.89655172413793105</v>
      </c>
      <c r="BL163" s="25">
        <f t="shared" si="69"/>
        <v>0.10817307692307691</v>
      </c>
      <c r="BM163" s="25">
        <f t="shared" si="70"/>
        <v>0.3125</v>
      </c>
      <c r="BN163" s="18" t="str">
        <f t="shared" si="76"/>
        <v>Baja fuente de proteína</v>
      </c>
      <c r="BO163" s="18" t="str">
        <f t="shared" si="77"/>
        <v>Alta fuente de fibra</v>
      </c>
      <c r="BP163" s="18" t="str">
        <f t="shared" si="78"/>
        <v>Baja fuente de calcio</v>
      </c>
      <c r="BQ163" s="18" t="str">
        <f t="shared" si="79"/>
        <v>Alta fuente de hierro</v>
      </c>
      <c r="BR163" s="18" t="str">
        <f t="shared" si="80"/>
        <v>Bajo en sodio</v>
      </c>
      <c r="BS163" s="6" t="str">
        <f t="shared" si="71"/>
        <v>Ligeramente antiinflamatorio</v>
      </c>
      <c r="BT163" s="6" t="str">
        <f t="shared" si="72"/>
        <v>Bajo en grasas</v>
      </c>
      <c r="BU163" s="18" t="str">
        <f t="shared" si="81"/>
        <v>Equilibrio de líquidos ideal</v>
      </c>
      <c r="BV163" s="18" t="str">
        <f t="shared" si="82"/>
        <v>Media fuente de magnesio</v>
      </c>
      <c r="BW163" s="18" t="str">
        <f t="shared" si="83"/>
        <v>Ligera fuente de Omega 3</v>
      </c>
      <c r="BX163" s="18" t="str">
        <f t="shared" si="84"/>
        <v>Libre de grasas trans</v>
      </c>
      <c r="BY163" s="18" t="str">
        <f t="shared" si="85"/>
        <v>Alto poder antioxidante</v>
      </c>
      <c r="BZ163" s="6" t="str">
        <f t="shared" si="73"/>
        <v>Sin probióticos</v>
      </c>
      <c r="CA163" s="18" t="str">
        <f t="shared" si="86"/>
        <v>Antiinflamatorio</v>
      </c>
      <c r="CB163" s="18" t="str">
        <f>IF(ISNUMBER(SEARCH("miel", D163)), "No irritante (Uso condicionado SII)", IF(OR(J163&gt;0, ISNUMBER(SEARCH("cacao", D163)), ISNUMBER(SEARCH("chocolate puro", D163))), "Altamente irritante", IF(OR(AND(O163&gt;15, BI163&gt;1), ISNUMBER(SEARCH("chocolate", D163))), "Moderadamente irritante", "No irritante")))</f>
        <v>No irritante</v>
      </c>
      <c r="CC163" s="6" t="str">
        <f t="shared" si="74"/>
        <v>Balance de omegas favorable</v>
      </c>
    </row>
    <row r="164" spans="1:81" ht="15" customHeight="1" x14ac:dyDescent="0.3">
      <c r="A164" s="2">
        <f t="shared" si="75"/>
        <v>163</v>
      </c>
      <c r="B164" s="3" t="s">
        <v>234</v>
      </c>
      <c r="C164" s="3" t="s">
        <v>255</v>
      </c>
      <c r="D164" s="3" t="s">
        <v>273</v>
      </c>
      <c r="E164" s="3"/>
      <c r="F164" s="4">
        <v>1.5</v>
      </c>
      <c r="G164" s="5">
        <v>0.81</v>
      </c>
      <c r="H164" s="5">
        <v>65.3</v>
      </c>
      <c r="I164" s="5">
        <v>83.3</v>
      </c>
      <c r="J164" s="5">
        <v>0</v>
      </c>
      <c r="K164" s="5">
        <v>1.3</v>
      </c>
      <c r="L164" s="5">
        <v>12.9</v>
      </c>
      <c r="M164" s="5">
        <v>0</v>
      </c>
      <c r="N164" s="5">
        <v>12.9</v>
      </c>
      <c r="O164" s="5">
        <v>0</v>
      </c>
      <c r="P164" s="5">
        <v>2</v>
      </c>
      <c r="Q164" s="5">
        <v>0.5</v>
      </c>
      <c r="R164" s="5">
        <v>8.8999999999999996E-2</v>
      </c>
      <c r="S164" s="5">
        <v>9.8000000000000004E-2</v>
      </c>
      <c r="T164" s="5">
        <v>0.21</v>
      </c>
      <c r="U164" s="5">
        <v>0</v>
      </c>
      <c r="V164" s="5">
        <v>8</v>
      </c>
      <c r="W164" s="5">
        <v>0</v>
      </c>
      <c r="X164" s="5">
        <v>48</v>
      </c>
      <c r="Y164" s="5">
        <v>0</v>
      </c>
      <c r="Z164" s="5">
        <v>0.89</v>
      </c>
      <c r="AA164" s="5">
        <v>4.7</v>
      </c>
      <c r="AB164" s="5">
        <v>4.5999999999999999E-2</v>
      </c>
      <c r="AC164" s="5">
        <v>0.05</v>
      </c>
      <c r="AD164" s="5">
        <v>0.64</v>
      </c>
      <c r="AE164" s="5">
        <v>0.11</v>
      </c>
      <c r="AF164" s="5">
        <v>6.7</v>
      </c>
      <c r="AG164" s="5">
        <v>0</v>
      </c>
      <c r="AH164" s="5">
        <v>0.3</v>
      </c>
      <c r="AI164" s="5">
        <v>0</v>
      </c>
      <c r="AJ164" s="5">
        <v>2.7</v>
      </c>
      <c r="AK164" s="5">
        <v>54</v>
      </c>
      <c r="AL164" s="5">
        <v>32</v>
      </c>
      <c r="AM164" s="5">
        <v>0.6</v>
      </c>
      <c r="AN164" s="5">
        <v>1.5</v>
      </c>
      <c r="AO164" s="5">
        <v>0.24</v>
      </c>
      <c r="AP164" s="5">
        <v>20</v>
      </c>
      <c r="AQ164" s="5">
        <v>1.3</v>
      </c>
      <c r="AR164" s="5">
        <v>248</v>
      </c>
      <c r="AS164" s="5">
        <v>4.2999999999999997E-2</v>
      </c>
      <c r="AT164" s="5">
        <v>8.1000000000000003E-2</v>
      </c>
      <c r="AU164" s="5">
        <v>1.6</v>
      </c>
      <c r="AV164" s="5">
        <f>IFERROR(VLOOKUP(IFERROR(VLOOKUP(D164,Mapa_Similitud!$A$2:$B$2000,2,FALSE()),D164),Hoja1!$A$2:$K$1000,2,FALSE()),IFERROR(VLOOKUP(IFERROR(VLOOKUP(D164,Mapa_Similitud!$A$2:$B$2000,2,FALSE()),D164),Omega3_Referencia!$A$2:$E$100,3,FALSE()),0))</f>
        <v>0</v>
      </c>
      <c r="AW164" s="3" t="str">
        <f>IFERROR(VLOOKUP(IFERROR(VLOOKUP(D164,Mapa_Similitud!$A$2:$B$2000,2,FALSE()),D164),Hoja1!$A$2:$K$1000,3,FALSE()),IFERROR(VLOOKUP(IFERROR(VLOOKUP(D164,Mapa_Similitud!$A$2:$B$2000,2,FALSE()),D164),Omega3_Referencia!$A$2:$E$100,4,FALSE()),"N/A"))</f>
        <v>N/A</v>
      </c>
      <c r="AX164" s="5">
        <f>IFERROR(VLOOKUP(IFERROR(VLOOKUP(D164,Mapa_Similitud!$A$2:$B$2000,2,FALSE()),D164),Hoja1!$A$2:$K$1000,5,FALSE()),0)</f>
        <v>0</v>
      </c>
      <c r="AY164" s="5">
        <f>IFERROR(VLOOKUP(IFERROR(VLOOKUP(D164,Mapa_Similitud!$A$2:$B$2000,2,FALSE()),D164),Hoja1!$A$2:$K$1000,7,FALSE()),0)</f>
        <v>85</v>
      </c>
      <c r="AZ164" s="5">
        <f>IFERROR(VLOOKUP(IFERROR(VLOOKUP(D164,Mapa_Similitud!$A$2:$B$2000,2,FALSE()),D164),Hoja1!$A$2:$K$1000,9,FALSE()),0)</f>
        <v>0</v>
      </c>
      <c r="BA164" s="25">
        <f t="shared" si="58"/>
        <v>1.9908116385911181E-2</v>
      </c>
      <c r="BB164" s="25">
        <f t="shared" si="59"/>
        <v>3.0627871362940276E-2</v>
      </c>
      <c r="BC164" s="25">
        <f t="shared" si="60"/>
        <v>0.82695252679938747</v>
      </c>
      <c r="BD164" s="25">
        <f t="shared" si="61"/>
        <v>9.1883614088820835E-3</v>
      </c>
      <c r="BE164" s="25">
        <f t="shared" si="62"/>
        <v>1.9908116385911181E-2</v>
      </c>
      <c r="BF164" s="25">
        <f t="shared" si="63"/>
        <v>2.3595505617977528</v>
      </c>
      <c r="BG164" s="25">
        <f t="shared" si="64"/>
        <v>1.6875</v>
      </c>
      <c r="BH164" s="25">
        <f t="shared" si="65"/>
        <v>0.17799999999999999</v>
      </c>
      <c r="BI164" s="25">
        <f t="shared" si="66"/>
        <v>5.2419354838709681E-3</v>
      </c>
      <c r="BJ164" s="25">
        <f t="shared" si="67"/>
        <v>1</v>
      </c>
      <c r="BK164" s="25">
        <f t="shared" si="68"/>
        <v>0.15503875968992248</v>
      </c>
      <c r="BL164" s="25">
        <f t="shared" si="69"/>
        <v>6.8912710566615618E-2</v>
      </c>
      <c r="BM164" s="25">
        <f t="shared" si="70"/>
        <v>0.30627871362940279</v>
      </c>
      <c r="BN164" s="18" t="str">
        <f t="shared" si="76"/>
        <v>Baja fuente de proteína</v>
      </c>
      <c r="BO164" s="18" t="str">
        <f t="shared" si="77"/>
        <v>Alta fuente de fibra</v>
      </c>
      <c r="BP164" s="18" t="str">
        <f t="shared" si="78"/>
        <v>Media fuente de calcio</v>
      </c>
      <c r="BQ164" s="18" t="str">
        <f t="shared" si="79"/>
        <v>Media fuente de hierro</v>
      </c>
      <c r="BR164" s="18" t="str">
        <f t="shared" si="80"/>
        <v>Bajo en sodio</v>
      </c>
      <c r="BS164" s="6" t="str">
        <f t="shared" si="71"/>
        <v>Altamente antiinflamatorio</v>
      </c>
      <c r="BT164" s="6" t="str">
        <f t="shared" si="72"/>
        <v>Bajo en grasas</v>
      </c>
      <c r="BU164" s="18" t="str">
        <f t="shared" si="81"/>
        <v>Equilibrio de líquidos ideal</v>
      </c>
      <c r="BV164" s="18" t="str">
        <f t="shared" si="82"/>
        <v>Media fuente de magnesio</v>
      </c>
      <c r="BW164" s="18" t="str">
        <f t="shared" si="83"/>
        <v>Sin aporte de Omega 3</v>
      </c>
      <c r="BX164" s="18" t="str">
        <f t="shared" si="84"/>
        <v>Libre de grasas trans</v>
      </c>
      <c r="BY164" s="18" t="str">
        <f t="shared" si="85"/>
        <v>Alto poder antioxidante</v>
      </c>
      <c r="BZ164" s="6" t="str">
        <f t="shared" si="73"/>
        <v>Sin probióticos</v>
      </c>
      <c r="CA164" s="18" t="str">
        <f t="shared" si="86"/>
        <v>Antiinflamatorio</v>
      </c>
      <c r="CB164" s="18" t="str">
        <f>IF(ISNUMBER(SEARCH("miel", D164)), "No irritante (Uso condicionado SII)", IF(OR(J164&gt;0, ISNUMBER(SEARCH("cacao", D164)), ISNUMBER(SEARCH("chocolate puro", D164))), "Altamente irritante", IF(OR(AND(O164&gt;15, BI164&gt;1), ISNUMBER(SEARCH("chocolate", D164))), "Moderadamente irritante", "No irritante")))</f>
        <v>No irritante</v>
      </c>
      <c r="CC164" s="6" t="str">
        <f t="shared" si="74"/>
        <v>Sin Omega 3 para evaluar</v>
      </c>
    </row>
    <row r="165" spans="1:81" ht="15" customHeight="1" x14ac:dyDescent="0.3">
      <c r="A165" s="2">
        <f t="shared" si="75"/>
        <v>164</v>
      </c>
      <c r="B165" s="3" t="s">
        <v>234</v>
      </c>
      <c r="C165" s="3" t="s">
        <v>255</v>
      </c>
      <c r="D165" s="3" t="s">
        <v>274</v>
      </c>
      <c r="E165" s="3"/>
      <c r="F165" s="4">
        <v>1.8</v>
      </c>
      <c r="G165" s="5">
        <v>0.86</v>
      </c>
      <c r="H165" s="5">
        <v>51.8</v>
      </c>
      <c r="I165" s="5">
        <v>87</v>
      </c>
      <c r="J165" s="5">
        <v>0</v>
      </c>
      <c r="K165" s="5">
        <v>1</v>
      </c>
      <c r="L165" s="5">
        <v>9.1</v>
      </c>
      <c r="M165" s="5">
        <v>0</v>
      </c>
      <c r="N165" s="5">
        <v>9.1</v>
      </c>
      <c r="O165" s="5">
        <v>0</v>
      </c>
      <c r="P165" s="5">
        <v>2.1</v>
      </c>
      <c r="Q165" s="5">
        <v>0.8</v>
      </c>
      <c r="R165" s="5">
        <v>0.1</v>
      </c>
      <c r="S165" s="5">
        <v>0.1</v>
      </c>
      <c r="T165" s="5">
        <v>0.4</v>
      </c>
      <c r="U165" s="5">
        <v>0</v>
      </c>
      <c r="V165" s="5">
        <v>6.2</v>
      </c>
      <c r="W165" s="5">
        <v>0</v>
      </c>
      <c r="X165" s="5">
        <v>37.299999999999997</v>
      </c>
      <c r="Y165" s="5">
        <v>0</v>
      </c>
      <c r="Z165" s="5">
        <v>0.93</v>
      </c>
      <c r="AA165" s="5">
        <v>3.3</v>
      </c>
      <c r="AB165" s="5">
        <v>0.02</v>
      </c>
      <c r="AC165" s="5">
        <v>0.04</v>
      </c>
      <c r="AD165" s="5">
        <v>0.6</v>
      </c>
      <c r="AE165" s="5">
        <v>0.12</v>
      </c>
      <c r="AF165" s="5">
        <v>26.8</v>
      </c>
      <c r="AG165" s="5">
        <v>0</v>
      </c>
      <c r="AH165" s="5">
        <v>0.18</v>
      </c>
      <c r="AI165" s="5">
        <v>0</v>
      </c>
      <c r="AJ165" s="5">
        <v>43.1</v>
      </c>
      <c r="AK165" s="5">
        <v>34.1</v>
      </c>
      <c r="AL165" s="5">
        <v>32</v>
      </c>
      <c r="AM165" s="5">
        <v>0.37</v>
      </c>
      <c r="AN165" s="5">
        <v>0.33</v>
      </c>
      <c r="AO165" s="5">
        <v>0.16</v>
      </c>
      <c r="AP165" s="5">
        <v>14.9</v>
      </c>
      <c r="AQ165" s="5">
        <v>4</v>
      </c>
      <c r="AR165" s="5">
        <v>290</v>
      </c>
      <c r="AS165" s="5">
        <v>0.1</v>
      </c>
      <c r="AT165" s="5">
        <v>0.13</v>
      </c>
      <c r="AU165" s="5">
        <v>0.6</v>
      </c>
      <c r="AV165" s="5">
        <f>IFERROR(VLOOKUP(IFERROR(VLOOKUP(D165,Mapa_Similitud!$A$2:$B$2000,2,FALSE()),D165),Hoja1!$A$2:$K$1000,2,FALSE()),IFERROR(VLOOKUP(IFERROR(VLOOKUP(D165,Mapa_Similitud!$A$2:$B$2000,2,FALSE()),D165),Omega3_Referencia!$A$2:$E$100,3,FALSE()),0))</f>
        <v>0.04</v>
      </c>
      <c r="AW165" s="3" t="str">
        <f>IFERROR(VLOOKUP(IFERROR(VLOOKUP(D165,Mapa_Similitud!$A$2:$B$2000,2,FALSE()),D165),Hoja1!$A$2:$K$1000,3,FALSE()),IFERROR(VLOOKUP(IFERROR(VLOOKUP(D165,Mapa_Similitud!$A$2:$B$2000,2,FALSE()),D165),Omega3_Referencia!$A$2:$E$100,4,FALSE()),"N/A"))</f>
        <v>ALA</v>
      </c>
      <c r="AX165" s="5">
        <f>IFERROR(VLOOKUP(IFERROR(VLOOKUP(D165,Mapa_Similitud!$A$2:$B$2000,2,FALSE()),D165),Hoja1!$A$2:$K$1000,5,FALSE()),0)</f>
        <v>0</v>
      </c>
      <c r="AY165" s="5">
        <f>IFERROR(VLOOKUP(IFERROR(VLOOKUP(D165,Mapa_Similitud!$A$2:$B$2000,2,FALSE()),D165),Hoja1!$A$2:$K$1000,7,FALSE()),0)</f>
        <v>65</v>
      </c>
      <c r="AZ165" s="5">
        <f>IFERROR(VLOOKUP(IFERROR(VLOOKUP(D165,Mapa_Similitud!$A$2:$B$2000,2,FALSE()),D165),Hoja1!$A$2:$K$1000,9,FALSE()),0)</f>
        <v>0</v>
      </c>
      <c r="BA165" s="25">
        <f t="shared" si="58"/>
        <v>1.9305019305019305E-2</v>
      </c>
      <c r="BB165" s="25">
        <f t="shared" si="59"/>
        <v>4.0540540540540543E-2</v>
      </c>
      <c r="BC165" s="25">
        <f t="shared" si="60"/>
        <v>0.65830115830115832</v>
      </c>
      <c r="BD165" s="25">
        <f t="shared" si="61"/>
        <v>7.1428571428571435E-3</v>
      </c>
      <c r="BE165" s="25">
        <f t="shared" si="62"/>
        <v>7.7220077220077218E-2</v>
      </c>
      <c r="BF165" s="25">
        <f t="shared" si="63"/>
        <v>4</v>
      </c>
      <c r="BG165" s="25">
        <f t="shared" si="64"/>
        <v>1.065625</v>
      </c>
      <c r="BH165" s="25">
        <f t="shared" si="65"/>
        <v>0.125</v>
      </c>
      <c r="BI165" s="25">
        <f t="shared" si="66"/>
        <v>1.3793103448275862E-2</v>
      </c>
      <c r="BJ165" s="25">
        <f t="shared" si="67"/>
        <v>1</v>
      </c>
      <c r="BK165" s="25">
        <f t="shared" si="68"/>
        <v>0.23076923076923078</v>
      </c>
      <c r="BL165" s="25">
        <f t="shared" si="69"/>
        <v>0.138996138996139</v>
      </c>
      <c r="BM165" s="25">
        <f t="shared" si="70"/>
        <v>0.28764478764478768</v>
      </c>
      <c r="BN165" s="18" t="str">
        <f t="shared" si="76"/>
        <v>Baja fuente de proteína</v>
      </c>
      <c r="BO165" s="18" t="str">
        <f t="shared" si="77"/>
        <v>Alta fuente de fibra</v>
      </c>
      <c r="BP165" s="18" t="str">
        <f t="shared" si="78"/>
        <v>Baja fuente de calcio</v>
      </c>
      <c r="BQ165" s="18" t="str">
        <f t="shared" si="79"/>
        <v>Baja fuente de hierro</v>
      </c>
      <c r="BR165" s="18" t="str">
        <f t="shared" si="80"/>
        <v>Bajo en sodio</v>
      </c>
      <c r="BS165" s="6" t="str">
        <f t="shared" si="71"/>
        <v>Altamente antiinflamatorio</v>
      </c>
      <c r="BT165" s="6" t="str">
        <f t="shared" si="72"/>
        <v>Bajo en grasas</v>
      </c>
      <c r="BU165" s="18" t="str">
        <f t="shared" si="81"/>
        <v>Equilibrio de líquidos ideal</v>
      </c>
      <c r="BV165" s="18" t="str">
        <f t="shared" si="82"/>
        <v>Media fuente de magnesio</v>
      </c>
      <c r="BW165" s="18" t="str">
        <f t="shared" si="83"/>
        <v>Sin aporte de Omega 3</v>
      </c>
      <c r="BX165" s="18" t="str">
        <f t="shared" si="84"/>
        <v>Libre de grasas trans</v>
      </c>
      <c r="BY165" s="18" t="str">
        <f t="shared" si="85"/>
        <v>Alto poder antioxidante</v>
      </c>
      <c r="BZ165" s="6" t="str">
        <f t="shared" si="73"/>
        <v>Sin probióticos</v>
      </c>
      <c r="CA165" s="18" t="str">
        <f t="shared" si="86"/>
        <v>Antiinflamatorio</v>
      </c>
      <c r="CB165" s="18" t="str">
        <f>IF(ISNUMBER(SEARCH("miel", D165)), "No irritante (Uso condicionado SII)", IF(OR(J165&gt;0, ISNUMBER(SEARCH("cacao", D165)), ISNUMBER(SEARCH("chocolate puro", D165))), "Altamente irritante", IF(OR(AND(O165&gt;15, BI165&gt;1), ISNUMBER(SEARCH("chocolate", D165))), "Moderadamente irritante", "No irritante")))</f>
        <v>No irritante</v>
      </c>
      <c r="CC165" s="6" t="str">
        <f t="shared" si="74"/>
        <v>Exceso relativo de Omega 6</v>
      </c>
    </row>
    <row r="166" spans="1:81" ht="15" customHeight="1" x14ac:dyDescent="0.3">
      <c r="A166" s="2">
        <f t="shared" si="75"/>
        <v>165</v>
      </c>
      <c r="B166" s="3" t="s">
        <v>234</v>
      </c>
      <c r="C166" s="3" t="s">
        <v>255</v>
      </c>
      <c r="D166" s="3" t="s">
        <v>275</v>
      </c>
      <c r="E166" s="3"/>
      <c r="F166" s="4">
        <v>1</v>
      </c>
      <c r="G166" s="5">
        <v>0.7</v>
      </c>
      <c r="H166" s="5">
        <v>17</v>
      </c>
      <c r="I166" s="5">
        <v>94.6</v>
      </c>
      <c r="J166" s="5">
        <v>0</v>
      </c>
      <c r="K166" s="5">
        <v>0.5</v>
      </c>
      <c r="L166" s="5">
        <v>1.9</v>
      </c>
      <c r="M166" s="5">
        <v>0</v>
      </c>
      <c r="N166" s="5">
        <v>1.9</v>
      </c>
      <c r="O166" s="5">
        <v>0</v>
      </c>
      <c r="P166" s="5">
        <v>2.8</v>
      </c>
      <c r="Q166" s="5">
        <v>0.2</v>
      </c>
      <c r="R166" s="5">
        <v>2.1999999999999999E-2</v>
      </c>
      <c r="S166" s="5">
        <v>1.9E-2</v>
      </c>
      <c r="T166" s="5">
        <v>5.5E-2</v>
      </c>
      <c r="U166" s="5">
        <v>0</v>
      </c>
      <c r="V166" s="5">
        <v>1.7</v>
      </c>
      <c r="W166" s="5">
        <v>0</v>
      </c>
      <c r="X166" s="5">
        <v>10</v>
      </c>
      <c r="Y166" s="5">
        <v>0</v>
      </c>
      <c r="Z166" s="5">
        <v>0.8</v>
      </c>
      <c r="AA166" s="5">
        <v>0.6</v>
      </c>
      <c r="AB166" s="5">
        <v>2.1000000000000001E-2</v>
      </c>
      <c r="AC166" s="5">
        <v>0.02</v>
      </c>
      <c r="AD166" s="5">
        <v>0.25</v>
      </c>
      <c r="AE166" s="5">
        <v>0.04</v>
      </c>
      <c r="AF166" s="5">
        <v>10</v>
      </c>
      <c r="AG166" s="5">
        <v>0</v>
      </c>
      <c r="AH166" s="5">
        <v>0.2</v>
      </c>
      <c r="AI166" s="5">
        <v>0</v>
      </c>
      <c r="AJ166" s="5">
        <v>44</v>
      </c>
      <c r="AK166" s="5">
        <v>13</v>
      </c>
      <c r="AL166" s="5">
        <v>11</v>
      </c>
      <c r="AM166" s="5">
        <v>0.2</v>
      </c>
      <c r="AN166" s="5">
        <v>1.5</v>
      </c>
      <c r="AO166" s="5">
        <v>0.11</v>
      </c>
      <c r="AP166" s="5">
        <v>8</v>
      </c>
      <c r="AQ166" s="5">
        <v>2</v>
      </c>
      <c r="AR166" s="5">
        <v>82</v>
      </c>
      <c r="AS166" s="5">
        <v>8.0000000000000002E-3</v>
      </c>
      <c r="AT166" s="5">
        <v>6.5000000000000002E-2</v>
      </c>
      <c r="AU166" s="5">
        <v>0.4</v>
      </c>
      <c r="AV166" s="5">
        <f>IFERROR(VLOOKUP(IFERROR(VLOOKUP(D166,Mapa_Similitud!$A$2:$B$2000,2,FALSE()),D166),Hoja1!$A$2:$K$1000,2,FALSE()),IFERROR(VLOOKUP(IFERROR(VLOOKUP(D166,Mapa_Similitud!$A$2:$B$2000,2,FALSE()),D166),Omega3_Referencia!$A$2:$E$100,3,FALSE()),0))</f>
        <v>0.01</v>
      </c>
      <c r="AW166" s="3" t="str">
        <f>IFERROR(VLOOKUP(IFERROR(VLOOKUP(D166,Mapa_Similitud!$A$2:$B$2000,2,FALSE()),D166),Hoja1!$A$2:$K$1000,3,FALSE()),IFERROR(VLOOKUP(IFERROR(VLOOKUP(D166,Mapa_Similitud!$A$2:$B$2000,2,FALSE()),D166),Omega3_Referencia!$A$2:$E$100,4,FALSE()),"N/A"))</f>
        <v>ALA</v>
      </c>
      <c r="AX166" s="5">
        <f>IFERROR(VLOOKUP(IFERROR(VLOOKUP(D166,Mapa_Similitud!$A$2:$B$2000,2,FALSE()),D166),Hoja1!$A$2:$K$1000,5,FALSE()),0)</f>
        <v>0</v>
      </c>
      <c r="AY166" s="5">
        <f>IFERROR(VLOOKUP(IFERROR(VLOOKUP(D166,Mapa_Similitud!$A$2:$B$2000,2,FALSE()),D166),Hoja1!$A$2:$K$1000,7,FALSE()),0)</f>
        <v>45</v>
      </c>
      <c r="AZ166" s="5">
        <f>IFERROR(VLOOKUP(IFERROR(VLOOKUP(D166,Mapa_Similitud!$A$2:$B$2000,2,FALSE()),D166),Hoja1!$A$2:$K$1000,9,FALSE()),0)</f>
        <v>0</v>
      </c>
      <c r="BA166" s="25">
        <f t="shared" si="58"/>
        <v>2.9411764705882353E-2</v>
      </c>
      <c r="BB166" s="25">
        <f t="shared" si="59"/>
        <v>0.16470588235294117</v>
      </c>
      <c r="BC166" s="25">
        <f t="shared" si="60"/>
        <v>0.76470588235294112</v>
      </c>
      <c r="BD166" s="25">
        <f t="shared" si="61"/>
        <v>1.1764705882352941E-2</v>
      </c>
      <c r="BE166" s="25">
        <f t="shared" si="62"/>
        <v>0.11764705882352941</v>
      </c>
      <c r="BF166" s="25">
        <f t="shared" si="63"/>
        <v>2.5</v>
      </c>
      <c r="BG166" s="25">
        <f t="shared" si="64"/>
        <v>1.1818181818181819</v>
      </c>
      <c r="BH166" s="25">
        <f t="shared" si="65"/>
        <v>0.10999999999999999</v>
      </c>
      <c r="BI166" s="25">
        <f t="shared" si="66"/>
        <v>2.4390243902439025E-2</v>
      </c>
      <c r="BJ166" s="25">
        <f t="shared" si="67"/>
        <v>1</v>
      </c>
      <c r="BK166" s="25">
        <f t="shared" si="68"/>
        <v>1.4736842105263157</v>
      </c>
      <c r="BL166" s="25">
        <f t="shared" si="69"/>
        <v>0.10588235294117647</v>
      </c>
      <c r="BM166" s="25">
        <f t="shared" si="70"/>
        <v>0.47058823529411764</v>
      </c>
      <c r="BN166" s="18" t="str">
        <f t="shared" si="76"/>
        <v>Baja fuente de proteína</v>
      </c>
      <c r="BO166" s="18" t="str">
        <f t="shared" si="77"/>
        <v>Alta fuente de fibra</v>
      </c>
      <c r="BP166" s="18" t="str">
        <f t="shared" si="78"/>
        <v>Baja fuente de calcio</v>
      </c>
      <c r="BQ166" s="18" t="str">
        <f t="shared" si="79"/>
        <v>Media fuente de hierro</v>
      </c>
      <c r="BR166" s="18" t="str">
        <f t="shared" si="80"/>
        <v>Bajo en sodio</v>
      </c>
      <c r="BS166" s="6" t="str">
        <f t="shared" si="71"/>
        <v>Altamente antiinflamatorio</v>
      </c>
      <c r="BT166" s="6" t="str">
        <f t="shared" si="72"/>
        <v>Bajo en grasas</v>
      </c>
      <c r="BU166" s="18" t="str">
        <f t="shared" si="81"/>
        <v>Equilibrio de líquidos ideal</v>
      </c>
      <c r="BV166" s="18" t="str">
        <f t="shared" si="82"/>
        <v>Media fuente de magnesio</v>
      </c>
      <c r="BW166" s="18" t="str">
        <f t="shared" si="83"/>
        <v>Sin aporte de Omega 3</v>
      </c>
      <c r="BX166" s="18" t="str">
        <f t="shared" si="84"/>
        <v>Libre de grasas trans</v>
      </c>
      <c r="BY166" s="18" t="str">
        <f t="shared" si="85"/>
        <v>Medio poder antioxidante</v>
      </c>
      <c r="BZ166" s="6" t="str">
        <f t="shared" si="73"/>
        <v>Sin probióticos</v>
      </c>
      <c r="CA166" s="18" t="str">
        <f t="shared" si="86"/>
        <v>Poco inflamatorio</v>
      </c>
      <c r="CB166" s="18" t="str">
        <f>IF(ISNUMBER(SEARCH("miel", D166)), "No irritante (Uso condicionado SII)", IF(OR(J166&gt;0, ISNUMBER(SEARCH("cacao", D166)), ISNUMBER(SEARCH("chocolate puro", D166))), "Altamente irritante", IF(OR(AND(O166&gt;15, BI166&gt;1), ISNUMBER(SEARCH("chocolate", D166))), "Moderadamente irritante", "No irritante")))</f>
        <v>No irritante</v>
      </c>
      <c r="CC166" s="6" t="str">
        <f t="shared" si="74"/>
        <v>Exceso relativo de Omega 6</v>
      </c>
    </row>
    <row r="167" spans="1:81" ht="15" customHeight="1" x14ac:dyDescent="0.3">
      <c r="A167" s="2">
        <f t="shared" si="75"/>
        <v>166</v>
      </c>
      <c r="B167" s="3" t="s">
        <v>234</v>
      </c>
      <c r="C167" s="3" t="s">
        <v>255</v>
      </c>
      <c r="D167" s="3" t="s">
        <v>276</v>
      </c>
      <c r="E167" s="3"/>
      <c r="F167" s="4">
        <v>0.6</v>
      </c>
      <c r="G167" s="5">
        <v>0.64</v>
      </c>
      <c r="H167" s="5">
        <v>27.7</v>
      </c>
      <c r="I167" s="5">
        <v>91.2</v>
      </c>
      <c r="J167" s="5">
        <v>0</v>
      </c>
      <c r="K167" s="5">
        <v>0.69</v>
      </c>
      <c r="L167" s="5">
        <v>3.2</v>
      </c>
      <c r="M167" s="5">
        <v>0</v>
      </c>
      <c r="N167" s="5">
        <v>3.2</v>
      </c>
      <c r="O167" s="5">
        <v>0</v>
      </c>
      <c r="P167" s="5">
        <v>4.7</v>
      </c>
      <c r="Q167" s="5">
        <v>0.3</v>
      </c>
      <c r="R167" s="5">
        <v>3.9E-2</v>
      </c>
      <c r="S167" s="5">
        <v>1.0999999999999999E-2</v>
      </c>
      <c r="T167" s="5">
        <v>8.8999999999999996E-2</v>
      </c>
      <c r="U167" s="5">
        <v>0</v>
      </c>
      <c r="V167" s="5">
        <v>0.56999999999999995</v>
      </c>
      <c r="W167" s="5">
        <v>0</v>
      </c>
      <c r="X167" s="5">
        <v>3.4</v>
      </c>
      <c r="Y167" s="5">
        <v>0</v>
      </c>
      <c r="Z167" s="5">
        <v>0.8</v>
      </c>
      <c r="AA167" s="5">
        <v>0.2</v>
      </c>
      <c r="AB167" s="5">
        <v>5.0999999999999997E-2</v>
      </c>
      <c r="AC167" s="5">
        <v>0.02</v>
      </c>
      <c r="AD167" s="5">
        <v>0.27</v>
      </c>
      <c r="AE167" s="5">
        <v>0.06</v>
      </c>
      <c r="AF167" s="5">
        <v>6.3</v>
      </c>
      <c r="AG167" s="5">
        <v>0</v>
      </c>
      <c r="AH167" s="5">
        <v>0.23</v>
      </c>
      <c r="AI167" s="5">
        <v>0.5</v>
      </c>
      <c r="AJ167" s="5">
        <v>51</v>
      </c>
      <c r="AK167" s="5">
        <v>11</v>
      </c>
      <c r="AL167" s="5">
        <v>16</v>
      </c>
      <c r="AM167" s="5">
        <v>0.45</v>
      </c>
      <c r="AN167" s="5">
        <v>1.5</v>
      </c>
      <c r="AO167" s="5">
        <v>0.11</v>
      </c>
      <c r="AP167" s="5">
        <v>28</v>
      </c>
      <c r="AQ167" s="5">
        <v>1.9</v>
      </c>
      <c r="AR167" s="5">
        <v>170</v>
      </c>
      <c r="AS167" s="5">
        <v>4.2000000000000003E-2</v>
      </c>
      <c r="AT167" s="5">
        <v>0.13</v>
      </c>
      <c r="AU167" s="5">
        <v>1</v>
      </c>
      <c r="AV167" s="5">
        <f>IFERROR(VLOOKUP(IFERROR(VLOOKUP(D167,Mapa_Similitud!$A$2:$B$2000,2,FALSE()),D167),Hoja1!$A$2:$K$1000,2,FALSE()),IFERROR(VLOOKUP(IFERROR(VLOOKUP(D167,Mapa_Similitud!$A$2:$B$2000,2,FALSE()),D167),Omega3_Referencia!$A$2:$E$100,3,FALSE()),0))</f>
        <v>0.01</v>
      </c>
      <c r="AW167" s="3" t="str">
        <f>IFERROR(VLOOKUP(IFERROR(VLOOKUP(D167,Mapa_Similitud!$A$2:$B$2000,2,FALSE()),D167),Hoja1!$A$2:$K$1000,3,FALSE()),IFERROR(VLOOKUP(IFERROR(VLOOKUP(D167,Mapa_Similitud!$A$2:$B$2000,2,FALSE()),D167),Omega3_Referencia!$A$2:$E$100,4,FALSE()),"N/A"))</f>
        <v>ALA</v>
      </c>
      <c r="AX167" s="5">
        <f>IFERROR(VLOOKUP(IFERROR(VLOOKUP(D167,Mapa_Similitud!$A$2:$B$2000,2,FALSE()),D167),Hoja1!$A$2:$K$1000,5,FALSE()),0)</f>
        <v>0</v>
      </c>
      <c r="AY167" s="5">
        <f>IFERROR(VLOOKUP(IFERROR(VLOOKUP(D167,Mapa_Similitud!$A$2:$B$2000,2,FALSE()),D167),Hoja1!$A$2:$K$1000,7,FALSE()),0)</f>
        <v>50</v>
      </c>
      <c r="AZ167" s="5">
        <f>IFERROR(VLOOKUP(IFERROR(VLOOKUP(D167,Mapa_Similitud!$A$2:$B$2000,2,FALSE()),D167),Hoja1!$A$2:$K$1000,9,FALSE()),0)</f>
        <v>0</v>
      </c>
      <c r="BA167" s="25">
        <f t="shared" si="58"/>
        <v>2.4909747292418773E-2</v>
      </c>
      <c r="BB167" s="25">
        <f t="shared" si="59"/>
        <v>0.16967509025270761</v>
      </c>
      <c r="BC167" s="25">
        <f t="shared" si="60"/>
        <v>0.39711191335740076</v>
      </c>
      <c r="BD167" s="25">
        <f t="shared" si="61"/>
        <v>1.6245487364620941E-2</v>
      </c>
      <c r="BE167" s="25">
        <f t="shared" si="62"/>
        <v>6.8592057761732855E-2</v>
      </c>
      <c r="BF167" s="25">
        <f t="shared" si="63"/>
        <v>2.2820512820512819</v>
      </c>
      <c r="BG167" s="25">
        <f t="shared" si="64"/>
        <v>0.6875</v>
      </c>
      <c r="BH167" s="25">
        <f t="shared" si="65"/>
        <v>0.13</v>
      </c>
      <c r="BI167" s="25">
        <f t="shared" si="66"/>
        <v>1.1176470588235293E-2</v>
      </c>
      <c r="BJ167" s="25">
        <f t="shared" si="67"/>
        <v>1</v>
      </c>
      <c r="BK167" s="25">
        <f t="shared" si="68"/>
        <v>1.46875</v>
      </c>
      <c r="BL167" s="25">
        <f t="shared" si="69"/>
        <v>9.7472924187725629E-2</v>
      </c>
      <c r="BM167" s="25">
        <f t="shared" si="70"/>
        <v>1.0108303249097472</v>
      </c>
      <c r="BN167" s="18" t="str">
        <f t="shared" si="76"/>
        <v>Baja fuente de proteína</v>
      </c>
      <c r="BO167" s="18" t="str">
        <f t="shared" si="77"/>
        <v>Alta fuente de fibra</v>
      </c>
      <c r="BP167" s="18" t="str">
        <f t="shared" si="78"/>
        <v>Baja fuente de calcio</v>
      </c>
      <c r="BQ167" s="18" t="str">
        <f t="shared" si="79"/>
        <v>Alta fuente de hierro</v>
      </c>
      <c r="BR167" s="18" t="str">
        <f t="shared" si="80"/>
        <v>Bajo en sodio</v>
      </c>
      <c r="BS167" s="6" t="str">
        <f t="shared" si="71"/>
        <v>Altamente antiinflamatorio</v>
      </c>
      <c r="BT167" s="6" t="str">
        <f t="shared" si="72"/>
        <v>Bajo en grasas</v>
      </c>
      <c r="BU167" s="18" t="str">
        <f t="shared" si="81"/>
        <v>Equilibrio de líquidos ideal</v>
      </c>
      <c r="BV167" s="18" t="str">
        <f t="shared" si="82"/>
        <v>Alta fuente de magnesio</v>
      </c>
      <c r="BW167" s="18" t="str">
        <f t="shared" si="83"/>
        <v>Sin aporte de Omega 3</v>
      </c>
      <c r="BX167" s="18" t="str">
        <f t="shared" si="84"/>
        <v>Libre de grasas trans</v>
      </c>
      <c r="BY167" s="18" t="str">
        <f t="shared" si="85"/>
        <v>Alto poder antioxidante</v>
      </c>
      <c r="BZ167" s="6" t="str">
        <f t="shared" si="73"/>
        <v>Sin probióticos</v>
      </c>
      <c r="CA167" s="18" t="str">
        <f t="shared" si="86"/>
        <v>Antiinflamatorio</v>
      </c>
      <c r="CB167" s="18" t="str">
        <f>IF(ISNUMBER(SEARCH("miel", D167)), "No irritante (Uso condicionado SII)", IF(OR(J167&gt;0, ISNUMBER(SEARCH("cacao", D167)), ISNUMBER(SEARCH("chocolate puro", D167))), "Altamente irritante", IF(OR(AND(O167&gt;15, BI167&gt;1), ISNUMBER(SEARCH("chocolate", D167))), "Moderadamente irritante", "No irritante")))</f>
        <v>No irritante</v>
      </c>
      <c r="CC167" s="6" t="str">
        <f t="shared" si="74"/>
        <v>Exceso relativo de Omega 6</v>
      </c>
    </row>
    <row r="168" spans="1:81" ht="15" customHeight="1" x14ac:dyDescent="0.3">
      <c r="A168" s="2">
        <f t="shared" si="75"/>
        <v>167</v>
      </c>
      <c r="B168" s="3" t="s">
        <v>234</v>
      </c>
      <c r="C168" s="3" t="s">
        <v>255</v>
      </c>
      <c r="D168" s="3" t="s">
        <v>277</v>
      </c>
      <c r="E168" s="3" t="s">
        <v>278</v>
      </c>
      <c r="F168" s="4">
        <v>1</v>
      </c>
      <c r="G168" s="5">
        <v>0.62</v>
      </c>
      <c r="H168" s="5">
        <v>76.7</v>
      </c>
      <c r="I168" s="5">
        <v>80.400000000000006</v>
      </c>
      <c r="J168" s="5">
        <v>0</v>
      </c>
      <c r="K168" s="5">
        <v>0.9</v>
      </c>
      <c r="L168" s="5">
        <v>16.8</v>
      </c>
      <c r="M168" s="5">
        <v>0</v>
      </c>
      <c r="N168" s="5">
        <v>16.8</v>
      </c>
      <c r="O168" s="5">
        <v>0</v>
      </c>
      <c r="P168" s="5">
        <v>1.6</v>
      </c>
      <c r="Q168" s="5">
        <v>0.3</v>
      </c>
      <c r="R168" s="5">
        <v>6.8000000000000005E-2</v>
      </c>
      <c r="S168" s="5">
        <v>8.2000000000000003E-2</v>
      </c>
      <c r="T168" s="5">
        <v>9.4E-2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0.1</v>
      </c>
      <c r="AA168" s="5">
        <v>0.4</v>
      </c>
      <c r="AB168" s="5">
        <v>0.05</v>
      </c>
      <c r="AC168" s="5">
        <v>0.05</v>
      </c>
      <c r="AD168" s="5">
        <v>0.6</v>
      </c>
      <c r="AE168" s="5">
        <v>0.05</v>
      </c>
      <c r="AF168" s="5">
        <v>70</v>
      </c>
      <c r="AG168" s="5">
        <v>0</v>
      </c>
      <c r="AH168" s="5">
        <v>0</v>
      </c>
      <c r="AI168" s="5">
        <v>0</v>
      </c>
      <c r="AJ168" s="5">
        <v>39</v>
      </c>
      <c r="AK168" s="5">
        <v>9.3000000000000007</v>
      </c>
      <c r="AL168" s="5">
        <v>33</v>
      </c>
      <c r="AM168" s="5">
        <v>0.35</v>
      </c>
      <c r="AN168" s="5">
        <v>0</v>
      </c>
      <c r="AO168" s="5">
        <v>0.21</v>
      </c>
      <c r="AP168" s="5">
        <v>11</v>
      </c>
      <c r="AQ168" s="5">
        <v>2.5</v>
      </c>
      <c r="AR168" s="5">
        <v>185</v>
      </c>
      <c r="AS168" s="5">
        <v>0.1</v>
      </c>
      <c r="AT168" s="5">
        <v>0.2</v>
      </c>
      <c r="AU168" s="5">
        <v>0.6</v>
      </c>
      <c r="AV168" s="5">
        <f>IFERROR(VLOOKUP(IFERROR(VLOOKUP(D168,Mapa_Similitud!$A$2:$B$2000,2,FALSE()),D168),Hoja1!$A$2:$K$1000,2,FALSE()),IFERROR(VLOOKUP(IFERROR(VLOOKUP(D168,Mapa_Similitud!$A$2:$B$2000,2,FALSE()),D168),Omega3_Referencia!$A$2:$E$100,3,FALSE()),0))</f>
        <v>0</v>
      </c>
      <c r="AW168" s="3" t="str">
        <f>IFERROR(VLOOKUP(IFERROR(VLOOKUP(D168,Mapa_Similitud!$A$2:$B$2000,2,FALSE()),D168),Hoja1!$A$2:$K$1000,3,FALSE()),IFERROR(VLOOKUP(IFERROR(VLOOKUP(D168,Mapa_Similitud!$A$2:$B$2000,2,FALSE()),D168),Omega3_Referencia!$A$2:$E$100,4,FALSE()),"N/A"))</f>
        <v>N/A</v>
      </c>
      <c r="AX168" s="5">
        <f>IFERROR(VLOOKUP(IFERROR(VLOOKUP(D168,Mapa_Similitud!$A$2:$B$2000,2,FALSE()),D168),Hoja1!$A$2:$K$1000,5,FALSE()),0)</f>
        <v>0</v>
      </c>
      <c r="AY168" s="5">
        <f>IFERROR(VLOOKUP(IFERROR(VLOOKUP(D168,Mapa_Similitud!$A$2:$B$2000,2,FALSE()),D168),Hoja1!$A$2:$K$1000,7,FALSE()),0)</f>
        <v>40</v>
      </c>
      <c r="AZ168" s="5">
        <f>IFERROR(VLOOKUP(IFERROR(VLOOKUP(D168,Mapa_Similitud!$A$2:$B$2000,2,FALSE()),D168),Hoja1!$A$2:$K$1000,9,FALSE()),0)</f>
        <v>0</v>
      </c>
      <c r="BA168" s="25">
        <f t="shared" si="58"/>
        <v>1.1734028683181226E-2</v>
      </c>
      <c r="BB168" s="25">
        <f t="shared" si="59"/>
        <v>2.0860495436766623E-2</v>
      </c>
      <c r="BC168" s="25">
        <f t="shared" si="60"/>
        <v>0.121251629726206</v>
      </c>
      <c r="BD168" s="25">
        <f t="shared" si="61"/>
        <v>4.5632333767926985E-3</v>
      </c>
      <c r="BE168" s="25">
        <f t="shared" si="62"/>
        <v>3.259452411994785E-2</v>
      </c>
      <c r="BF168" s="25">
        <f t="shared" si="63"/>
        <v>1.3823529411764706</v>
      </c>
      <c r="BG168" s="25">
        <f t="shared" si="64"/>
        <v>0.28181818181818186</v>
      </c>
      <c r="BH168" s="25">
        <f t="shared" si="65"/>
        <v>0.22666666666666668</v>
      </c>
      <c r="BI168" s="25">
        <f t="shared" si="66"/>
        <v>1.3513513513513514E-2</v>
      </c>
      <c r="BJ168" s="25">
        <f t="shared" si="67"/>
        <v>1</v>
      </c>
      <c r="BK168" s="25">
        <f t="shared" si="68"/>
        <v>9.5238095238095233E-2</v>
      </c>
      <c r="BL168" s="25">
        <f t="shared" si="69"/>
        <v>3.5202086049543675E-2</v>
      </c>
      <c r="BM168" s="25">
        <f t="shared" si="70"/>
        <v>0.14341590612777053</v>
      </c>
      <c r="BN168" s="18" t="str">
        <f t="shared" si="76"/>
        <v>Baja fuente de proteína</v>
      </c>
      <c r="BO168" s="18" t="str">
        <f t="shared" si="77"/>
        <v>Media fuente de fibra</v>
      </c>
      <c r="BP168" s="18" t="str">
        <f t="shared" si="78"/>
        <v>Baja fuente de calcio</v>
      </c>
      <c r="BQ168" s="18" t="str">
        <f t="shared" si="79"/>
        <v>Baja fuente de hierro</v>
      </c>
      <c r="BR168" s="18" t="str">
        <f t="shared" si="80"/>
        <v>Bajo en sodio</v>
      </c>
      <c r="BS168" s="6" t="str">
        <f t="shared" si="71"/>
        <v>Ligeramente antiinflamatorio</v>
      </c>
      <c r="BT168" s="6" t="str">
        <f t="shared" si="72"/>
        <v>Bajo en grasas</v>
      </c>
      <c r="BU168" s="18" t="str">
        <f t="shared" si="81"/>
        <v>Equilibrio de líquidos ideal</v>
      </c>
      <c r="BV168" s="18" t="str">
        <f t="shared" si="82"/>
        <v>Baja fuente de magnesio</v>
      </c>
      <c r="BW168" s="18" t="str">
        <f t="shared" si="83"/>
        <v>Sin aporte de Omega 3</v>
      </c>
      <c r="BX168" s="18" t="str">
        <f t="shared" si="84"/>
        <v>Libre de grasas trans</v>
      </c>
      <c r="BY168" s="18" t="str">
        <f t="shared" si="85"/>
        <v>Medio poder antioxidante</v>
      </c>
      <c r="BZ168" s="6" t="str">
        <f t="shared" si="73"/>
        <v>Sin probióticos</v>
      </c>
      <c r="CA168" s="18" t="str">
        <f t="shared" si="86"/>
        <v>Poco inflamatorio</v>
      </c>
      <c r="CB168" s="18" t="str">
        <f>IF(ISNUMBER(SEARCH("miel", D168)), "No irritante (Uso condicionado SII)", IF(OR(J168&gt;0, ISNUMBER(SEARCH("cacao", D168)), ISNUMBER(SEARCH("chocolate puro", D168))), "Altamente irritante", IF(OR(AND(O168&gt;15, BI168&gt;1), ISNUMBER(SEARCH("chocolate", D168))), "Moderadamente irritante", "No irritante")))</f>
        <v>No irritante</v>
      </c>
      <c r="CC168" s="6" t="str">
        <f t="shared" si="74"/>
        <v>Sin Omega 3 para evaluar</v>
      </c>
    </row>
    <row r="169" spans="1:81" ht="15" customHeight="1" x14ac:dyDescent="0.3">
      <c r="A169" s="2">
        <f t="shared" si="75"/>
        <v>168</v>
      </c>
      <c r="B169" s="3" t="s">
        <v>234</v>
      </c>
      <c r="C169" s="3" t="s">
        <v>255</v>
      </c>
      <c r="D169" s="3" t="s">
        <v>279</v>
      </c>
      <c r="E169" s="3"/>
      <c r="F169" s="4">
        <v>0.6</v>
      </c>
      <c r="G169" s="5">
        <v>0.76</v>
      </c>
      <c r="H169" s="5">
        <v>44.7</v>
      </c>
      <c r="I169" s="5">
        <v>88.2</v>
      </c>
      <c r="J169" s="5">
        <v>0</v>
      </c>
      <c r="K169" s="5">
        <v>0.63</v>
      </c>
      <c r="L169" s="5">
        <v>9.1999999999999993</v>
      </c>
      <c r="M169" s="5">
        <v>0</v>
      </c>
      <c r="N169" s="5">
        <v>9.1999999999999993</v>
      </c>
      <c r="O169" s="5">
        <v>0</v>
      </c>
      <c r="P169" s="5">
        <v>1.8</v>
      </c>
      <c r="Q169" s="5">
        <v>0.2</v>
      </c>
      <c r="R169" s="5">
        <v>2.1999999999999999E-2</v>
      </c>
      <c r="S169" s="5">
        <v>3.4000000000000002E-2</v>
      </c>
      <c r="T169" s="5">
        <v>3.6999999999999998E-2</v>
      </c>
      <c r="U169" s="5">
        <v>0</v>
      </c>
      <c r="V169" s="5">
        <v>65</v>
      </c>
      <c r="W169" s="5">
        <v>0</v>
      </c>
      <c r="X169" s="5">
        <v>390</v>
      </c>
      <c r="Y169" s="5">
        <v>0</v>
      </c>
      <c r="Z169" s="5">
        <v>0.28999999999999998</v>
      </c>
      <c r="AA169" s="5">
        <v>0</v>
      </c>
      <c r="AB169" s="5">
        <v>0.06</v>
      </c>
      <c r="AC169" s="5">
        <v>0.03</v>
      </c>
      <c r="AD169" s="5">
        <v>0.41</v>
      </c>
      <c r="AE169" s="5">
        <v>0.08</v>
      </c>
      <c r="AF169" s="5">
        <v>21.8</v>
      </c>
      <c r="AG169" s="5">
        <v>0</v>
      </c>
      <c r="AH169" s="5">
        <v>0.2</v>
      </c>
      <c r="AI169" s="5">
        <v>0.45</v>
      </c>
      <c r="AJ169" s="5">
        <v>32</v>
      </c>
      <c r="AK169" s="5">
        <v>34.5</v>
      </c>
      <c r="AL169" s="5">
        <v>20</v>
      </c>
      <c r="AM169" s="5">
        <v>0.3</v>
      </c>
      <c r="AN169" s="5">
        <v>0</v>
      </c>
      <c r="AO169" s="5">
        <v>0.09</v>
      </c>
      <c r="AP169" s="5">
        <v>10.9</v>
      </c>
      <c r="AQ169" s="5">
        <v>1.1000000000000001</v>
      </c>
      <c r="AR169" s="5">
        <v>150</v>
      </c>
      <c r="AS169" s="5">
        <v>3.6999999999999998E-2</v>
      </c>
      <c r="AT169" s="5">
        <v>5.6000000000000001E-2</v>
      </c>
      <c r="AU169" s="5">
        <v>2.4</v>
      </c>
      <c r="AV169" s="5">
        <f>IFERROR(VLOOKUP(IFERROR(VLOOKUP(D169,Mapa_Similitud!$A$2:$B$2000,2,FALSE()),D169),Hoja1!$A$2:$K$1000,2,FALSE()),IFERROR(VLOOKUP(IFERROR(VLOOKUP(D169,Mapa_Similitud!$A$2:$B$2000,2,FALSE()),D169),Omega3_Referencia!$A$2:$E$100,3,FALSE()),0))</f>
        <v>0.01</v>
      </c>
      <c r="AW169" s="3" t="str">
        <f>IFERROR(VLOOKUP(IFERROR(VLOOKUP(D169,Mapa_Similitud!$A$2:$B$2000,2,FALSE()),D169),Hoja1!$A$2:$K$1000,3,FALSE()),IFERROR(VLOOKUP(IFERROR(VLOOKUP(D169,Mapa_Similitud!$A$2:$B$2000,2,FALSE()),D169),Omega3_Referencia!$A$2:$E$100,4,FALSE()),"N/A"))</f>
        <v>ALA</v>
      </c>
      <c r="AX169" s="5">
        <f>IFERROR(VLOOKUP(IFERROR(VLOOKUP(D169,Mapa_Similitud!$A$2:$B$2000,2,FALSE()),D169),Hoja1!$A$2:$K$1000,5,FALSE()),0)</f>
        <v>0</v>
      </c>
      <c r="AY169" s="5">
        <f>IFERROR(VLOOKUP(IFERROR(VLOOKUP(D169,Mapa_Similitud!$A$2:$B$2000,2,FALSE()),D169),Hoja1!$A$2:$K$1000,7,FALSE()),0)</f>
        <v>85</v>
      </c>
      <c r="AZ169" s="5">
        <f>IFERROR(VLOOKUP(IFERROR(VLOOKUP(D169,Mapa_Similitud!$A$2:$B$2000,2,FALSE()),D169),Hoja1!$A$2:$K$1000,9,FALSE()),0)</f>
        <v>0</v>
      </c>
      <c r="BA169" s="25">
        <f t="shared" si="58"/>
        <v>1.4093959731543624E-2</v>
      </c>
      <c r="BB169" s="25">
        <f t="shared" si="59"/>
        <v>4.0268456375838924E-2</v>
      </c>
      <c r="BC169" s="25">
        <f t="shared" si="60"/>
        <v>0.77181208053691275</v>
      </c>
      <c r="BD169" s="25">
        <f t="shared" si="61"/>
        <v>6.7114093959731533E-3</v>
      </c>
      <c r="BE169" s="25">
        <f t="shared" si="62"/>
        <v>2.4608501118568233E-2</v>
      </c>
      <c r="BF169" s="25">
        <f t="shared" si="63"/>
        <v>1.6818181818181819</v>
      </c>
      <c r="BG169" s="25">
        <f t="shared" si="64"/>
        <v>1.7250000000000001</v>
      </c>
      <c r="BH169" s="25">
        <f t="shared" si="65"/>
        <v>0.10999999999999999</v>
      </c>
      <c r="BI169" s="25">
        <f t="shared" si="66"/>
        <v>7.3333333333333341E-3</v>
      </c>
      <c r="BJ169" s="25">
        <f t="shared" si="67"/>
        <v>1</v>
      </c>
      <c r="BK169" s="25">
        <f t="shared" si="68"/>
        <v>0.19565217391304349</v>
      </c>
      <c r="BL169" s="25">
        <f t="shared" si="69"/>
        <v>4.0268456375838924E-2</v>
      </c>
      <c r="BM169" s="25">
        <f t="shared" si="70"/>
        <v>0.24384787472035793</v>
      </c>
      <c r="BN169" s="18" t="str">
        <f t="shared" si="76"/>
        <v>Baja fuente de proteína</v>
      </c>
      <c r="BO169" s="18" t="str">
        <f t="shared" si="77"/>
        <v>Alta fuente de fibra</v>
      </c>
      <c r="BP169" s="18" t="str">
        <f t="shared" si="78"/>
        <v>Baja fuente de calcio</v>
      </c>
      <c r="BQ169" s="18" t="str">
        <f t="shared" si="79"/>
        <v>Baja fuente de hierro</v>
      </c>
      <c r="BR169" s="18" t="str">
        <f t="shared" si="80"/>
        <v>Bajo en sodio</v>
      </c>
      <c r="BS169" s="6" t="str">
        <f t="shared" si="71"/>
        <v>Ligeramente antiinflamatorio</v>
      </c>
      <c r="BT169" s="6" t="str">
        <f t="shared" si="72"/>
        <v>Bajo en grasas</v>
      </c>
      <c r="BU169" s="18" t="str">
        <f t="shared" si="81"/>
        <v>Equilibrio de líquidos ideal</v>
      </c>
      <c r="BV169" s="18" t="str">
        <f t="shared" si="82"/>
        <v>Media fuente de magnesio</v>
      </c>
      <c r="BW169" s="18" t="str">
        <f t="shared" si="83"/>
        <v>Sin aporte de Omega 3</v>
      </c>
      <c r="BX169" s="18" t="str">
        <f t="shared" si="84"/>
        <v>Libre de grasas trans</v>
      </c>
      <c r="BY169" s="18" t="str">
        <f t="shared" si="85"/>
        <v>Alto poder antioxidante</v>
      </c>
      <c r="BZ169" s="6" t="str">
        <f t="shared" si="73"/>
        <v>Sin probióticos</v>
      </c>
      <c r="CA169" s="18" t="str">
        <f t="shared" si="86"/>
        <v>Antiinflamatorio</v>
      </c>
      <c r="CB169" s="18" t="str">
        <f>IF(ISNUMBER(SEARCH("miel", D169)), "No irritante (Uso condicionado SII)", IF(OR(J169&gt;0, ISNUMBER(SEARCH("cacao", D169)), ISNUMBER(SEARCH("chocolate puro", D169))), "Altamente irritante", IF(OR(AND(O169&gt;15, BI169&gt;1), ISNUMBER(SEARCH("chocolate", D169))), "Moderadamente irritante", "No irritante")))</f>
        <v>No irritante</v>
      </c>
      <c r="CC169" s="6" t="str">
        <f t="shared" si="74"/>
        <v>Balance de omegas favorable</v>
      </c>
    </row>
    <row r="170" spans="1:81" ht="15" customHeight="1" x14ac:dyDescent="0.3">
      <c r="A170" s="2">
        <f t="shared" si="75"/>
        <v>169</v>
      </c>
      <c r="B170" s="3" t="s">
        <v>234</v>
      </c>
      <c r="C170" s="3" t="s">
        <v>255</v>
      </c>
      <c r="D170" s="3" t="s">
        <v>280</v>
      </c>
      <c r="E170" s="3"/>
      <c r="F170" s="4">
        <v>0.9</v>
      </c>
      <c r="G170" s="5">
        <v>0.89</v>
      </c>
      <c r="H170" s="5">
        <v>54.1</v>
      </c>
      <c r="I170" s="5">
        <v>85.9</v>
      </c>
      <c r="J170" s="5">
        <v>0</v>
      </c>
      <c r="K170" s="5">
        <v>0.31</v>
      </c>
      <c r="L170" s="5">
        <v>11.4</v>
      </c>
      <c r="M170" s="5">
        <v>0.6</v>
      </c>
      <c r="N170" s="5">
        <v>10.8</v>
      </c>
      <c r="O170" s="5">
        <v>0</v>
      </c>
      <c r="P170" s="5">
        <v>2</v>
      </c>
      <c r="Q170" s="5">
        <v>0.36</v>
      </c>
      <c r="R170" s="5">
        <v>5.8000000000000003E-2</v>
      </c>
      <c r="S170" s="5">
        <v>0.15</v>
      </c>
      <c r="T170" s="5">
        <v>0.11</v>
      </c>
      <c r="U170" s="5">
        <v>0</v>
      </c>
      <c r="V170" s="5">
        <v>3</v>
      </c>
      <c r="W170" s="5">
        <v>0</v>
      </c>
      <c r="X170" s="5">
        <v>18</v>
      </c>
      <c r="Y170" s="5">
        <v>0</v>
      </c>
      <c r="Z170" s="5">
        <v>0.36</v>
      </c>
      <c r="AA170" s="5">
        <v>3.7</v>
      </c>
      <c r="AB170" s="5">
        <v>3.5000000000000003E-2</v>
      </c>
      <c r="AC170" s="5">
        <v>3.2000000000000001E-2</v>
      </c>
      <c r="AD170" s="5">
        <v>0.13</v>
      </c>
      <c r="AE170" s="5">
        <v>0.06</v>
      </c>
      <c r="AF170" s="5">
        <v>5.8</v>
      </c>
      <c r="AG170" s="5">
        <v>0</v>
      </c>
      <c r="AH170" s="5">
        <v>6.0999999999999999E-2</v>
      </c>
      <c r="AI170" s="5">
        <v>1.2</v>
      </c>
      <c r="AJ170" s="5">
        <v>12.4</v>
      </c>
      <c r="AK170" s="5">
        <v>5.5</v>
      </c>
      <c r="AL170" s="5">
        <v>11</v>
      </c>
      <c r="AM170" s="5">
        <v>0.56000000000000005</v>
      </c>
      <c r="AN170" s="5">
        <v>1.1000000000000001</v>
      </c>
      <c r="AO170" s="5">
        <v>0.13</v>
      </c>
      <c r="AP170" s="5">
        <v>5.6</v>
      </c>
      <c r="AQ170" s="5">
        <v>1.2</v>
      </c>
      <c r="AR170" s="5">
        <v>120</v>
      </c>
      <c r="AS170" s="5">
        <v>4.4999999999999998E-2</v>
      </c>
      <c r="AT170" s="5">
        <v>5.1999999999999998E-2</v>
      </c>
      <c r="AU170" s="5">
        <v>1.4</v>
      </c>
      <c r="AV170" s="5">
        <f>IFERROR(VLOOKUP(IFERROR(VLOOKUP(D170,Mapa_Similitud!$A$2:$B$2000,2,FALSE()),D170),Hoja1!$A$2:$K$1000,2,FALSE()),IFERROR(VLOOKUP(IFERROR(VLOOKUP(D170,Mapa_Similitud!$A$2:$B$2000,2,FALSE()),D170),Omega3_Referencia!$A$2:$E$100,3,FALSE()),0))</f>
        <v>0.01</v>
      </c>
      <c r="AW170" s="3" t="str">
        <f>IFERROR(VLOOKUP(IFERROR(VLOOKUP(D170,Mapa_Similitud!$A$2:$B$2000,2,FALSE()),D170),Hoja1!$A$2:$K$1000,3,FALSE()),IFERROR(VLOOKUP(IFERROR(VLOOKUP(D170,Mapa_Similitud!$A$2:$B$2000,2,FALSE()),D170),Omega3_Referencia!$A$2:$E$100,4,FALSE()),"N/A"))</f>
        <v>ALA</v>
      </c>
      <c r="AX170" s="5">
        <f>IFERROR(VLOOKUP(IFERROR(VLOOKUP(D170,Mapa_Similitud!$A$2:$B$2000,2,FALSE()),D170),Hoja1!$A$2:$K$1000,5,FALSE()),0)</f>
        <v>0</v>
      </c>
      <c r="AY170" s="5">
        <f>IFERROR(VLOOKUP(IFERROR(VLOOKUP(D170,Mapa_Similitud!$A$2:$B$2000,2,FALSE()),D170),Hoja1!$A$2:$K$1000,7,FALSE()),0)</f>
        <v>136</v>
      </c>
      <c r="AZ170" s="5">
        <f>IFERROR(VLOOKUP(IFERROR(VLOOKUP(D170,Mapa_Similitud!$A$2:$B$2000,2,FALSE()),D170),Hoja1!$A$2:$K$1000,9,FALSE()),0)</f>
        <v>0</v>
      </c>
      <c r="BA170" s="25">
        <f t="shared" si="58"/>
        <v>5.7301293900184841E-3</v>
      </c>
      <c r="BB170" s="25">
        <f t="shared" si="59"/>
        <v>3.6968576709796669E-2</v>
      </c>
      <c r="BC170" s="25">
        <f t="shared" si="60"/>
        <v>0.10166358595194085</v>
      </c>
      <c r="BD170" s="25">
        <f t="shared" si="61"/>
        <v>1.0351201478743069E-2</v>
      </c>
      <c r="BE170" s="25">
        <f t="shared" si="62"/>
        <v>2.2181146025878003E-2</v>
      </c>
      <c r="BF170" s="25">
        <f t="shared" si="63"/>
        <v>1.896551724137931</v>
      </c>
      <c r="BG170" s="25">
        <f t="shared" si="64"/>
        <v>0.5</v>
      </c>
      <c r="BH170" s="25">
        <f t="shared" si="65"/>
        <v>0.16111111111111112</v>
      </c>
      <c r="BI170" s="25">
        <f t="shared" si="66"/>
        <v>0.01</v>
      </c>
      <c r="BJ170" s="25">
        <f t="shared" si="67"/>
        <v>0.94736842105263164</v>
      </c>
      <c r="BK170" s="25">
        <f t="shared" si="68"/>
        <v>0.17543859649122806</v>
      </c>
      <c r="BL170" s="25">
        <f t="shared" si="69"/>
        <v>5.9889094269870602E-2</v>
      </c>
      <c r="BM170" s="25">
        <f t="shared" si="70"/>
        <v>0.10351201478743068</v>
      </c>
      <c r="BN170" s="18" t="str">
        <f t="shared" si="76"/>
        <v>Baja fuente de proteína</v>
      </c>
      <c r="BO170" s="18" t="str">
        <f t="shared" si="77"/>
        <v>Alta fuente de fibra</v>
      </c>
      <c r="BP170" s="18" t="str">
        <f t="shared" si="78"/>
        <v>Baja fuente de calcio</v>
      </c>
      <c r="BQ170" s="18" t="str">
        <f t="shared" si="79"/>
        <v>Media fuente de hierro</v>
      </c>
      <c r="BR170" s="18" t="str">
        <f t="shared" si="80"/>
        <v>Bajo en sodio</v>
      </c>
      <c r="BS170" s="6" t="str">
        <f t="shared" si="71"/>
        <v>Ligeramente antiinflamatorio</v>
      </c>
      <c r="BT170" s="6" t="str">
        <f t="shared" si="72"/>
        <v>Bajo en grasas</v>
      </c>
      <c r="BU170" s="18" t="str">
        <f t="shared" si="81"/>
        <v>Equilibrio de líquidos ideal</v>
      </c>
      <c r="BV170" s="18" t="str">
        <f t="shared" si="82"/>
        <v>Baja fuente de magnesio</v>
      </c>
      <c r="BW170" s="18" t="str">
        <f t="shared" si="83"/>
        <v>Sin aporte de Omega 3</v>
      </c>
      <c r="BX170" s="18" t="str">
        <f t="shared" si="84"/>
        <v>Libre de grasas trans</v>
      </c>
      <c r="BY170" s="18" t="str">
        <f t="shared" si="85"/>
        <v>Alto poder antioxidante</v>
      </c>
      <c r="BZ170" s="6" t="str">
        <f t="shared" si="73"/>
        <v>Sin probióticos</v>
      </c>
      <c r="CA170" s="18" t="str">
        <f t="shared" si="86"/>
        <v>Antiinflamatorio</v>
      </c>
      <c r="CB170" s="18" t="str">
        <f>IF(ISNUMBER(SEARCH("miel", D170)), "No irritante (Uso condicionado SII)", IF(OR(J170&gt;0, ISNUMBER(SEARCH("cacao", D170)), ISNUMBER(SEARCH("chocolate puro", D170))), "Altamente irritante", IF(OR(AND(O170&gt;15, BI170&gt;1), ISNUMBER(SEARCH("chocolate", D170))), "Moderadamente irritante", "No irritante")))</f>
        <v>No irritante</v>
      </c>
      <c r="CC170" s="6" t="str">
        <f t="shared" si="74"/>
        <v>Exceso relativo de Omega 6</v>
      </c>
    </row>
    <row r="171" spans="1:81" ht="15" customHeight="1" x14ac:dyDescent="0.3">
      <c r="A171" s="2">
        <f t="shared" si="75"/>
        <v>170</v>
      </c>
      <c r="B171" s="3" t="s">
        <v>234</v>
      </c>
      <c r="C171" s="3" t="s">
        <v>255</v>
      </c>
      <c r="D171" s="3" t="s">
        <v>281</v>
      </c>
      <c r="E171" s="3"/>
      <c r="F171" s="4">
        <v>1</v>
      </c>
      <c r="G171" s="5">
        <v>0.61</v>
      </c>
      <c r="H171" s="5">
        <v>54.2</v>
      </c>
      <c r="I171" s="5">
        <v>86.3</v>
      </c>
      <c r="J171" s="5">
        <v>0</v>
      </c>
      <c r="K171" s="5">
        <v>2.4</v>
      </c>
      <c r="L171" s="5">
        <v>9.5</v>
      </c>
      <c r="M171" s="5">
        <v>0</v>
      </c>
      <c r="N171" s="5">
        <v>9.5</v>
      </c>
      <c r="O171" s="5">
        <v>0</v>
      </c>
      <c r="P171" s="5">
        <v>1.5</v>
      </c>
      <c r="Q171" s="5">
        <v>0.4</v>
      </c>
      <c r="R171" s="5">
        <v>0.1</v>
      </c>
      <c r="S171" s="5">
        <v>0.1</v>
      </c>
      <c r="T171" s="5">
        <v>0.11</v>
      </c>
      <c r="U171" s="5">
        <v>0</v>
      </c>
      <c r="V171" s="5">
        <v>109</v>
      </c>
      <c r="W171" s="5">
        <v>0</v>
      </c>
      <c r="X171" s="5">
        <v>653</v>
      </c>
      <c r="Y171" s="5">
        <v>0</v>
      </c>
      <c r="Z171" s="5">
        <v>0.2</v>
      </c>
      <c r="AA171" s="5">
        <v>0.7</v>
      </c>
      <c r="AB171" s="5">
        <v>0.02</v>
      </c>
      <c r="AC171" s="5">
        <v>0.1</v>
      </c>
      <c r="AD171" s="5">
        <v>1.9</v>
      </c>
      <c r="AE171" s="5">
        <v>0</v>
      </c>
      <c r="AF171" s="5">
        <v>29</v>
      </c>
      <c r="AG171" s="5">
        <v>0</v>
      </c>
      <c r="AH171" s="5">
        <v>0</v>
      </c>
      <c r="AI171" s="5">
        <v>0</v>
      </c>
      <c r="AJ171" s="5">
        <v>24</v>
      </c>
      <c r="AK171" s="5">
        <v>17</v>
      </c>
      <c r="AL171" s="5">
        <v>57</v>
      </c>
      <c r="AM171" s="5">
        <v>1.3</v>
      </c>
      <c r="AN171" s="5">
        <v>0</v>
      </c>
      <c r="AO171" s="5">
        <v>0.65</v>
      </c>
      <c r="AP171" s="5">
        <v>29</v>
      </c>
      <c r="AQ171" s="5">
        <v>19</v>
      </c>
      <c r="AR171" s="5">
        <v>267</v>
      </c>
      <c r="AS171" s="5">
        <v>0.46</v>
      </c>
      <c r="AT171" s="5">
        <v>0.16</v>
      </c>
      <c r="AU171" s="5">
        <v>0.2</v>
      </c>
      <c r="AV171" s="5">
        <f>IFERROR(VLOOKUP(IFERROR(VLOOKUP(D171,Mapa_Similitud!$A$2:$B$2000,2,FALSE()),D171),Hoja1!$A$2:$K$1000,2,FALSE()),IFERROR(VLOOKUP(IFERROR(VLOOKUP(D171,Mapa_Similitud!$A$2:$B$2000,2,FALSE()),D171),Omega3_Referencia!$A$2:$E$100,3,FALSE()),0))</f>
        <v>0.02</v>
      </c>
      <c r="AW171" s="3" t="str">
        <f>IFERROR(VLOOKUP(IFERROR(VLOOKUP(D171,Mapa_Similitud!$A$2:$B$2000,2,FALSE()),D171),Hoja1!$A$2:$K$1000,3,FALSE()),IFERROR(VLOOKUP(IFERROR(VLOOKUP(D171,Mapa_Similitud!$A$2:$B$2000,2,FALSE()),D171),Omega3_Referencia!$A$2:$E$100,4,FALSE()),"N/A"))</f>
        <v>ALA</v>
      </c>
      <c r="AX171" s="5">
        <f>IFERROR(VLOOKUP(IFERROR(VLOOKUP(D171,Mapa_Similitud!$A$2:$B$2000,2,FALSE()),D171),Hoja1!$A$2:$K$1000,5,FALSE()),0)</f>
        <v>0</v>
      </c>
      <c r="AY171" s="5">
        <f>IFERROR(VLOOKUP(IFERROR(VLOOKUP(D171,Mapa_Similitud!$A$2:$B$2000,2,FALSE()),D171),Hoja1!$A$2:$K$1000,7,FALSE()),0)</f>
        <v>55</v>
      </c>
      <c r="AZ171" s="5">
        <f>IFERROR(VLOOKUP(IFERROR(VLOOKUP(D171,Mapa_Similitud!$A$2:$B$2000,2,FALSE()),D171),Hoja1!$A$2:$K$1000,9,FALSE()),0)</f>
        <v>0</v>
      </c>
      <c r="BA171" s="25">
        <f t="shared" si="58"/>
        <v>4.4280442804428041E-2</v>
      </c>
      <c r="BB171" s="25">
        <f t="shared" si="59"/>
        <v>2.7675276752767528E-2</v>
      </c>
      <c r="BC171" s="25">
        <f t="shared" si="60"/>
        <v>0.31365313653136528</v>
      </c>
      <c r="BD171" s="25">
        <f t="shared" si="61"/>
        <v>2.3985239852398525E-2</v>
      </c>
      <c r="BE171" s="25">
        <f t="shared" si="62"/>
        <v>0.35055350553505532</v>
      </c>
      <c r="BF171" s="25">
        <f t="shared" si="63"/>
        <v>1.0999999999999999</v>
      </c>
      <c r="BG171" s="25">
        <f t="shared" si="64"/>
        <v>0.2982456140350877</v>
      </c>
      <c r="BH171" s="25">
        <f t="shared" si="65"/>
        <v>0.25</v>
      </c>
      <c r="BI171" s="25">
        <f t="shared" si="66"/>
        <v>7.116104868913857E-2</v>
      </c>
      <c r="BJ171" s="25">
        <f t="shared" si="67"/>
        <v>1</v>
      </c>
      <c r="BK171" s="25">
        <f t="shared" si="68"/>
        <v>0.15789473684210525</v>
      </c>
      <c r="BL171" s="25">
        <f t="shared" si="69"/>
        <v>6.6420664206642069E-2</v>
      </c>
      <c r="BM171" s="25">
        <f t="shared" si="70"/>
        <v>0.5350553505535055</v>
      </c>
      <c r="BN171" s="18" t="str">
        <f t="shared" si="76"/>
        <v>Baja fuente de proteína</v>
      </c>
      <c r="BO171" s="18" t="str">
        <f t="shared" si="77"/>
        <v>Media fuente de fibra</v>
      </c>
      <c r="BP171" s="18" t="str">
        <f t="shared" si="78"/>
        <v>Baja fuente de calcio</v>
      </c>
      <c r="BQ171" s="18" t="str">
        <f t="shared" si="79"/>
        <v>Alta fuente de hierro</v>
      </c>
      <c r="BR171" s="18" t="str">
        <f t="shared" si="80"/>
        <v>Bajo en sodio</v>
      </c>
      <c r="BS171" s="6" t="str">
        <f t="shared" si="71"/>
        <v>Ligeramente antiinflamatorio</v>
      </c>
      <c r="BT171" s="6" t="str">
        <f t="shared" si="72"/>
        <v>Bajo en grasas</v>
      </c>
      <c r="BU171" s="18" t="str">
        <f t="shared" si="81"/>
        <v>Equilibrio de líquidos ideal</v>
      </c>
      <c r="BV171" s="18" t="str">
        <f t="shared" si="82"/>
        <v>Alta fuente de magnesio</v>
      </c>
      <c r="BW171" s="18" t="str">
        <f t="shared" si="83"/>
        <v>Sin aporte de Omega 3</v>
      </c>
      <c r="BX171" s="18" t="str">
        <f t="shared" si="84"/>
        <v>Libre de grasas trans</v>
      </c>
      <c r="BY171" s="18" t="str">
        <f t="shared" si="85"/>
        <v>Alto poder antioxidante</v>
      </c>
      <c r="BZ171" s="6" t="str">
        <f t="shared" si="73"/>
        <v>Sin probióticos</v>
      </c>
      <c r="CA171" s="18" t="str">
        <f t="shared" si="86"/>
        <v>Antiinflamatorio</v>
      </c>
      <c r="CB171" s="18" t="str">
        <f>IF(ISNUMBER(SEARCH("miel", D171)), "No irritante (Uso condicionado SII)", IF(OR(J171&gt;0, ISNUMBER(SEARCH("cacao", D171)), ISNUMBER(SEARCH("chocolate puro", D171))), "Altamente irritante", IF(OR(AND(O171&gt;15, BI171&gt;1), ISNUMBER(SEARCH("chocolate", D171))), "Moderadamente irritante", "No irritante")))</f>
        <v>No irritante</v>
      </c>
      <c r="CC171" s="6" t="str">
        <f t="shared" si="74"/>
        <v>Exceso relativo de Omega 6</v>
      </c>
    </row>
    <row r="172" spans="1:81" ht="15" customHeight="1" x14ac:dyDescent="0.3">
      <c r="A172" s="2">
        <f t="shared" si="75"/>
        <v>171</v>
      </c>
      <c r="B172" s="3" t="s">
        <v>234</v>
      </c>
      <c r="C172" s="3" t="s">
        <v>255</v>
      </c>
      <c r="D172" s="3" t="s">
        <v>282</v>
      </c>
      <c r="E172" s="3"/>
      <c r="F172" s="4">
        <v>1.2</v>
      </c>
      <c r="G172" s="5">
        <v>0.9</v>
      </c>
      <c r="H172" s="5">
        <v>50.8</v>
      </c>
      <c r="I172" s="5">
        <v>86.6</v>
      </c>
      <c r="J172" s="5">
        <v>0</v>
      </c>
      <c r="K172" s="5">
        <v>1</v>
      </c>
      <c r="L172" s="5">
        <v>10.3</v>
      </c>
      <c r="M172" s="5">
        <v>0</v>
      </c>
      <c r="N172" s="5">
        <v>10.3</v>
      </c>
      <c r="O172" s="5">
        <v>0</v>
      </c>
      <c r="P172" s="5">
        <v>1.9</v>
      </c>
      <c r="Q172" s="5">
        <v>0.2</v>
      </c>
      <c r="R172" s="5">
        <v>1.7999999999999999E-2</v>
      </c>
      <c r="S172" s="5">
        <v>6.0999999999999999E-2</v>
      </c>
      <c r="T172" s="5">
        <v>7.9000000000000001E-2</v>
      </c>
      <c r="U172" s="5">
        <v>0</v>
      </c>
      <c r="V172" s="5">
        <v>17.7</v>
      </c>
      <c r="W172" s="5">
        <v>0</v>
      </c>
      <c r="X172" s="5">
        <v>106</v>
      </c>
      <c r="Y172" s="5">
        <v>0</v>
      </c>
      <c r="Z172" s="5">
        <v>0.56999999999999995</v>
      </c>
      <c r="AA172" s="5">
        <v>2.2999999999999998</v>
      </c>
      <c r="AB172" s="5">
        <v>0.02</v>
      </c>
      <c r="AC172" s="5">
        <v>0.04</v>
      </c>
      <c r="AD172" s="5">
        <v>1</v>
      </c>
      <c r="AE172" s="5">
        <v>0.02</v>
      </c>
      <c r="AF172" s="5">
        <v>2.7</v>
      </c>
      <c r="AG172" s="5">
        <v>0</v>
      </c>
      <c r="AH172" s="5">
        <v>0.17</v>
      </c>
      <c r="AI172" s="5">
        <v>1.9</v>
      </c>
      <c r="AJ172" s="5">
        <v>8.9</v>
      </c>
      <c r="AK172" s="5">
        <v>8</v>
      </c>
      <c r="AL172" s="5">
        <v>21</v>
      </c>
      <c r="AM172" s="5">
        <v>0.42</v>
      </c>
      <c r="AN172" s="5">
        <v>2.4</v>
      </c>
      <c r="AO172" s="5">
        <v>0.09</v>
      </c>
      <c r="AP172" s="5">
        <v>8.8000000000000007</v>
      </c>
      <c r="AQ172" s="5">
        <v>1.3</v>
      </c>
      <c r="AR172" s="5">
        <v>194</v>
      </c>
      <c r="AS172" s="5">
        <v>0.1</v>
      </c>
      <c r="AT172" s="5">
        <v>6.7000000000000004E-2</v>
      </c>
      <c r="AU172" s="5">
        <v>1.2</v>
      </c>
      <c r="AV172" s="5">
        <f>IFERROR(VLOOKUP(IFERROR(VLOOKUP(D172,Mapa_Similitud!$A$2:$B$2000,2,FALSE()),D172),Hoja1!$A$2:$K$1000,2,FALSE()),IFERROR(VLOOKUP(IFERROR(VLOOKUP(D172,Mapa_Similitud!$A$2:$B$2000,2,FALSE()),D172),Omega3_Referencia!$A$2:$E$100,3,FALSE()),0))</f>
        <v>0</v>
      </c>
      <c r="AW172" s="3" t="str">
        <f>IFERROR(VLOOKUP(IFERROR(VLOOKUP(D172,Mapa_Similitud!$A$2:$B$2000,2,FALSE()),D172),Hoja1!$A$2:$K$1000,3,FALSE()),IFERROR(VLOOKUP(IFERROR(VLOOKUP(D172,Mapa_Similitud!$A$2:$B$2000,2,FALSE()),D172),Omega3_Referencia!$A$2:$E$100,4,FALSE()),"N/A"))</f>
        <v>N/A</v>
      </c>
      <c r="AX172" s="5">
        <f>IFERROR(VLOOKUP(IFERROR(VLOOKUP(D172,Mapa_Similitud!$A$2:$B$2000,2,FALSE()),D172),Hoja1!$A$2:$K$1000,5,FALSE()),0)</f>
        <v>0</v>
      </c>
      <c r="AY172" s="5">
        <f>IFERROR(VLOOKUP(IFERROR(VLOOKUP(D172,Mapa_Similitud!$A$2:$B$2000,2,FALSE()),D172),Hoja1!$A$2:$K$1000,7,FALSE()),0)</f>
        <v>70</v>
      </c>
      <c r="AZ172" s="5">
        <f>IFERROR(VLOOKUP(IFERROR(VLOOKUP(D172,Mapa_Similitud!$A$2:$B$2000,2,FALSE()),D172),Hoja1!$A$2:$K$1000,9,FALSE()),0)</f>
        <v>0</v>
      </c>
      <c r="BA172" s="25">
        <f t="shared" si="58"/>
        <v>1.968503937007874E-2</v>
      </c>
      <c r="BB172" s="25">
        <f t="shared" si="59"/>
        <v>3.7401574803149609E-2</v>
      </c>
      <c r="BC172" s="25">
        <f t="shared" si="60"/>
        <v>0.15748031496062992</v>
      </c>
      <c r="BD172" s="25">
        <f t="shared" si="61"/>
        <v>8.2677165354330708E-3</v>
      </c>
      <c r="BE172" s="25">
        <f t="shared" si="62"/>
        <v>2.5590551181102365E-2</v>
      </c>
      <c r="BF172" s="25">
        <f t="shared" si="63"/>
        <v>4.3888888888888893</v>
      </c>
      <c r="BG172" s="25">
        <f t="shared" si="64"/>
        <v>0.38095238095238093</v>
      </c>
      <c r="BH172" s="25">
        <f t="shared" si="65"/>
        <v>8.9999999999999983E-2</v>
      </c>
      <c r="BI172" s="25">
        <f t="shared" si="66"/>
        <v>6.701030927835052E-3</v>
      </c>
      <c r="BJ172" s="25">
        <f t="shared" si="67"/>
        <v>1</v>
      </c>
      <c r="BK172" s="25">
        <f t="shared" si="68"/>
        <v>0.1844660194174757</v>
      </c>
      <c r="BL172" s="25">
        <f t="shared" si="69"/>
        <v>3.5433070866141732E-2</v>
      </c>
      <c r="BM172" s="25">
        <f t="shared" si="70"/>
        <v>0.17322834645669294</v>
      </c>
      <c r="BN172" s="18" t="str">
        <f t="shared" si="76"/>
        <v>Baja fuente de proteína</v>
      </c>
      <c r="BO172" s="18" t="str">
        <f t="shared" si="77"/>
        <v>Alta fuente de fibra</v>
      </c>
      <c r="BP172" s="18" t="str">
        <f t="shared" si="78"/>
        <v>Baja fuente de calcio</v>
      </c>
      <c r="BQ172" s="18" t="str">
        <f t="shared" si="79"/>
        <v>Media fuente de hierro</v>
      </c>
      <c r="BR172" s="18" t="str">
        <f t="shared" si="80"/>
        <v>Bajo en sodio</v>
      </c>
      <c r="BS172" s="6" t="str">
        <f t="shared" si="71"/>
        <v>Altamente antiinflamatorio</v>
      </c>
      <c r="BT172" s="6" t="str">
        <f t="shared" si="72"/>
        <v>Bajo en grasas</v>
      </c>
      <c r="BU172" s="18" t="str">
        <f t="shared" si="81"/>
        <v>Equilibrio de líquidos ideal</v>
      </c>
      <c r="BV172" s="18" t="str">
        <f t="shared" si="82"/>
        <v>Baja fuente de magnesio</v>
      </c>
      <c r="BW172" s="18" t="str">
        <f t="shared" si="83"/>
        <v>Sin aporte de Omega 3</v>
      </c>
      <c r="BX172" s="18" t="str">
        <f t="shared" si="84"/>
        <v>Libre de grasas trans</v>
      </c>
      <c r="BY172" s="18" t="str">
        <f t="shared" si="85"/>
        <v>Alto poder antioxidante</v>
      </c>
      <c r="BZ172" s="6" t="str">
        <f t="shared" si="73"/>
        <v>Sin probióticos</v>
      </c>
      <c r="CA172" s="18" t="str">
        <f t="shared" si="86"/>
        <v>Antiinflamatorio</v>
      </c>
      <c r="CB172" s="18" t="str">
        <f>IF(ISNUMBER(SEARCH("miel", D172)), "No irritante (Uso condicionado SII)", IF(OR(J172&gt;0, ISNUMBER(SEARCH("cacao", D172)), ISNUMBER(SEARCH("chocolate puro", D172))), "Altamente irritante", IF(OR(AND(O172&gt;15, BI172&gt;1), ISNUMBER(SEARCH("chocolate", D172))), "Moderadamente irritante", "No irritante")))</f>
        <v>No irritante</v>
      </c>
      <c r="CC172" s="6" t="str">
        <f t="shared" si="74"/>
        <v>Sin Omega 3 para evaluar</v>
      </c>
    </row>
    <row r="173" spans="1:81" ht="15" customHeight="1" x14ac:dyDescent="0.3">
      <c r="A173" s="2">
        <f t="shared" si="75"/>
        <v>172</v>
      </c>
      <c r="B173" s="3" t="s">
        <v>234</v>
      </c>
      <c r="C173" s="3" t="s">
        <v>255</v>
      </c>
      <c r="D173" s="3" t="s">
        <v>283</v>
      </c>
      <c r="E173" s="3"/>
      <c r="F173" s="4">
        <v>0.6</v>
      </c>
      <c r="G173" s="5">
        <v>0.66</v>
      </c>
      <c r="H173" s="5">
        <v>55.5</v>
      </c>
      <c r="I173" s="5">
        <v>85.9</v>
      </c>
      <c r="J173" s="5">
        <v>0</v>
      </c>
      <c r="K173" s="5">
        <v>0.88</v>
      </c>
      <c r="L173" s="5">
        <v>12.4</v>
      </c>
      <c r="M173" s="5">
        <v>0</v>
      </c>
      <c r="N173" s="5">
        <v>12.4</v>
      </c>
      <c r="O173" s="5">
        <v>0</v>
      </c>
      <c r="P173" s="5">
        <v>0.73</v>
      </c>
      <c r="Q173" s="5">
        <v>0.1</v>
      </c>
      <c r="R173" s="5">
        <v>2.5999999999999999E-2</v>
      </c>
      <c r="S173" s="5">
        <v>1.2999999999999999E-2</v>
      </c>
      <c r="T173" s="5">
        <v>1.4999999999999999E-2</v>
      </c>
      <c r="U173" s="5">
        <v>0</v>
      </c>
      <c r="V173" s="5">
        <v>112</v>
      </c>
      <c r="W173" s="5">
        <v>0</v>
      </c>
      <c r="X173" s="5">
        <v>671</v>
      </c>
      <c r="Y173" s="5">
        <v>0</v>
      </c>
      <c r="Z173" s="5">
        <v>0.14000000000000001</v>
      </c>
      <c r="AA173" s="5">
        <v>0.52</v>
      </c>
      <c r="AB173" s="5">
        <v>0.05</v>
      </c>
      <c r="AC173" s="5">
        <v>0.01</v>
      </c>
      <c r="AD173" s="5">
        <v>0.66</v>
      </c>
      <c r="AE173" s="5">
        <v>0.06</v>
      </c>
      <c r="AF173" s="5">
        <v>2.7</v>
      </c>
      <c r="AG173" s="5">
        <v>0</v>
      </c>
      <c r="AH173" s="5">
        <v>0.13</v>
      </c>
      <c r="AI173" s="5">
        <v>0</v>
      </c>
      <c r="AJ173" s="5">
        <v>32.1</v>
      </c>
      <c r="AK173" s="5">
        <v>15.6</v>
      </c>
      <c r="AL173" s="5">
        <v>17</v>
      </c>
      <c r="AM173" s="5">
        <v>0.35</v>
      </c>
      <c r="AN173" s="5">
        <v>0.55000000000000004</v>
      </c>
      <c r="AO173" s="5">
        <v>0.28999999999999998</v>
      </c>
      <c r="AP173" s="5">
        <v>11.8</v>
      </c>
      <c r="AQ173" s="5">
        <v>17</v>
      </c>
      <c r="AR173" s="5">
        <v>310</v>
      </c>
      <c r="AS173" s="5">
        <v>4.2999999999999997E-2</v>
      </c>
      <c r="AT173" s="5">
        <v>4.5999999999999999E-2</v>
      </c>
      <c r="AU173" s="5">
        <v>0.5</v>
      </c>
      <c r="AV173" s="5">
        <f>IFERROR(VLOOKUP(IFERROR(VLOOKUP(D173,Mapa_Similitud!$A$2:$B$2000,2,FALSE()),D173),Hoja1!$A$2:$K$1000,2,FALSE()),IFERROR(VLOOKUP(IFERROR(VLOOKUP(D173,Mapa_Similitud!$A$2:$B$2000,2,FALSE()),D173),Omega3_Referencia!$A$2:$E$100,3,FALSE()),0))</f>
        <v>0</v>
      </c>
      <c r="AW173" s="3" t="str">
        <f>IFERROR(VLOOKUP(IFERROR(VLOOKUP(D173,Mapa_Similitud!$A$2:$B$2000,2,FALSE()),D173),Hoja1!$A$2:$K$1000,3,FALSE()),IFERROR(VLOOKUP(IFERROR(VLOOKUP(D173,Mapa_Similitud!$A$2:$B$2000,2,FALSE()),D173),Omega3_Referencia!$A$2:$E$100,4,FALSE()),"N/A"))</f>
        <v>N/A</v>
      </c>
      <c r="AX173" s="5">
        <f>IFERROR(VLOOKUP(IFERROR(VLOOKUP(D173,Mapa_Similitud!$A$2:$B$2000,2,FALSE()),D173),Hoja1!$A$2:$K$1000,5,FALSE()),0)</f>
        <v>0</v>
      </c>
      <c r="AY173" s="5">
        <f>IFERROR(VLOOKUP(IFERROR(VLOOKUP(D173,Mapa_Similitud!$A$2:$B$2000,2,FALSE()),D173),Hoja1!$A$2:$K$1000,7,FALSE()),0)</f>
        <v>25</v>
      </c>
      <c r="AZ173" s="5">
        <f>IFERROR(VLOOKUP(IFERROR(VLOOKUP(D173,Mapa_Similitud!$A$2:$B$2000,2,FALSE()),D173),Hoja1!$A$2:$K$1000,9,FALSE()),0)</f>
        <v>0</v>
      </c>
      <c r="BA173" s="25">
        <f t="shared" si="58"/>
        <v>1.5855855855855857E-2</v>
      </c>
      <c r="BB173" s="25">
        <f t="shared" si="59"/>
        <v>1.3153153153153152E-2</v>
      </c>
      <c r="BC173" s="25">
        <f t="shared" si="60"/>
        <v>0.2810810810810811</v>
      </c>
      <c r="BD173" s="25">
        <f t="shared" si="61"/>
        <v>6.3063063063063061E-3</v>
      </c>
      <c r="BE173" s="25">
        <f t="shared" si="62"/>
        <v>0.30630630630630629</v>
      </c>
      <c r="BF173" s="25">
        <f t="shared" si="63"/>
        <v>0.57692307692307698</v>
      </c>
      <c r="BG173" s="25">
        <f t="shared" si="64"/>
        <v>0.91764705882352937</v>
      </c>
      <c r="BH173" s="25">
        <f t="shared" si="65"/>
        <v>0.25999999999999995</v>
      </c>
      <c r="BI173" s="25">
        <f t="shared" si="66"/>
        <v>5.4838709677419356E-2</v>
      </c>
      <c r="BJ173" s="25">
        <f t="shared" si="67"/>
        <v>1</v>
      </c>
      <c r="BK173" s="25">
        <f t="shared" si="68"/>
        <v>5.8870967741935482E-2</v>
      </c>
      <c r="BL173" s="25">
        <f t="shared" si="69"/>
        <v>1.6216216216216217E-2</v>
      </c>
      <c r="BM173" s="25">
        <f t="shared" si="70"/>
        <v>0.21261261261261263</v>
      </c>
      <c r="BN173" s="18" t="str">
        <f t="shared" si="76"/>
        <v>Baja fuente de proteína</v>
      </c>
      <c r="BO173" s="18" t="str">
        <f t="shared" si="77"/>
        <v>Baja fuente de fibra</v>
      </c>
      <c r="BP173" s="18" t="str">
        <f t="shared" si="78"/>
        <v>Baja fuente de calcio</v>
      </c>
      <c r="BQ173" s="18" t="str">
        <f t="shared" si="79"/>
        <v>Baja fuente de hierro</v>
      </c>
      <c r="BR173" s="18" t="str">
        <f t="shared" si="80"/>
        <v>Bajo en sodio</v>
      </c>
      <c r="BS173" s="6" t="str">
        <f t="shared" si="71"/>
        <v>Neutro</v>
      </c>
      <c r="BT173" s="6" t="str">
        <f t="shared" si="72"/>
        <v>Bajo en grasas</v>
      </c>
      <c r="BU173" s="18" t="str">
        <f t="shared" si="81"/>
        <v>Equilibrio de líquidos ideal</v>
      </c>
      <c r="BV173" s="18" t="str">
        <f t="shared" si="82"/>
        <v>Media fuente de magnesio</v>
      </c>
      <c r="BW173" s="18" t="str">
        <f t="shared" si="83"/>
        <v>Sin aporte de Omega 3</v>
      </c>
      <c r="BX173" s="18" t="str">
        <f t="shared" si="84"/>
        <v>Libre de grasas trans</v>
      </c>
      <c r="BY173" s="18" t="str">
        <f t="shared" si="85"/>
        <v>Medio poder antioxidante</v>
      </c>
      <c r="BZ173" s="6" t="str">
        <f t="shared" si="73"/>
        <v>Sin probióticos</v>
      </c>
      <c r="CA173" s="18" t="str">
        <f t="shared" si="86"/>
        <v>Poco inflamatorio</v>
      </c>
      <c r="CB173" s="18" t="str">
        <f>IF(ISNUMBER(SEARCH("miel", D173)), "No irritante (Uso condicionado SII)", IF(OR(J173&gt;0, ISNUMBER(SEARCH("cacao", D173)), ISNUMBER(SEARCH("chocolate puro", D173))), "Altamente irritante", IF(OR(AND(O173&gt;15, BI173&gt;1), ISNUMBER(SEARCH("chocolate", D173))), "Moderadamente irritante", "No irritante")))</f>
        <v>No irritante</v>
      </c>
      <c r="CC173" s="6" t="str">
        <f t="shared" si="74"/>
        <v>Sin Omega 3 para evaluar</v>
      </c>
    </row>
    <row r="174" spans="1:81" ht="15" customHeight="1" x14ac:dyDescent="0.3">
      <c r="A174" s="2">
        <f t="shared" si="75"/>
        <v>173</v>
      </c>
      <c r="B174" s="3" t="s">
        <v>234</v>
      </c>
      <c r="C174" s="3" t="s">
        <v>255</v>
      </c>
      <c r="D174" s="3" t="s">
        <v>284</v>
      </c>
      <c r="E174" s="3"/>
      <c r="F174" s="4">
        <v>2</v>
      </c>
      <c r="G174" s="5">
        <v>0.65</v>
      </c>
      <c r="H174" s="5">
        <v>47.3</v>
      </c>
      <c r="I174" s="5">
        <v>85.8</v>
      </c>
      <c r="J174" s="5">
        <v>0</v>
      </c>
      <c r="K174" s="5">
        <v>0.44</v>
      </c>
      <c r="L174" s="5">
        <v>7.3</v>
      </c>
      <c r="M174" s="5">
        <v>0</v>
      </c>
      <c r="N174" s="5">
        <v>7.3</v>
      </c>
      <c r="O174" s="5">
        <v>0</v>
      </c>
      <c r="P174" s="5">
        <v>5.9</v>
      </c>
      <c r="Q174" s="5">
        <v>0.5</v>
      </c>
      <c r="R174" s="5">
        <v>3.6999999999999998E-2</v>
      </c>
      <c r="S174" s="5">
        <v>0.15</v>
      </c>
      <c r="T174" s="5">
        <v>0.2</v>
      </c>
      <c r="U174" s="5">
        <v>0</v>
      </c>
      <c r="V174" s="5">
        <v>5.5</v>
      </c>
      <c r="W174" s="5">
        <v>0</v>
      </c>
      <c r="X174" s="5">
        <v>33</v>
      </c>
      <c r="Y174" s="5">
        <v>0</v>
      </c>
      <c r="Z174" s="5">
        <v>0.89</v>
      </c>
      <c r="AA174" s="5">
        <v>0</v>
      </c>
      <c r="AB174" s="5">
        <v>0.03</v>
      </c>
      <c r="AC174" s="5">
        <v>0.03</v>
      </c>
      <c r="AD174" s="5">
        <v>0.2</v>
      </c>
      <c r="AE174" s="5">
        <v>0.04</v>
      </c>
      <c r="AF174" s="5">
        <v>3</v>
      </c>
      <c r="AG174" s="5">
        <v>0</v>
      </c>
      <c r="AH174" s="5">
        <v>8.1000000000000003E-2</v>
      </c>
      <c r="AI174" s="5">
        <v>0</v>
      </c>
      <c r="AJ174" s="5">
        <v>13</v>
      </c>
      <c r="AK174" s="5">
        <v>10</v>
      </c>
      <c r="AL174" s="5">
        <v>19</v>
      </c>
      <c r="AM174" s="5">
        <v>0.6</v>
      </c>
      <c r="AN174" s="5">
        <v>0</v>
      </c>
      <c r="AO174" s="5">
        <v>0.2</v>
      </c>
      <c r="AP174" s="5">
        <v>8.1999999999999993</v>
      </c>
      <c r="AQ174" s="5">
        <v>2</v>
      </c>
      <c r="AR174" s="5">
        <v>183</v>
      </c>
      <c r="AS174" s="5">
        <v>0.02</v>
      </c>
      <c r="AT174" s="5">
        <v>0.1</v>
      </c>
      <c r="AU174" s="5">
        <v>0.6</v>
      </c>
      <c r="AV174" s="5">
        <f>IFERROR(VLOOKUP(IFERROR(VLOOKUP(D174,Mapa_Similitud!$A$2:$B$2000,2,FALSE()),D174),Hoja1!$A$2:$K$1000,2,FALSE()),IFERROR(VLOOKUP(IFERROR(VLOOKUP(D174,Mapa_Similitud!$A$2:$B$2000,2,FALSE()),D174),Omega3_Referencia!$A$2:$E$100,3,FALSE()),0))</f>
        <v>0</v>
      </c>
      <c r="AW174" s="3" t="str">
        <f>IFERROR(VLOOKUP(IFERROR(VLOOKUP(D174,Mapa_Similitud!$A$2:$B$2000,2,FALSE()),D174),Hoja1!$A$2:$K$1000,3,FALSE()),IFERROR(VLOOKUP(IFERROR(VLOOKUP(D174,Mapa_Similitud!$A$2:$B$2000,2,FALSE()),D174),Omega3_Referencia!$A$2:$E$100,4,FALSE()),"N/A"))</f>
        <v>N/A</v>
      </c>
      <c r="AX174" s="5">
        <f>IFERROR(VLOOKUP(IFERROR(VLOOKUP(D174,Mapa_Similitud!$A$2:$B$2000,2,FALSE()),D174),Hoja1!$A$2:$K$1000,5,FALSE()),0)</f>
        <v>0</v>
      </c>
      <c r="AY174" s="5">
        <f>IFERROR(VLOOKUP(IFERROR(VLOOKUP(D174,Mapa_Similitud!$A$2:$B$2000,2,FALSE()),D174),Hoja1!$A$2:$K$1000,7,FALSE()),0)</f>
        <v>110</v>
      </c>
      <c r="AZ174" s="5">
        <f>IFERROR(VLOOKUP(IFERROR(VLOOKUP(D174,Mapa_Similitud!$A$2:$B$2000,2,FALSE()),D174),Hoja1!$A$2:$K$1000,9,FALSE()),0)</f>
        <v>0</v>
      </c>
      <c r="BA174" s="25">
        <f t="shared" si="58"/>
        <v>9.3023255813953487E-3</v>
      </c>
      <c r="BB174" s="25">
        <f t="shared" si="59"/>
        <v>0.12473572938689219</v>
      </c>
      <c r="BC174" s="25">
        <f t="shared" si="60"/>
        <v>0.21141649048625794</v>
      </c>
      <c r="BD174" s="25">
        <f t="shared" si="61"/>
        <v>1.2684989429175475E-2</v>
      </c>
      <c r="BE174" s="25">
        <f t="shared" si="62"/>
        <v>4.2283298097251586E-2</v>
      </c>
      <c r="BF174" s="25">
        <f t="shared" si="63"/>
        <v>5.4054054054054061</v>
      </c>
      <c r="BG174" s="25">
        <f t="shared" si="64"/>
        <v>0.52631578947368418</v>
      </c>
      <c r="BH174" s="25">
        <f t="shared" si="65"/>
        <v>7.3999999999999996E-2</v>
      </c>
      <c r="BI174" s="25">
        <f t="shared" si="66"/>
        <v>1.092896174863388E-2</v>
      </c>
      <c r="BJ174" s="25">
        <f t="shared" si="67"/>
        <v>1</v>
      </c>
      <c r="BK174" s="25">
        <f t="shared" si="68"/>
        <v>0.8082191780821919</v>
      </c>
      <c r="BL174" s="25">
        <f t="shared" si="69"/>
        <v>9.5137420718816076E-2</v>
      </c>
      <c r="BM174" s="25">
        <f t="shared" si="70"/>
        <v>0.17336152219873149</v>
      </c>
      <c r="BN174" s="18" t="str">
        <f t="shared" si="76"/>
        <v>Baja fuente de proteína</v>
      </c>
      <c r="BO174" s="18" t="str">
        <f t="shared" si="77"/>
        <v>Alta fuente de fibra</v>
      </c>
      <c r="BP174" s="18" t="str">
        <f t="shared" si="78"/>
        <v>Baja fuente de calcio</v>
      </c>
      <c r="BQ174" s="18" t="str">
        <f t="shared" si="79"/>
        <v>Media fuente de hierro</v>
      </c>
      <c r="BR174" s="18" t="str">
        <f t="shared" si="80"/>
        <v>Bajo en sodio</v>
      </c>
      <c r="BS174" s="6" t="str">
        <f t="shared" si="71"/>
        <v>Altamente antiinflamatorio</v>
      </c>
      <c r="BT174" s="6" t="str">
        <f t="shared" si="72"/>
        <v>Bajo en grasas</v>
      </c>
      <c r="BU174" s="18" t="str">
        <f t="shared" si="81"/>
        <v>Equilibrio de líquidos ideal</v>
      </c>
      <c r="BV174" s="18" t="str">
        <f t="shared" si="82"/>
        <v>Baja fuente de magnesio</v>
      </c>
      <c r="BW174" s="18" t="str">
        <f t="shared" si="83"/>
        <v>Sin aporte de Omega 3</v>
      </c>
      <c r="BX174" s="18" t="str">
        <f t="shared" si="84"/>
        <v>Libre de grasas trans</v>
      </c>
      <c r="BY174" s="18" t="str">
        <f t="shared" si="85"/>
        <v>Alto poder antioxidante</v>
      </c>
      <c r="BZ174" s="6" t="str">
        <f t="shared" si="73"/>
        <v>Sin probióticos</v>
      </c>
      <c r="CA174" s="18" t="str">
        <f t="shared" si="86"/>
        <v>Antiinflamatorio</v>
      </c>
      <c r="CB174" s="18" t="str">
        <f>IF(ISNUMBER(SEARCH("miel", D174)), "No irritante (Uso condicionado SII)", IF(OR(J174&gt;0, ISNUMBER(SEARCH("cacao", D174)), ISNUMBER(SEARCH("chocolate puro", D174))), "Altamente irritante", IF(OR(AND(O174&gt;15, BI174&gt;1), ISNUMBER(SEARCH("chocolate", D174))), "Moderadamente irritante", "No irritante")))</f>
        <v>No irritante</v>
      </c>
      <c r="CC174" s="6" t="str">
        <f t="shared" si="74"/>
        <v>Sin Omega 3 para evaluar</v>
      </c>
    </row>
    <row r="175" spans="1:81" ht="15" customHeight="1" x14ac:dyDescent="0.3">
      <c r="A175" s="2">
        <f t="shared" si="75"/>
        <v>174</v>
      </c>
      <c r="B175" s="3" t="s">
        <v>234</v>
      </c>
      <c r="C175" s="3" t="s">
        <v>255</v>
      </c>
      <c r="D175" s="3" t="s">
        <v>285</v>
      </c>
      <c r="E175" s="3"/>
      <c r="F175" s="4">
        <v>1.5</v>
      </c>
      <c r="G175" s="5">
        <v>1</v>
      </c>
      <c r="H175" s="5">
        <v>45</v>
      </c>
      <c r="I175" s="5">
        <v>88.4</v>
      </c>
      <c r="J175" s="5">
        <v>0</v>
      </c>
      <c r="K175" s="5">
        <v>1.2</v>
      </c>
      <c r="L175" s="5">
        <v>6.2</v>
      </c>
      <c r="M175" s="5">
        <v>0</v>
      </c>
      <c r="N175" s="5">
        <v>6.2</v>
      </c>
      <c r="O175" s="5">
        <v>0</v>
      </c>
      <c r="P175" s="5">
        <v>3.2</v>
      </c>
      <c r="Q175" s="5">
        <v>1</v>
      </c>
      <c r="R175" s="5">
        <v>0</v>
      </c>
      <c r="S175" s="5">
        <v>0.4</v>
      </c>
      <c r="T175" s="5">
        <v>0.4</v>
      </c>
      <c r="U175" s="5">
        <v>0</v>
      </c>
      <c r="V175" s="5">
        <v>45</v>
      </c>
      <c r="W175" s="5">
        <v>0</v>
      </c>
      <c r="X175" s="5">
        <v>270</v>
      </c>
      <c r="Y175" s="5">
        <v>0</v>
      </c>
      <c r="Z175" s="5">
        <v>0.72</v>
      </c>
      <c r="AA175" s="5">
        <v>10</v>
      </c>
      <c r="AB175" s="5">
        <v>0.03</v>
      </c>
      <c r="AC175" s="5">
        <v>0.04</v>
      </c>
      <c r="AD175" s="5">
        <v>0.6</v>
      </c>
      <c r="AE175" s="5">
        <v>0.05</v>
      </c>
      <c r="AF175" s="5">
        <v>34</v>
      </c>
      <c r="AG175" s="5">
        <v>0</v>
      </c>
      <c r="AH175" s="5">
        <v>0.22</v>
      </c>
      <c r="AI175" s="5">
        <v>0.4</v>
      </c>
      <c r="AJ175" s="5">
        <v>17</v>
      </c>
      <c r="AK175" s="5">
        <v>44</v>
      </c>
      <c r="AL175" s="5">
        <v>30</v>
      </c>
      <c r="AM175" s="5">
        <v>0.9</v>
      </c>
      <c r="AN175" s="5">
        <v>0.4</v>
      </c>
      <c r="AO175" s="5">
        <v>0.19</v>
      </c>
      <c r="AP175" s="5">
        <v>30</v>
      </c>
      <c r="AQ175" s="5">
        <v>2.4</v>
      </c>
      <c r="AR175" s="5">
        <v>190</v>
      </c>
      <c r="AS175" s="5">
        <v>0.89</v>
      </c>
      <c r="AT175" s="5">
        <v>0.11</v>
      </c>
      <c r="AU175" s="5">
        <v>0</v>
      </c>
      <c r="AV175" s="5">
        <f>IFERROR(VLOOKUP(IFERROR(VLOOKUP(D175,Mapa_Similitud!$A$2:$B$2000,2,FALSE()),D175),Hoja1!$A$2:$K$1000,2,FALSE()),IFERROR(VLOOKUP(IFERROR(VLOOKUP(D175,Mapa_Similitud!$A$2:$B$2000,2,FALSE()),D175),Omega3_Referencia!$A$2:$E$100,3,FALSE()),0))</f>
        <v>0.08</v>
      </c>
      <c r="AW175" s="3" t="str">
        <f>IFERROR(VLOOKUP(IFERROR(VLOOKUP(D175,Mapa_Similitud!$A$2:$B$2000,2,FALSE()),D175),Hoja1!$A$2:$K$1000,3,FALSE()),IFERROR(VLOOKUP(IFERROR(VLOOKUP(D175,Mapa_Similitud!$A$2:$B$2000,2,FALSE()),D175),Omega3_Referencia!$A$2:$E$100,4,FALSE()),"N/A"))</f>
        <v>ALA</v>
      </c>
      <c r="AX175" s="5">
        <f>IFERROR(VLOOKUP(IFERROR(VLOOKUP(D175,Mapa_Similitud!$A$2:$B$2000,2,FALSE()),D175),Hoja1!$A$2:$K$1000,5,FALSE()),0)</f>
        <v>0</v>
      </c>
      <c r="AY175" s="5">
        <f>IFERROR(VLOOKUP(IFERROR(VLOOKUP(D175,Mapa_Similitud!$A$2:$B$2000,2,FALSE()),D175),Hoja1!$A$2:$K$1000,7,FALSE()),0)</f>
        <v>320</v>
      </c>
      <c r="AZ175" s="5">
        <f>IFERROR(VLOOKUP(IFERROR(VLOOKUP(D175,Mapa_Similitud!$A$2:$B$2000,2,FALSE()),D175),Hoja1!$A$2:$K$1000,9,FALSE()),0)</f>
        <v>0</v>
      </c>
      <c r="BA175" s="25">
        <f t="shared" si="58"/>
        <v>2.6666666666666665E-2</v>
      </c>
      <c r="BB175" s="25">
        <f t="shared" si="59"/>
        <v>7.1111111111111111E-2</v>
      </c>
      <c r="BC175" s="25">
        <f t="shared" si="60"/>
        <v>0.97777777777777775</v>
      </c>
      <c r="BD175" s="25">
        <f t="shared" si="61"/>
        <v>0.02</v>
      </c>
      <c r="BE175" s="25">
        <f t="shared" si="62"/>
        <v>5.333333333333333E-2</v>
      </c>
      <c r="BF175" s="25">
        <f t="shared" si="63"/>
        <v>0</v>
      </c>
      <c r="BG175" s="25">
        <f t="shared" si="64"/>
        <v>1.4666666666666666</v>
      </c>
      <c r="BH175" s="25">
        <f t="shared" si="65"/>
        <v>0</v>
      </c>
      <c r="BI175" s="25">
        <f t="shared" si="66"/>
        <v>1.2631578947368421E-2</v>
      </c>
      <c r="BJ175" s="25">
        <f t="shared" si="67"/>
        <v>1</v>
      </c>
      <c r="BK175" s="25">
        <f t="shared" si="68"/>
        <v>0.5161290322580645</v>
      </c>
      <c r="BL175" s="25">
        <f t="shared" si="69"/>
        <v>0.2</v>
      </c>
      <c r="BM175" s="25">
        <f t="shared" si="70"/>
        <v>0.66666666666666663</v>
      </c>
      <c r="BN175" s="18" t="str">
        <f t="shared" si="76"/>
        <v>Baja fuente de proteína</v>
      </c>
      <c r="BO175" s="18" t="str">
        <f t="shared" si="77"/>
        <v>Alta fuente de fibra</v>
      </c>
      <c r="BP175" s="18" t="str">
        <f t="shared" si="78"/>
        <v>Media fuente de calcio</v>
      </c>
      <c r="BQ175" s="18" t="str">
        <f t="shared" si="79"/>
        <v>Alta fuente de hierro</v>
      </c>
      <c r="BR175" s="18" t="str">
        <f t="shared" si="80"/>
        <v>Bajo en sodio</v>
      </c>
      <c r="BS175" s="6" t="str">
        <f t="shared" si="71"/>
        <v>Proinflamatorio</v>
      </c>
      <c r="BT175" s="6" t="str">
        <f t="shared" si="72"/>
        <v>Bajo en grasas</v>
      </c>
      <c r="BU175" s="18" t="str">
        <f t="shared" si="81"/>
        <v>Equilibrio de líquidos ideal</v>
      </c>
      <c r="BV175" s="18" t="str">
        <f t="shared" si="82"/>
        <v>Alta fuente de magnesio</v>
      </c>
      <c r="BW175" s="18" t="str">
        <f t="shared" si="83"/>
        <v>Sin aporte de Omega 3</v>
      </c>
      <c r="BX175" s="18" t="str">
        <f t="shared" si="84"/>
        <v>Libre de grasas trans</v>
      </c>
      <c r="BY175" s="18" t="str">
        <f t="shared" si="85"/>
        <v>Alto poder antioxidante</v>
      </c>
      <c r="BZ175" s="6" t="str">
        <f t="shared" si="73"/>
        <v>Sin probióticos</v>
      </c>
      <c r="CA175" s="18" t="str">
        <f t="shared" si="86"/>
        <v>Antiinflamatorio</v>
      </c>
      <c r="CB175" s="18" t="str">
        <f>IF(ISNUMBER(SEARCH("miel", D175)), "No irritante (Uso condicionado SII)", IF(OR(J175&gt;0, ISNUMBER(SEARCH("cacao", D175)), ISNUMBER(SEARCH("chocolate puro", D175))), "Altamente irritante", IF(OR(AND(O175&gt;15, BI175&gt;1), ISNUMBER(SEARCH("chocolate", D175))), "Moderadamente irritante", "No irritante")))</f>
        <v>No irritante</v>
      </c>
      <c r="CC175" s="6" t="str">
        <f t="shared" si="74"/>
        <v>Balance de omegas favorable</v>
      </c>
    </row>
    <row r="176" spans="1:81" ht="15" customHeight="1" x14ac:dyDescent="0.3">
      <c r="A176" s="2">
        <f t="shared" si="75"/>
        <v>175</v>
      </c>
      <c r="B176" s="3" t="s">
        <v>234</v>
      </c>
      <c r="C176" s="3" t="s">
        <v>255</v>
      </c>
      <c r="D176" s="3" t="s">
        <v>286</v>
      </c>
      <c r="E176" s="3"/>
      <c r="F176" s="4">
        <v>0.5</v>
      </c>
      <c r="G176" s="5">
        <v>0.7</v>
      </c>
      <c r="H176" s="5">
        <v>45.5</v>
      </c>
      <c r="I176" s="5">
        <v>87.7</v>
      </c>
      <c r="J176" s="5">
        <v>0</v>
      </c>
      <c r="K176" s="5">
        <v>0.87</v>
      </c>
      <c r="L176" s="5">
        <v>8.9</v>
      </c>
      <c r="M176" s="5">
        <v>0</v>
      </c>
      <c r="N176" s="5">
        <v>8.9</v>
      </c>
      <c r="O176" s="5">
        <v>0</v>
      </c>
      <c r="P176" s="5">
        <v>2.2999999999999998</v>
      </c>
      <c r="Q176" s="5">
        <v>0.2</v>
      </c>
      <c r="R176" s="5">
        <v>2.8000000000000001E-2</v>
      </c>
      <c r="S176" s="5">
        <v>5.5E-2</v>
      </c>
      <c r="T176" s="5">
        <v>7.5999999999999998E-2</v>
      </c>
      <c r="U176" s="5">
        <v>0</v>
      </c>
      <c r="V176" s="5">
        <v>33.5</v>
      </c>
      <c r="W176" s="5">
        <v>0</v>
      </c>
      <c r="X176" s="5">
        <v>201</v>
      </c>
      <c r="Y176" s="5">
        <v>0</v>
      </c>
      <c r="Z176" s="5">
        <v>0.81</v>
      </c>
      <c r="AA176" s="5">
        <v>3.8</v>
      </c>
      <c r="AB176" s="5">
        <v>0.08</v>
      </c>
      <c r="AC176" s="5">
        <v>0.04</v>
      </c>
      <c r="AD176" s="5">
        <v>0.48</v>
      </c>
      <c r="AE176" s="5">
        <v>0.06</v>
      </c>
      <c r="AF176" s="5">
        <v>38.700000000000003</v>
      </c>
      <c r="AG176" s="5">
        <v>0</v>
      </c>
      <c r="AH176" s="5">
        <v>0.37</v>
      </c>
      <c r="AI176" s="5">
        <v>1</v>
      </c>
      <c r="AJ176" s="5">
        <v>50.6</v>
      </c>
      <c r="AK176" s="5">
        <v>41</v>
      </c>
      <c r="AL176" s="5">
        <v>20</v>
      </c>
      <c r="AM176" s="5">
        <v>0.49</v>
      </c>
      <c r="AN176" s="5">
        <v>2.1</v>
      </c>
      <c r="AO176" s="5">
        <v>0.15</v>
      </c>
      <c r="AP176" s="5">
        <v>15.2</v>
      </c>
      <c r="AQ176" s="5">
        <v>1.4</v>
      </c>
      <c r="AR176" s="5">
        <v>165</v>
      </c>
      <c r="AS176" s="5">
        <v>3.5000000000000003E-2</v>
      </c>
      <c r="AT176" s="5">
        <v>5.2999999999999999E-2</v>
      </c>
      <c r="AU176" s="5">
        <v>1.2</v>
      </c>
      <c r="AV176" s="5">
        <f>IFERROR(VLOOKUP(IFERROR(VLOOKUP(D176,Mapa_Similitud!$A$2:$B$2000,2,FALSE()),D176),Hoja1!$A$2:$K$1000,2,FALSE()),IFERROR(VLOOKUP(IFERROR(VLOOKUP(D176,Mapa_Similitud!$A$2:$B$2000,2,FALSE()),D176),Omega3_Referencia!$A$2:$E$100,3,FALSE()),0))</f>
        <v>0.01</v>
      </c>
      <c r="AW176" s="3" t="str">
        <f>IFERROR(VLOOKUP(IFERROR(VLOOKUP(D176,Mapa_Similitud!$A$2:$B$2000,2,FALSE()),D176),Hoja1!$A$2:$K$1000,3,FALSE()),IFERROR(VLOOKUP(IFERROR(VLOOKUP(D176,Mapa_Similitud!$A$2:$B$2000,2,FALSE()),D176),Omega3_Referencia!$A$2:$E$100,4,FALSE()),"N/A"))</f>
        <v>ALA</v>
      </c>
      <c r="AX176" s="5">
        <f>IFERROR(VLOOKUP(IFERROR(VLOOKUP(D176,Mapa_Similitud!$A$2:$B$2000,2,FALSE()),D176),Hoja1!$A$2:$K$1000,5,FALSE()),0)</f>
        <v>0</v>
      </c>
      <c r="AY176" s="5">
        <f>IFERROR(VLOOKUP(IFERROR(VLOOKUP(D176,Mapa_Similitud!$A$2:$B$2000,2,FALSE()),D176),Hoja1!$A$2:$K$1000,7,FALSE()),0)</f>
        <v>85</v>
      </c>
      <c r="AZ176" s="5">
        <f>IFERROR(VLOOKUP(IFERROR(VLOOKUP(D176,Mapa_Similitud!$A$2:$B$2000,2,FALSE()),D176),Hoja1!$A$2:$K$1000,9,FALSE()),0)</f>
        <v>0</v>
      </c>
      <c r="BA176" s="25">
        <f t="shared" si="58"/>
        <v>1.912087912087912E-2</v>
      </c>
      <c r="BB176" s="25">
        <f t="shared" si="59"/>
        <v>5.0549450549450543E-2</v>
      </c>
      <c r="BC176" s="25">
        <f t="shared" si="60"/>
        <v>0.90109890109890112</v>
      </c>
      <c r="BD176" s="25">
        <f t="shared" si="61"/>
        <v>1.0769230769230769E-2</v>
      </c>
      <c r="BE176" s="25">
        <f t="shared" si="62"/>
        <v>3.0769230769230767E-2</v>
      </c>
      <c r="BF176" s="25">
        <f t="shared" si="63"/>
        <v>2.714285714285714</v>
      </c>
      <c r="BG176" s="25">
        <f t="shared" si="64"/>
        <v>2.0499999999999998</v>
      </c>
      <c r="BH176" s="25">
        <f t="shared" si="65"/>
        <v>0.13999999999999999</v>
      </c>
      <c r="BI176" s="25">
        <f t="shared" si="66"/>
        <v>8.484848484848484E-3</v>
      </c>
      <c r="BJ176" s="25">
        <f t="shared" si="67"/>
        <v>1</v>
      </c>
      <c r="BK176" s="25">
        <f t="shared" si="68"/>
        <v>0.2584269662921348</v>
      </c>
      <c r="BL176" s="25">
        <f t="shared" si="69"/>
        <v>3.9560439560439559E-2</v>
      </c>
      <c r="BM176" s="25">
        <f t="shared" si="70"/>
        <v>0.33406593406593404</v>
      </c>
      <c r="BN176" s="18" t="str">
        <f t="shared" si="76"/>
        <v>Baja fuente de proteína</v>
      </c>
      <c r="BO176" s="18" t="str">
        <f t="shared" si="77"/>
        <v>Alta fuente de fibra</v>
      </c>
      <c r="BP176" s="18" t="str">
        <f t="shared" si="78"/>
        <v>Media fuente de calcio</v>
      </c>
      <c r="BQ176" s="18" t="str">
        <f t="shared" si="79"/>
        <v>Media fuente de hierro</v>
      </c>
      <c r="BR176" s="18" t="str">
        <f t="shared" si="80"/>
        <v>Bajo en sodio</v>
      </c>
      <c r="BS176" s="6" t="str">
        <f t="shared" si="71"/>
        <v>Altamente antiinflamatorio</v>
      </c>
      <c r="BT176" s="6" t="str">
        <f t="shared" si="72"/>
        <v>Bajo en grasas</v>
      </c>
      <c r="BU176" s="18" t="str">
        <f t="shared" si="81"/>
        <v>Equilibrio de líquidos ideal</v>
      </c>
      <c r="BV176" s="18" t="str">
        <f t="shared" si="82"/>
        <v>Media fuente de magnesio</v>
      </c>
      <c r="BW176" s="18" t="str">
        <f t="shared" si="83"/>
        <v>Sin aporte de Omega 3</v>
      </c>
      <c r="BX176" s="18" t="str">
        <f t="shared" si="84"/>
        <v>Libre de grasas trans</v>
      </c>
      <c r="BY176" s="18" t="str">
        <f t="shared" si="85"/>
        <v>Alto poder antioxidante</v>
      </c>
      <c r="BZ176" s="6" t="str">
        <f t="shared" si="73"/>
        <v>Sin probióticos</v>
      </c>
      <c r="CA176" s="18" t="str">
        <f t="shared" si="86"/>
        <v>Antiinflamatorio</v>
      </c>
      <c r="CB176" s="18" t="str">
        <f>IF(ISNUMBER(SEARCH("miel", D176)), "No irritante (Uso condicionado SII)", IF(OR(J176&gt;0, ISNUMBER(SEARCH("cacao", D176)), ISNUMBER(SEARCH("chocolate puro", D176))), "Altamente irritante", IF(OR(AND(O176&gt;15, BI176&gt;1), ISNUMBER(SEARCH("chocolate", D176))), "Moderadamente irritante", "No irritante")))</f>
        <v>No irritante</v>
      </c>
      <c r="CC176" s="6" t="str">
        <f t="shared" si="74"/>
        <v>Exceso relativo de Omega 6</v>
      </c>
    </row>
    <row r="177" spans="1:81" ht="15" customHeight="1" x14ac:dyDescent="0.3">
      <c r="A177" s="2">
        <f t="shared" si="75"/>
        <v>176</v>
      </c>
      <c r="B177" s="3" t="s">
        <v>234</v>
      </c>
      <c r="C177" s="3" t="s">
        <v>255</v>
      </c>
      <c r="D177" s="3" t="s">
        <v>287</v>
      </c>
      <c r="E177" s="3"/>
      <c r="F177" s="4">
        <v>3</v>
      </c>
      <c r="G177" s="5">
        <v>0.9</v>
      </c>
      <c r="H177" s="5">
        <v>49.7</v>
      </c>
      <c r="I177" s="5">
        <v>86.6</v>
      </c>
      <c r="J177" s="5">
        <v>0</v>
      </c>
      <c r="K177" s="5">
        <v>0.9</v>
      </c>
      <c r="L177" s="5">
        <v>10.199999999999999</v>
      </c>
      <c r="M177" s="5">
        <v>0</v>
      </c>
      <c r="N177" s="5">
        <v>10.199999999999999</v>
      </c>
      <c r="O177" s="5">
        <v>0</v>
      </c>
      <c r="P177" s="5">
        <v>2.2000000000000002</v>
      </c>
      <c r="Q177" s="5">
        <v>0.1</v>
      </c>
      <c r="R177" s="5">
        <v>1.0999999999999999E-2</v>
      </c>
      <c r="S177" s="5">
        <v>3.3000000000000002E-2</v>
      </c>
      <c r="T177" s="5">
        <v>4.9000000000000002E-2</v>
      </c>
      <c r="U177" s="5">
        <v>0</v>
      </c>
      <c r="V177" s="5">
        <v>8.6999999999999993</v>
      </c>
      <c r="W177" s="5">
        <v>0</v>
      </c>
      <c r="X177" s="5">
        <v>52</v>
      </c>
      <c r="Y177" s="5">
        <v>0</v>
      </c>
      <c r="Z177" s="5">
        <v>0.5</v>
      </c>
      <c r="AA177" s="5">
        <v>3</v>
      </c>
      <c r="AB177" s="5">
        <v>0.02</v>
      </c>
      <c r="AC177" s="5">
        <v>0.04</v>
      </c>
      <c r="AD177" s="5">
        <v>0.8</v>
      </c>
      <c r="AE177" s="5">
        <v>0.03</v>
      </c>
      <c r="AF177" s="5">
        <v>9</v>
      </c>
      <c r="AG177" s="5">
        <v>0</v>
      </c>
      <c r="AH177" s="5">
        <v>0.16</v>
      </c>
      <c r="AI177" s="5">
        <v>0.2</v>
      </c>
      <c r="AJ177" s="5">
        <v>37</v>
      </c>
      <c r="AK177" s="5">
        <v>7</v>
      </c>
      <c r="AL177" s="5">
        <v>22</v>
      </c>
      <c r="AM177" s="5">
        <v>0.4</v>
      </c>
      <c r="AN177" s="5">
        <v>3</v>
      </c>
      <c r="AO177" s="5">
        <v>0.1</v>
      </c>
      <c r="AP177" s="5">
        <v>10</v>
      </c>
      <c r="AQ177" s="5">
        <v>1</v>
      </c>
      <c r="AR177" s="5">
        <v>170</v>
      </c>
      <c r="AS177" s="5">
        <v>0.1</v>
      </c>
      <c r="AT177" s="5">
        <v>0.06</v>
      </c>
      <c r="AU177" s="5">
        <v>1</v>
      </c>
      <c r="AV177" s="5">
        <f>IFERROR(VLOOKUP(IFERROR(VLOOKUP(D177,Mapa_Similitud!$A$2:$B$2000,2,FALSE()),D177),Hoja1!$A$2:$K$1000,2,FALSE()),IFERROR(VLOOKUP(IFERROR(VLOOKUP(D177,Mapa_Similitud!$A$2:$B$2000,2,FALSE()),D177),Omega3_Referencia!$A$2:$E$100,3,FALSE()),0))</f>
        <v>0</v>
      </c>
      <c r="AW177" s="3" t="str">
        <f>IFERROR(VLOOKUP(IFERROR(VLOOKUP(D177,Mapa_Similitud!$A$2:$B$2000,2,FALSE()),D177),Hoja1!$A$2:$K$1000,3,FALSE()),IFERROR(VLOOKUP(IFERROR(VLOOKUP(D177,Mapa_Similitud!$A$2:$B$2000,2,FALSE()),D177),Omega3_Referencia!$A$2:$E$100,4,FALSE()),"N/A"))</f>
        <v>N/A</v>
      </c>
      <c r="AX177" s="5">
        <f>IFERROR(VLOOKUP(IFERROR(VLOOKUP(D177,Mapa_Similitud!$A$2:$B$2000,2,FALSE()),D177),Hoja1!$A$2:$K$1000,5,FALSE()),0)</f>
        <v>0</v>
      </c>
      <c r="AY177" s="5">
        <f>IFERROR(VLOOKUP(IFERROR(VLOOKUP(D177,Mapa_Similitud!$A$2:$B$2000,2,FALSE()),D177),Hoja1!$A$2:$K$1000,7,FALSE()),0)</f>
        <v>65</v>
      </c>
      <c r="AZ177" s="5">
        <f>IFERROR(VLOOKUP(IFERROR(VLOOKUP(D177,Mapa_Similitud!$A$2:$B$2000,2,FALSE()),D177),Hoja1!$A$2:$K$1000,9,FALSE()),0)</f>
        <v>0</v>
      </c>
      <c r="BA177" s="25">
        <f t="shared" si="58"/>
        <v>1.8108651911468814E-2</v>
      </c>
      <c r="BB177" s="25">
        <f t="shared" si="59"/>
        <v>4.4265593561368208E-2</v>
      </c>
      <c r="BC177" s="25">
        <f t="shared" si="60"/>
        <v>0.14084507042253519</v>
      </c>
      <c r="BD177" s="25">
        <f t="shared" si="61"/>
        <v>8.0482897384305842E-3</v>
      </c>
      <c r="BE177" s="25">
        <f t="shared" si="62"/>
        <v>2.0120724346076459E-2</v>
      </c>
      <c r="BF177" s="25">
        <f t="shared" si="63"/>
        <v>4.454545454545455</v>
      </c>
      <c r="BG177" s="25">
        <f t="shared" si="64"/>
        <v>0.31818181818181818</v>
      </c>
      <c r="BH177" s="25">
        <f t="shared" si="65"/>
        <v>0.10999999999999999</v>
      </c>
      <c r="BI177" s="25">
        <f t="shared" si="66"/>
        <v>5.8823529411764705E-3</v>
      </c>
      <c r="BJ177" s="25">
        <f t="shared" si="67"/>
        <v>1</v>
      </c>
      <c r="BK177" s="25">
        <f t="shared" si="68"/>
        <v>0.21568627450980396</v>
      </c>
      <c r="BL177" s="25">
        <f t="shared" si="69"/>
        <v>1.8108651911468814E-2</v>
      </c>
      <c r="BM177" s="25">
        <f t="shared" si="70"/>
        <v>0.20120724346076457</v>
      </c>
      <c r="BN177" s="18" t="str">
        <f t="shared" si="76"/>
        <v>Baja fuente de proteína</v>
      </c>
      <c r="BO177" s="18" t="str">
        <f t="shared" si="77"/>
        <v>Alta fuente de fibra</v>
      </c>
      <c r="BP177" s="18" t="str">
        <f t="shared" si="78"/>
        <v>Baja fuente de calcio</v>
      </c>
      <c r="BQ177" s="18" t="str">
        <f t="shared" si="79"/>
        <v>Media fuente de hierro</v>
      </c>
      <c r="BR177" s="18" t="str">
        <f t="shared" si="80"/>
        <v>Bajo en sodio</v>
      </c>
      <c r="BS177" s="6" t="str">
        <f t="shared" si="71"/>
        <v>Altamente antiinflamatorio</v>
      </c>
      <c r="BT177" s="6" t="str">
        <f t="shared" si="72"/>
        <v>Bajo en grasas</v>
      </c>
      <c r="BU177" s="18" t="str">
        <f t="shared" si="81"/>
        <v>Equilibrio de líquidos ideal</v>
      </c>
      <c r="BV177" s="18" t="str">
        <f t="shared" si="82"/>
        <v>Media fuente de magnesio</v>
      </c>
      <c r="BW177" s="18" t="str">
        <f t="shared" si="83"/>
        <v>Sin aporte de Omega 3</v>
      </c>
      <c r="BX177" s="18" t="str">
        <f t="shared" si="84"/>
        <v>Libre de grasas trans</v>
      </c>
      <c r="BY177" s="18" t="str">
        <f t="shared" si="85"/>
        <v>Alto poder antioxidante</v>
      </c>
      <c r="BZ177" s="6" t="str">
        <f t="shared" si="73"/>
        <v>Sin probióticos</v>
      </c>
      <c r="CA177" s="18" t="str">
        <f t="shared" si="86"/>
        <v>Antiinflamatorio</v>
      </c>
      <c r="CB177" s="18" t="str">
        <f>IF(ISNUMBER(SEARCH("miel", D177)), "No irritante (Uso condicionado SII)", IF(OR(J177&gt;0, ISNUMBER(SEARCH("cacao", D177)), ISNUMBER(SEARCH("chocolate puro", D177))), "Altamente irritante", IF(OR(AND(O177&gt;15, BI177&gt;1), ISNUMBER(SEARCH("chocolate", D177))), "Moderadamente irritante", "No irritante")))</f>
        <v>No irritante</v>
      </c>
      <c r="CC177" s="6" t="str">
        <f t="shared" si="74"/>
        <v>Sin Omega 3 para evaluar</v>
      </c>
    </row>
    <row r="178" spans="1:81" ht="15" customHeight="1" x14ac:dyDescent="0.3">
      <c r="A178" s="2">
        <f t="shared" si="75"/>
        <v>177</v>
      </c>
      <c r="B178" s="3" t="s">
        <v>234</v>
      </c>
      <c r="C178" s="3" t="s">
        <v>255</v>
      </c>
      <c r="D178" s="3" t="s">
        <v>288</v>
      </c>
      <c r="E178" s="3"/>
      <c r="F178" s="4">
        <v>2</v>
      </c>
      <c r="G178" s="5">
        <v>0.62</v>
      </c>
      <c r="H178" s="5">
        <v>42.6</v>
      </c>
      <c r="I178" s="5">
        <v>88.6</v>
      </c>
      <c r="J178" s="5">
        <v>0</v>
      </c>
      <c r="K178" s="5">
        <v>0.56000000000000005</v>
      </c>
      <c r="L178" s="5">
        <v>8.6</v>
      </c>
      <c r="M178" s="5">
        <v>0</v>
      </c>
      <c r="N178" s="5">
        <v>8.6</v>
      </c>
      <c r="O178" s="5">
        <v>0</v>
      </c>
      <c r="P178" s="5">
        <v>2.1</v>
      </c>
      <c r="Q178" s="5">
        <v>0.2</v>
      </c>
      <c r="R178" s="5">
        <v>4.2999999999999997E-2</v>
      </c>
      <c r="S178" s="5">
        <v>9.1000000000000004E-3</v>
      </c>
      <c r="T178" s="5">
        <v>0.1</v>
      </c>
      <c r="U178" s="5">
        <v>0</v>
      </c>
      <c r="V178" s="5">
        <v>133</v>
      </c>
      <c r="W178" s="5">
        <v>0</v>
      </c>
      <c r="X178" s="5">
        <v>800</v>
      </c>
      <c r="Y178" s="5">
        <v>0</v>
      </c>
      <c r="Z178" s="5">
        <v>0.89</v>
      </c>
      <c r="AA178" s="5">
        <v>3.3</v>
      </c>
      <c r="AB178" s="5">
        <v>0.02</v>
      </c>
      <c r="AC178" s="5">
        <v>0.03</v>
      </c>
      <c r="AD178" s="5">
        <v>0.35</v>
      </c>
      <c r="AE178" s="5">
        <v>0.02</v>
      </c>
      <c r="AF178" s="5">
        <v>23</v>
      </c>
      <c r="AG178" s="5">
        <v>0</v>
      </c>
      <c r="AH178" s="5">
        <v>0.27</v>
      </c>
      <c r="AI178" s="5">
        <v>0</v>
      </c>
      <c r="AJ178" s="5">
        <v>4</v>
      </c>
      <c r="AK178" s="5">
        <v>19</v>
      </c>
      <c r="AL178" s="5">
        <v>23</v>
      </c>
      <c r="AM178" s="5">
        <v>0.3</v>
      </c>
      <c r="AN178" s="5">
        <v>1</v>
      </c>
      <c r="AO178" s="5">
        <v>0.05</v>
      </c>
      <c r="AP178" s="5">
        <v>10</v>
      </c>
      <c r="AQ178" s="5">
        <v>4</v>
      </c>
      <c r="AR178" s="5">
        <v>263</v>
      </c>
      <c r="AS178" s="5">
        <v>0.15</v>
      </c>
      <c r="AT178" s="5">
        <v>0.04</v>
      </c>
      <c r="AU178" s="5">
        <v>0.5</v>
      </c>
      <c r="AV178" s="5">
        <f>IFERROR(VLOOKUP(IFERROR(VLOOKUP(D178,Mapa_Similitud!$A$2:$B$2000,2,FALSE()),D178),Hoja1!$A$2:$K$1000,2,FALSE()),IFERROR(VLOOKUP(IFERROR(VLOOKUP(D178,Mapa_Similitud!$A$2:$B$2000,2,FALSE()),D178),Omega3_Referencia!$A$2:$E$100,3,FALSE()),0))</f>
        <v>0.01</v>
      </c>
      <c r="AW178" s="3" t="str">
        <f>IFERROR(VLOOKUP(IFERROR(VLOOKUP(D178,Mapa_Similitud!$A$2:$B$2000,2,FALSE()),D178),Hoja1!$A$2:$K$1000,3,FALSE()),IFERROR(VLOOKUP(IFERROR(VLOOKUP(D178,Mapa_Similitud!$A$2:$B$2000,2,FALSE()),D178),Omega3_Referencia!$A$2:$E$100,4,FALSE()),"N/A"))</f>
        <v>ALA</v>
      </c>
      <c r="AX178" s="5">
        <f>IFERROR(VLOOKUP(IFERROR(VLOOKUP(D178,Mapa_Similitud!$A$2:$B$2000,2,FALSE()),D178),Hoja1!$A$2:$K$1000,5,FALSE()),0)</f>
        <v>0</v>
      </c>
      <c r="AY178" s="5">
        <f>IFERROR(VLOOKUP(IFERROR(VLOOKUP(D178,Mapa_Similitud!$A$2:$B$2000,2,FALSE()),D178),Hoja1!$A$2:$K$1000,7,FALSE()),0)</f>
        <v>50</v>
      </c>
      <c r="AZ178" s="5">
        <f>IFERROR(VLOOKUP(IFERROR(VLOOKUP(D178,Mapa_Similitud!$A$2:$B$2000,2,FALSE()),D178),Hoja1!$A$2:$K$1000,9,FALSE()),0)</f>
        <v>0</v>
      </c>
      <c r="BA178" s="25">
        <f t="shared" si="58"/>
        <v>1.3145539906103287E-2</v>
      </c>
      <c r="BB178" s="25">
        <f t="shared" si="59"/>
        <v>4.9295774647887328E-2</v>
      </c>
      <c r="BC178" s="25">
        <f t="shared" si="60"/>
        <v>0.4460093896713615</v>
      </c>
      <c r="BD178" s="25">
        <f t="shared" si="61"/>
        <v>7.0422535211267599E-3</v>
      </c>
      <c r="BE178" s="25">
        <f t="shared" si="62"/>
        <v>9.3896713615023469E-2</v>
      </c>
      <c r="BF178" s="25">
        <f t="shared" si="63"/>
        <v>2.3255813953488373</v>
      </c>
      <c r="BG178" s="25">
        <f t="shared" si="64"/>
        <v>0.82608695652173914</v>
      </c>
      <c r="BH178" s="25">
        <f t="shared" si="65"/>
        <v>0.21499999999999997</v>
      </c>
      <c r="BI178" s="25">
        <f t="shared" si="66"/>
        <v>1.5209125475285171E-2</v>
      </c>
      <c r="BJ178" s="25">
        <f t="shared" si="67"/>
        <v>1</v>
      </c>
      <c r="BK178" s="25">
        <f t="shared" si="68"/>
        <v>0.24418604651162792</v>
      </c>
      <c r="BL178" s="25">
        <f t="shared" si="69"/>
        <v>4.2253521126760563E-2</v>
      </c>
      <c r="BM178" s="25">
        <f t="shared" si="70"/>
        <v>0.23474178403755869</v>
      </c>
      <c r="BN178" s="18" t="str">
        <f t="shared" si="76"/>
        <v>Baja fuente de proteína</v>
      </c>
      <c r="BO178" s="18" t="str">
        <f t="shared" si="77"/>
        <v>Alta fuente de fibra</v>
      </c>
      <c r="BP178" s="18" t="str">
        <f t="shared" si="78"/>
        <v>Baja fuente de calcio</v>
      </c>
      <c r="BQ178" s="18" t="str">
        <f t="shared" si="79"/>
        <v>Baja fuente de hierro</v>
      </c>
      <c r="BR178" s="18" t="str">
        <f t="shared" si="80"/>
        <v>Bajo en sodio</v>
      </c>
      <c r="BS178" s="6" t="str">
        <f t="shared" si="71"/>
        <v>Altamente antiinflamatorio</v>
      </c>
      <c r="BT178" s="6" t="str">
        <f t="shared" si="72"/>
        <v>Bajo en grasas</v>
      </c>
      <c r="BU178" s="18" t="str">
        <f t="shared" si="81"/>
        <v>Equilibrio de líquidos ideal</v>
      </c>
      <c r="BV178" s="18" t="str">
        <f t="shared" si="82"/>
        <v>Media fuente de magnesio</v>
      </c>
      <c r="BW178" s="18" t="str">
        <f t="shared" si="83"/>
        <v>Sin aporte de Omega 3</v>
      </c>
      <c r="BX178" s="18" t="str">
        <f t="shared" si="84"/>
        <v>Libre de grasas trans</v>
      </c>
      <c r="BY178" s="18" t="str">
        <f t="shared" si="85"/>
        <v>Alto poder antioxidante</v>
      </c>
      <c r="BZ178" s="6" t="str">
        <f t="shared" si="73"/>
        <v>Sin probióticos</v>
      </c>
      <c r="CA178" s="18" t="str">
        <f t="shared" si="86"/>
        <v>Antiinflamatorio</v>
      </c>
      <c r="CB178" s="18" t="str">
        <f>IF(ISNUMBER(SEARCH("miel", D178)), "No irritante (Uso condicionado SII)", IF(OR(J178&gt;0, ISNUMBER(SEARCH("cacao", D178)), ISNUMBER(SEARCH("chocolate puro", D178))), "Altamente irritante", IF(OR(AND(O178&gt;15, BI178&gt;1), ISNUMBER(SEARCH("chocolate", D178))), "Moderadamente irritante", "No irritante")))</f>
        <v>No irritante</v>
      </c>
      <c r="CC178" s="6" t="str">
        <f t="shared" si="74"/>
        <v>Exceso relativo de Omega 6</v>
      </c>
    </row>
    <row r="179" spans="1:81" ht="15" customHeight="1" x14ac:dyDescent="0.3">
      <c r="A179" s="2">
        <f t="shared" si="75"/>
        <v>178</v>
      </c>
      <c r="B179" s="3" t="s">
        <v>234</v>
      </c>
      <c r="C179" s="3" t="s">
        <v>255</v>
      </c>
      <c r="D179" s="3" t="s">
        <v>289</v>
      </c>
      <c r="E179" s="3"/>
      <c r="F179" s="4">
        <v>0.5</v>
      </c>
      <c r="G179" s="5">
        <v>0.72</v>
      </c>
      <c r="H179" s="5">
        <v>35</v>
      </c>
      <c r="I179" s="5">
        <v>90.4</v>
      </c>
      <c r="J179" s="5">
        <v>0</v>
      </c>
      <c r="K179" s="5">
        <v>0.5</v>
      </c>
      <c r="L179" s="5">
        <v>7.1</v>
      </c>
      <c r="M179" s="5">
        <v>0</v>
      </c>
      <c r="N179" s="5">
        <v>7.1</v>
      </c>
      <c r="O179" s="5">
        <v>0</v>
      </c>
      <c r="P179" s="5">
        <v>1.9</v>
      </c>
      <c r="Q179" s="5">
        <v>0.09</v>
      </c>
      <c r="R179" s="5">
        <v>2.7E-2</v>
      </c>
      <c r="S179" s="5">
        <v>2.5000000000000001E-2</v>
      </c>
      <c r="T179" s="5">
        <v>0.02</v>
      </c>
      <c r="U179" s="5">
        <v>0</v>
      </c>
      <c r="V179" s="5">
        <v>153</v>
      </c>
      <c r="W179" s="5">
        <v>0</v>
      </c>
      <c r="X179" s="5">
        <v>915</v>
      </c>
      <c r="Y179" s="5">
        <v>0</v>
      </c>
      <c r="Z179" s="5">
        <v>1.1000000000000001</v>
      </c>
      <c r="AA179" s="5">
        <v>2.6</v>
      </c>
      <c r="AB179" s="5">
        <v>0.03</v>
      </c>
      <c r="AC179" s="5">
        <v>3.9E-2</v>
      </c>
      <c r="AD179" s="5">
        <v>0.41</v>
      </c>
      <c r="AE179" s="5">
        <v>0.03</v>
      </c>
      <c r="AF179" s="5">
        <v>38</v>
      </c>
      <c r="AG179" s="5">
        <v>0</v>
      </c>
      <c r="AH179" s="5">
        <v>0.22</v>
      </c>
      <c r="AI179" s="5">
        <v>0</v>
      </c>
      <c r="AJ179" s="5">
        <v>80</v>
      </c>
      <c r="AK179" s="5">
        <v>21</v>
      </c>
      <c r="AL179" s="5">
        <v>13</v>
      </c>
      <c r="AM179" s="5">
        <v>0.42</v>
      </c>
      <c r="AN179" s="5">
        <v>1</v>
      </c>
      <c r="AO179" s="5">
        <v>0.16</v>
      </c>
      <c r="AP179" s="5">
        <v>11</v>
      </c>
      <c r="AQ179" s="5">
        <v>3</v>
      </c>
      <c r="AR179" s="5">
        <v>200</v>
      </c>
      <c r="AS179" s="5">
        <v>2.3E-2</v>
      </c>
      <c r="AT179" s="5">
        <v>3.2000000000000001E-2</v>
      </c>
      <c r="AU179" s="5">
        <v>0.6</v>
      </c>
      <c r="AV179" s="5">
        <f>IFERROR(VLOOKUP(IFERROR(VLOOKUP(D179,Mapa_Similitud!$A$2:$B$2000,2,FALSE()),D179),Hoja1!$A$2:$K$1000,2,FALSE()),IFERROR(VLOOKUP(IFERROR(VLOOKUP(D179,Mapa_Similitud!$A$2:$B$2000,2,FALSE()),D179),Omega3_Referencia!$A$2:$E$100,3,FALSE()),0))</f>
        <v>0.01</v>
      </c>
      <c r="AW179" s="3" t="str">
        <f>IFERROR(VLOOKUP(IFERROR(VLOOKUP(D179,Mapa_Similitud!$A$2:$B$2000,2,FALSE()),D179),Hoja1!$A$2:$K$1000,3,FALSE()),IFERROR(VLOOKUP(IFERROR(VLOOKUP(D179,Mapa_Similitud!$A$2:$B$2000,2,FALSE()),D179),Omega3_Referencia!$A$2:$E$100,4,FALSE()),"N/A"))</f>
        <v>ALA</v>
      </c>
      <c r="AX179" s="5">
        <f>IFERROR(VLOOKUP(IFERROR(VLOOKUP(D179,Mapa_Similitud!$A$2:$B$2000,2,FALSE()),D179),Hoja1!$A$2:$K$1000,5,FALSE()),0)</f>
        <v>0</v>
      </c>
      <c r="AY179" s="5">
        <f>IFERROR(VLOOKUP(IFERROR(VLOOKUP(D179,Mapa_Similitud!$A$2:$B$2000,2,FALSE()),D179),Hoja1!$A$2:$K$1000,7,FALSE()),0)</f>
        <v>45</v>
      </c>
      <c r="AZ179" s="5">
        <f>IFERROR(VLOOKUP(IFERROR(VLOOKUP(D179,Mapa_Similitud!$A$2:$B$2000,2,FALSE()),D179),Hoja1!$A$2:$K$1000,9,FALSE()),0)</f>
        <v>0</v>
      </c>
      <c r="BA179" s="25">
        <f t="shared" si="58"/>
        <v>1.4285714285714285E-2</v>
      </c>
      <c r="BB179" s="25">
        <f t="shared" si="59"/>
        <v>5.4285714285714284E-2</v>
      </c>
      <c r="BC179" s="25">
        <f t="shared" si="60"/>
        <v>0.6</v>
      </c>
      <c r="BD179" s="25">
        <f t="shared" si="61"/>
        <v>1.2E-2</v>
      </c>
      <c r="BE179" s="25">
        <f t="shared" si="62"/>
        <v>8.5714285714285715E-2</v>
      </c>
      <c r="BF179" s="25">
        <f t="shared" si="63"/>
        <v>0.74074074074074081</v>
      </c>
      <c r="BG179" s="25">
        <f t="shared" si="64"/>
        <v>1.6153846153846154</v>
      </c>
      <c r="BH179" s="25">
        <f t="shared" si="65"/>
        <v>0.3</v>
      </c>
      <c r="BI179" s="25">
        <f t="shared" si="66"/>
        <v>1.4999999999999999E-2</v>
      </c>
      <c r="BJ179" s="25">
        <f t="shared" si="67"/>
        <v>1</v>
      </c>
      <c r="BK179" s="25">
        <f t="shared" si="68"/>
        <v>0.26760563380281688</v>
      </c>
      <c r="BL179" s="25">
        <f t="shared" si="69"/>
        <v>2.3142857142857142E-2</v>
      </c>
      <c r="BM179" s="25">
        <f t="shared" si="70"/>
        <v>0.31428571428571428</v>
      </c>
      <c r="BN179" s="18" t="str">
        <f t="shared" si="76"/>
        <v>Baja fuente de proteína</v>
      </c>
      <c r="BO179" s="18" t="str">
        <f t="shared" si="77"/>
        <v>Alta fuente de fibra</v>
      </c>
      <c r="BP179" s="18" t="str">
        <f t="shared" si="78"/>
        <v>Baja fuente de calcio</v>
      </c>
      <c r="BQ179" s="18" t="str">
        <f t="shared" si="79"/>
        <v>Media fuente de hierro</v>
      </c>
      <c r="BR179" s="18" t="str">
        <f t="shared" si="80"/>
        <v>Bajo en sodio</v>
      </c>
      <c r="BS179" s="6" t="str">
        <f t="shared" si="71"/>
        <v>Neutro</v>
      </c>
      <c r="BT179" s="6" t="str">
        <f t="shared" si="72"/>
        <v>Bajo en grasas</v>
      </c>
      <c r="BU179" s="18" t="str">
        <f t="shared" si="81"/>
        <v>Equilibrio de líquidos ideal</v>
      </c>
      <c r="BV179" s="18" t="str">
        <f t="shared" si="82"/>
        <v>Media fuente de magnesio</v>
      </c>
      <c r="BW179" s="18" t="str">
        <f t="shared" si="83"/>
        <v>Sin aporte de Omega 3</v>
      </c>
      <c r="BX179" s="18" t="str">
        <f t="shared" si="84"/>
        <v>Libre de grasas trans</v>
      </c>
      <c r="BY179" s="18" t="str">
        <f t="shared" si="85"/>
        <v>Medio poder antioxidante</v>
      </c>
      <c r="BZ179" s="6" t="str">
        <f t="shared" si="73"/>
        <v>Sin probióticos</v>
      </c>
      <c r="CA179" s="18" t="str">
        <f t="shared" si="86"/>
        <v>Poco inflamatorio</v>
      </c>
      <c r="CB179" s="18" t="str">
        <f>IF(ISNUMBER(SEARCH("miel", D179)), "No irritante (Uso condicionado SII)", IF(OR(J179&gt;0, ISNUMBER(SEARCH("cacao", D179)), ISNUMBER(SEARCH("chocolate puro", D179))), "Altamente irritante", IF(OR(AND(O179&gt;15, BI179&gt;1), ISNUMBER(SEARCH("chocolate", D179))), "Moderadamente irritante", "No irritante")))</f>
        <v>No irritante</v>
      </c>
      <c r="CC179" s="6" t="str">
        <f t="shared" si="74"/>
        <v>Balance de omegas favorable</v>
      </c>
    </row>
    <row r="180" spans="1:81" ht="15" customHeight="1" x14ac:dyDescent="0.3">
      <c r="A180" s="2">
        <f t="shared" si="75"/>
        <v>179</v>
      </c>
      <c r="B180" s="3" t="s">
        <v>234</v>
      </c>
      <c r="C180" s="3" t="s">
        <v>255</v>
      </c>
      <c r="D180" s="3" t="s">
        <v>290</v>
      </c>
      <c r="E180" s="3"/>
      <c r="F180" s="4">
        <v>1</v>
      </c>
      <c r="G180" s="5">
        <v>0.91</v>
      </c>
      <c r="H180" s="5">
        <v>49.4</v>
      </c>
      <c r="I180" s="5">
        <v>86.7</v>
      </c>
      <c r="J180" s="5">
        <v>0</v>
      </c>
      <c r="K180" s="5">
        <v>0.43</v>
      </c>
      <c r="L180" s="5">
        <v>10.6</v>
      </c>
      <c r="M180" s="5">
        <v>0</v>
      </c>
      <c r="N180" s="5">
        <v>10.6</v>
      </c>
      <c r="O180" s="5">
        <v>0</v>
      </c>
      <c r="P180" s="5">
        <v>2.2000000000000002</v>
      </c>
      <c r="Q180" s="5">
        <v>0.1</v>
      </c>
      <c r="R180" s="5">
        <v>1.4E-2</v>
      </c>
      <c r="S180" s="5">
        <v>2.1999999999999999E-2</v>
      </c>
      <c r="T180" s="5">
        <v>4.3999999999999997E-2</v>
      </c>
      <c r="U180" s="5">
        <v>0</v>
      </c>
      <c r="V180" s="5">
        <v>2.7</v>
      </c>
      <c r="W180" s="5">
        <v>0</v>
      </c>
      <c r="X180" s="5">
        <v>16.2</v>
      </c>
      <c r="Y180" s="5">
        <v>0</v>
      </c>
      <c r="Z180" s="5">
        <v>0.89</v>
      </c>
      <c r="AA180" s="5">
        <v>4.9000000000000004</v>
      </c>
      <c r="AB180" s="5">
        <v>0.02</v>
      </c>
      <c r="AC180" s="5">
        <v>0.03</v>
      </c>
      <c r="AD180" s="5">
        <v>0.2</v>
      </c>
      <c r="AE180" s="5">
        <v>0.02</v>
      </c>
      <c r="AF180" s="5">
        <v>3</v>
      </c>
      <c r="AG180" s="5">
        <v>0</v>
      </c>
      <c r="AH180" s="5">
        <v>6.2E-2</v>
      </c>
      <c r="AI180" s="5">
        <v>0.1</v>
      </c>
      <c r="AJ180" s="5">
        <v>5.2</v>
      </c>
      <c r="AK180" s="5">
        <v>9.6</v>
      </c>
      <c r="AL180" s="5">
        <v>13</v>
      </c>
      <c r="AM180" s="5">
        <v>0.3</v>
      </c>
      <c r="AN180" s="5">
        <v>2.1</v>
      </c>
      <c r="AO180" s="5">
        <v>0.23</v>
      </c>
      <c r="AP180" s="5">
        <v>8.4</v>
      </c>
      <c r="AQ180" s="5">
        <v>2.1</v>
      </c>
      <c r="AR180" s="5">
        <v>116</v>
      </c>
      <c r="AS180" s="5">
        <v>5.8999999999999997E-2</v>
      </c>
      <c r="AT180" s="5">
        <v>7.6999999999999999E-2</v>
      </c>
      <c r="AU180" s="5">
        <v>0.59</v>
      </c>
      <c r="AV180" s="5">
        <f>IFERROR(VLOOKUP(IFERROR(VLOOKUP(D180,Mapa_Similitud!$A$2:$B$2000,2,FALSE()),D180),Hoja1!$A$2:$K$1000,2,FALSE()),IFERROR(VLOOKUP(IFERROR(VLOOKUP(D180,Mapa_Similitud!$A$2:$B$2000,2,FALSE()),D180),Omega3_Referencia!$A$2:$E$100,3,FALSE()),0))</f>
        <v>0.01</v>
      </c>
      <c r="AW180" s="3" t="str">
        <f>IFERROR(VLOOKUP(IFERROR(VLOOKUP(D180,Mapa_Similitud!$A$2:$B$2000,2,FALSE()),D180),Hoja1!$A$2:$K$1000,3,FALSE()),IFERROR(VLOOKUP(IFERROR(VLOOKUP(D180,Mapa_Similitud!$A$2:$B$2000,2,FALSE()),D180),Omega3_Referencia!$A$2:$E$100,4,FALSE()),"N/A"))</f>
        <v>ALA</v>
      </c>
      <c r="AX180" s="5">
        <f>IFERROR(VLOOKUP(IFERROR(VLOOKUP(D180,Mapa_Similitud!$A$2:$B$2000,2,FALSE()),D180),Hoja1!$A$2:$K$1000,5,FALSE()),0)</f>
        <v>0</v>
      </c>
      <c r="AY180" s="5">
        <f>IFERROR(VLOOKUP(IFERROR(VLOOKUP(D180,Mapa_Similitud!$A$2:$B$2000,2,FALSE()),D180),Hoja1!$A$2:$K$1000,7,FALSE()),0)</f>
        <v>65</v>
      </c>
      <c r="AZ180" s="5">
        <f>IFERROR(VLOOKUP(IFERROR(VLOOKUP(D180,Mapa_Similitud!$A$2:$B$2000,2,FALSE()),D180),Hoja1!$A$2:$K$1000,9,FALSE()),0)</f>
        <v>0</v>
      </c>
      <c r="BA180" s="25">
        <f t="shared" si="58"/>
        <v>8.7044534412955461E-3</v>
      </c>
      <c r="BB180" s="25">
        <f t="shared" si="59"/>
        <v>4.4534412955465591E-2</v>
      </c>
      <c r="BC180" s="25">
        <f t="shared" si="60"/>
        <v>0.19433198380566802</v>
      </c>
      <c r="BD180" s="25">
        <f t="shared" si="61"/>
        <v>6.0728744939271256E-3</v>
      </c>
      <c r="BE180" s="25">
        <f t="shared" si="62"/>
        <v>4.2510121457489884E-2</v>
      </c>
      <c r="BF180" s="25">
        <f t="shared" si="63"/>
        <v>3.1428571428571428</v>
      </c>
      <c r="BG180" s="25">
        <f t="shared" si="64"/>
        <v>0.73846153846153839</v>
      </c>
      <c r="BH180" s="25">
        <f t="shared" si="65"/>
        <v>0.13999999999999999</v>
      </c>
      <c r="BI180" s="25">
        <f t="shared" si="66"/>
        <v>1.810344827586207E-2</v>
      </c>
      <c r="BJ180" s="25">
        <f t="shared" si="67"/>
        <v>1</v>
      </c>
      <c r="BK180" s="25">
        <f t="shared" si="68"/>
        <v>0.20754716981132079</v>
      </c>
      <c r="BL180" s="25">
        <f t="shared" si="69"/>
        <v>1.8218623481781378E-2</v>
      </c>
      <c r="BM180" s="25">
        <f t="shared" si="70"/>
        <v>0.17004048582995954</v>
      </c>
      <c r="BN180" s="18" t="str">
        <f t="shared" si="76"/>
        <v>Baja fuente de proteína</v>
      </c>
      <c r="BO180" s="18" t="str">
        <f t="shared" si="77"/>
        <v>Alta fuente de fibra</v>
      </c>
      <c r="BP180" s="18" t="str">
        <f t="shared" si="78"/>
        <v>Baja fuente de calcio</v>
      </c>
      <c r="BQ180" s="18" t="str">
        <f t="shared" si="79"/>
        <v>Baja fuente de hierro</v>
      </c>
      <c r="BR180" s="18" t="str">
        <f t="shared" si="80"/>
        <v>Bajo en sodio</v>
      </c>
      <c r="BS180" s="6" t="str">
        <f t="shared" si="71"/>
        <v>Altamente antiinflamatorio</v>
      </c>
      <c r="BT180" s="6" t="str">
        <f t="shared" si="72"/>
        <v>Bajo en grasas</v>
      </c>
      <c r="BU180" s="18" t="str">
        <f t="shared" si="81"/>
        <v>Equilibrio de líquidos ideal</v>
      </c>
      <c r="BV180" s="18" t="str">
        <f t="shared" si="82"/>
        <v>Baja fuente de magnesio</v>
      </c>
      <c r="BW180" s="18" t="str">
        <f t="shared" si="83"/>
        <v>Sin aporte de Omega 3</v>
      </c>
      <c r="BX180" s="18" t="str">
        <f t="shared" si="84"/>
        <v>Libre de grasas trans</v>
      </c>
      <c r="BY180" s="18" t="str">
        <f t="shared" si="85"/>
        <v>Alto poder antioxidante</v>
      </c>
      <c r="BZ180" s="6" t="str">
        <f t="shared" si="73"/>
        <v>Sin probióticos</v>
      </c>
      <c r="CA180" s="18" t="str">
        <f t="shared" si="86"/>
        <v>Antiinflamatorio</v>
      </c>
      <c r="CB180" s="18" t="str">
        <f>IF(ISNUMBER(SEARCH("miel", D180)), "No irritante (Uso condicionado SII)", IF(OR(J180&gt;0, ISNUMBER(SEARCH("cacao", D180)), ISNUMBER(SEARCH("chocolate puro", D180))), "Altamente irritante", IF(OR(AND(O180&gt;15, BI180&gt;1), ISNUMBER(SEARCH("chocolate", D180))), "Moderadamente irritante", "No irritante")))</f>
        <v>No irritante</v>
      </c>
      <c r="CC180" s="6" t="str">
        <f t="shared" si="74"/>
        <v>Balance de omegas favorable</v>
      </c>
    </row>
    <row r="181" spans="1:81" ht="15" customHeight="1" x14ac:dyDescent="0.3">
      <c r="A181" s="2">
        <f t="shared" si="75"/>
        <v>180</v>
      </c>
      <c r="B181" s="3" t="s">
        <v>234</v>
      </c>
      <c r="C181" s="3" t="s">
        <v>255</v>
      </c>
      <c r="D181" s="3" t="s">
        <v>291</v>
      </c>
      <c r="E181" s="3"/>
      <c r="F181" s="4">
        <v>0.6</v>
      </c>
      <c r="G181" s="5">
        <v>0.56999999999999995</v>
      </c>
      <c r="H181" s="5">
        <v>50.8</v>
      </c>
      <c r="I181" s="5">
        <v>86.9</v>
      </c>
      <c r="J181" s="5">
        <v>0</v>
      </c>
      <c r="K181" s="5">
        <v>0.44</v>
      </c>
      <c r="L181" s="5">
        <v>10.4</v>
      </c>
      <c r="M181" s="5">
        <v>0</v>
      </c>
      <c r="N181" s="5">
        <v>10.4</v>
      </c>
      <c r="O181" s="5">
        <v>0</v>
      </c>
      <c r="P181" s="5">
        <v>1.9</v>
      </c>
      <c r="Q181" s="5">
        <v>0.4</v>
      </c>
      <c r="R181" s="5">
        <v>0</v>
      </c>
      <c r="S181" s="5">
        <v>0.1</v>
      </c>
      <c r="T181" s="5">
        <v>0.1</v>
      </c>
      <c r="U181" s="5">
        <v>0</v>
      </c>
      <c r="V181" s="5">
        <v>6.1</v>
      </c>
      <c r="W181" s="5">
        <v>0</v>
      </c>
      <c r="X181" s="5">
        <v>36.799999999999997</v>
      </c>
      <c r="Y181" s="5">
        <v>0</v>
      </c>
      <c r="Z181" s="5">
        <v>0.13</v>
      </c>
      <c r="AA181" s="5">
        <v>0.1</v>
      </c>
      <c r="AB181" s="5">
        <v>0.08</v>
      </c>
      <c r="AC181" s="5">
        <v>0.03</v>
      </c>
      <c r="AD181" s="5">
        <v>0.39</v>
      </c>
      <c r="AE181" s="5">
        <v>7.5999999999999998E-2</v>
      </c>
      <c r="AF181" s="5">
        <v>5</v>
      </c>
      <c r="AG181" s="5">
        <v>0</v>
      </c>
      <c r="AH181" s="5">
        <v>0.16</v>
      </c>
      <c r="AI181" s="5">
        <v>0.3</v>
      </c>
      <c r="AJ181" s="5">
        <v>15</v>
      </c>
      <c r="AK181" s="5">
        <v>14.5</v>
      </c>
      <c r="AL181" s="5">
        <v>10</v>
      </c>
      <c r="AM181" s="5">
        <v>0.41</v>
      </c>
      <c r="AN181" s="5">
        <v>4.3</v>
      </c>
      <c r="AO181" s="5">
        <v>0.13</v>
      </c>
      <c r="AP181" s="5">
        <v>16.899999999999999</v>
      </c>
      <c r="AQ181" s="5">
        <v>2.1</v>
      </c>
      <c r="AR181" s="5">
        <v>175</v>
      </c>
      <c r="AS181" s="5">
        <v>0.32</v>
      </c>
      <c r="AT181" s="5">
        <v>6.0999999999999999E-2</v>
      </c>
      <c r="AU181" s="5">
        <v>0.55000000000000004</v>
      </c>
      <c r="AV181" s="5">
        <f>IFERROR(VLOOKUP(IFERROR(VLOOKUP(D181,Mapa_Similitud!$A$2:$B$2000,2,FALSE()),D181),Hoja1!$A$2:$K$1000,2,FALSE()),IFERROR(VLOOKUP(IFERROR(VLOOKUP(D181,Mapa_Similitud!$A$2:$B$2000,2,FALSE()),D181),Omega3_Referencia!$A$2:$E$100,3,FALSE()),0))</f>
        <v>0.02</v>
      </c>
      <c r="AW181" s="3" t="str">
        <f>IFERROR(VLOOKUP(IFERROR(VLOOKUP(D181,Mapa_Similitud!$A$2:$B$2000,2,FALSE()),D181),Hoja1!$A$2:$K$1000,3,FALSE()),IFERROR(VLOOKUP(IFERROR(VLOOKUP(D181,Mapa_Similitud!$A$2:$B$2000,2,FALSE()),D181),Omega3_Referencia!$A$2:$E$100,4,FALSE()),"N/A"))</f>
        <v>ALA</v>
      </c>
      <c r="AX181" s="5">
        <f>IFERROR(VLOOKUP(IFERROR(VLOOKUP(D181,Mapa_Similitud!$A$2:$B$2000,2,FALSE()),D181),Hoja1!$A$2:$K$1000,5,FALSE()),0)</f>
        <v>0</v>
      </c>
      <c r="AY181" s="5">
        <f>IFERROR(VLOOKUP(IFERROR(VLOOKUP(D181,Mapa_Similitud!$A$2:$B$2000,2,FALSE()),D181),Hoja1!$A$2:$K$1000,7,FALSE()),0)</f>
        <v>45</v>
      </c>
      <c r="AZ181" s="5">
        <f>IFERROR(VLOOKUP(IFERROR(VLOOKUP(D181,Mapa_Similitud!$A$2:$B$2000,2,FALSE()),D181),Hoja1!$A$2:$K$1000,9,FALSE()),0)</f>
        <v>0</v>
      </c>
      <c r="BA181" s="25">
        <f t="shared" si="58"/>
        <v>8.6614173228346455E-3</v>
      </c>
      <c r="BB181" s="25">
        <f t="shared" si="59"/>
        <v>3.7401574803149609E-2</v>
      </c>
      <c r="BC181" s="25">
        <f t="shared" si="60"/>
        <v>0.28543307086614172</v>
      </c>
      <c r="BD181" s="25">
        <f t="shared" si="61"/>
        <v>8.0708661417322834E-3</v>
      </c>
      <c r="BE181" s="25">
        <f t="shared" si="62"/>
        <v>4.1338582677165357E-2</v>
      </c>
      <c r="BF181" s="25">
        <f t="shared" si="63"/>
        <v>0</v>
      </c>
      <c r="BG181" s="25">
        <f t="shared" si="64"/>
        <v>1.45</v>
      </c>
      <c r="BH181" s="25">
        <f t="shared" si="65"/>
        <v>0</v>
      </c>
      <c r="BI181" s="25">
        <f t="shared" si="66"/>
        <v>1.2E-2</v>
      </c>
      <c r="BJ181" s="25">
        <f t="shared" si="67"/>
        <v>1</v>
      </c>
      <c r="BK181" s="25">
        <f t="shared" si="68"/>
        <v>0.18269230769230768</v>
      </c>
      <c r="BL181" s="25">
        <f t="shared" si="69"/>
        <v>7.0866141732283464E-2</v>
      </c>
      <c r="BM181" s="25">
        <f t="shared" si="70"/>
        <v>0.33267716535433067</v>
      </c>
      <c r="BN181" s="18" t="str">
        <f t="shared" si="76"/>
        <v>Baja fuente de proteína</v>
      </c>
      <c r="BO181" s="18" t="str">
        <f t="shared" si="77"/>
        <v>Alta fuente de fibra</v>
      </c>
      <c r="BP181" s="18" t="str">
        <f t="shared" si="78"/>
        <v>Baja fuente de calcio</v>
      </c>
      <c r="BQ181" s="18" t="str">
        <f t="shared" si="79"/>
        <v>Media fuente de hierro</v>
      </c>
      <c r="BR181" s="18" t="str">
        <f t="shared" si="80"/>
        <v>Bajo en sodio</v>
      </c>
      <c r="BS181" s="6" t="str">
        <f t="shared" si="71"/>
        <v>Proinflamatorio</v>
      </c>
      <c r="BT181" s="6" t="str">
        <f t="shared" si="72"/>
        <v>Bajo en grasas</v>
      </c>
      <c r="BU181" s="18" t="str">
        <f t="shared" si="81"/>
        <v>Equilibrio de líquidos ideal</v>
      </c>
      <c r="BV181" s="18" t="str">
        <f t="shared" si="82"/>
        <v>Media fuente de magnesio</v>
      </c>
      <c r="BW181" s="18" t="str">
        <f t="shared" si="83"/>
        <v>Sin aporte de Omega 3</v>
      </c>
      <c r="BX181" s="18" t="str">
        <f t="shared" si="84"/>
        <v>Libre de grasas trans</v>
      </c>
      <c r="BY181" s="18" t="str">
        <f t="shared" si="85"/>
        <v>Medio poder antioxidante</v>
      </c>
      <c r="BZ181" s="6" t="str">
        <f t="shared" si="73"/>
        <v>Sin probióticos</v>
      </c>
      <c r="CA181" s="18" t="str">
        <f t="shared" si="86"/>
        <v>Poco inflamatorio</v>
      </c>
      <c r="CB181" s="18" t="str">
        <f>IF(ISNUMBER(SEARCH("miel", D181)), "No irritante (Uso condicionado SII)", IF(OR(J181&gt;0, ISNUMBER(SEARCH("cacao", D181)), ISNUMBER(SEARCH("chocolate puro", D181))), "Altamente irritante", IF(OR(AND(O181&gt;15, BI181&gt;1), ISNUMBER(SEARCH("chocolate", D181))), "Moderadamente irritante", "No irritante")))</f>
        <v>No irritante</v>
      </c>
      <c r="CC181" s="6" t="str">
        <f t="shared" si="74"/>
        <v>Balance de omegas favorable</v>
      </c>
    </row>
    <row r="182" spans="1:81" ht="15" customHeight="1" x14ac:dyDescent="0.3">
      <c r="A182" s="2">
        <f t="shared" si="75"/>
        <v>181</v>
      </c>
      <c r="B182" s="3" t="s">
        <v>234</v>
      </c>
      <c r="C182" s="3" t="s">
        <v>255</v>
      </c>
      <c r="D182" s="3" t="s">
        <v>292</v>
      </c>
      <c r="E182" s="3"/>
      <c r="F182" s="4">
        <v>0.3</v>
      </c>
      <c r="G182" s="5">
        <v>0.66</v>
      </c>
      <c r="H182" s="5">
        <v>95.2</v>
      </c>
      <c r="I182" s="5">
        <v>75.3</v>
      </c>
      <c r="J182" s="5">
        <v>0</v>
      </c>
      <c r="K182" s="5">
        <v>1.1000000000000001</v>
      </c>
      <c r="L182" s="5">
        <v>20.8</v>
      </c>
      <c r="M182" s="5">
        <v>3.2</v>
      </c>
      <c r="N182" s="5">
        <v>17.600000000000001</v>
      </c>
      <c r="O182" s="5">
        <v>0</v>
      </c>
      <c r="P182" s="5">
        <v>2.6</v>
      </c>
      <c r="Q182" s="5">
        <v>0.27</v>
      </c>
      <c r="R182" s="5">
        <v>0.12</v>
      </c>
      <c r="S182" s="5">
        <v>0.04</v>
      </c>
      <c r="T182" s="5">
        <v>0.09</v>
      </c>
      <c r="U182" s="5">
        <v>0</v>
      </c>
      <c r="V182" s="5">
        <v>38</v>
      </c>
      <c r="W182" s="5">
        <v>0</v>
      </c>
      <c r="X182" s="5">
        <v>228</v>
      </c>
      <c r="Y182" s="5">
        <v>0</v>
      </c>
      <c r="Z182" s="5">
        <v>0.23</v>
      </c>
      <c r="AA182" s="5">
        <v>0.26</v>
      </c>
      <c r="AB182" s="5">
        <v>0.05</v>
      </c>
      <c r="AC182" s="5">
        <v>7.0000000000000007E-2</v>
      </c>
      <c r="AD182" s="5">
        <v>0.98</v>
      </c>
      <c r="AE182" s="5">
        <v>0.36</v>
      </c>
      <c r="AF182" s="5">
        <v>20</v>
      </c>
      <c r="AG182" s="5">
        <v>0</v>
      </c>
      <c r="AH182" s="5">
        <v>0.23</v>
      </c>
      <c r="AI182" s="5">
        <v>2.6</v>
      </c>
      <c r="AJ182" s="5">
        <v>11.5</v>
      </c>
      <c r="AK182" s="5">
        <v>7.3</v>
      </c>
      <c r="AL182" s="5">
        <v>23</v>
      </c>
      <c r="AM182" s="5">
        <v>0.59</v>
      </c>
      <c r="AN182" s="5">
        <v>2.4</v>
      </c>
      <c r="AO182" s="5">
        <v>0.21</v>
      </c>
      <c r="AP182" s="5">
        <v>36.4</v>
      </c>
      <c r="AQ182" s="5">
        <v>1</v>
      </c>
      <c r="AR182" s="5">
        <v>370</v>
      </c>
      <c r="AS182" s="5">
        <v>0.28999999999999998</v>
      </c>
      <c r="AT182" s="5">
        <v>0.11</v>
      </c>
      <c r="AU182" s="5">
        <v>1.4</v>
      </c>
      <c r="AV182" s="5">
        <f>IFERROR(VLOOKUP(IFERROR(VLOOKUP(D182,Mapa_Similitud!$A$2:$B$2000,2,FALSE()),D182),Hoja1!$A$2:$K$1000,2,FALSE()),IFERROR(VLOOKUP(IFERROR(VLOOKUP(D182,Mapa_Similitud!$A$2:$B$2000,2,FALSE()),D182),Omega3_Referencia!$A$2:$E$100,3,FALSE()),0))</f>
        <v>0.03</v>
      </c>
      <c r="AW182" s="3" t="str">
        <f>IFERROR(VLOOKUP(IFERROR(VLOOKUP(D182,Mapa_Similitud!$A$2:$B$2000,2,FALSE()),D182),Hoja1!$A$2:$K$1000,3,FALSE()),IFERROR(VLOOKUP(IFERROR(VLOOKUP(D182,Mapa_Similitud!$A$2:$B$2000,2,FALSE()),D182),Omega3_Referencia!$A$2:$E$100,4,FALSE()),"N/A"))</f>
        <v>ALA</v>
      </c>
      <c r="AX182" s="5">
        <f>IFERROR(VLOOKUP(IFERROR(VLOOKUP(D182,Mapa_Similitud!$A$2:$B$2000,2,FALSE()),D182),Hoja1!$A$2:$K$1000,5,FALSE()),0)</f>
        <v>0</v>
      </c>
      <c r="AY182" s="5">
        <f>IFERROR(VLOOKUP(IFERROR(VLOOKUP(D182,Mapa_Similitud!$A$2:$B$2000,2,FALSE()),D182),Hoja1!$A$2:$K$1000,7,FALSE()),0)</f>
        <v>20</v>
      </c>
      <c r="AZ182" s="5">
        <f>IFERROR(VLOOKUP(IFERROR(VLOOKUP(D182,Mapa_Similitud!$A$2:$B$2000,2,FALSE()),D182),Hoja1!$A$2:$K$1000,9,FALSE()),0)</f>
        <v>0</v>
      </c>
      <c r="BA182" s="25">
        <f t="shared" si="58"/>
        <v>1.1554621848739496E-2</v>
      </c>
      <c r="BB182" s="25">
        <f t="shared" si="59"/>
        <v>2.7310924369747899E-2</v>
      </c>
      <c r="BC182" s="25">
        <f t="shared" si="60"/>
        <v>7.6680672268907554E-2</v>
      </c>
      <c r="BD182" s="25">
        <f t="shared" si="61"/>
        <v>6.1974789915966383E-3</v>
      </c>
      <c r="BE182" s="25">
        <f t="shared" si="62"/>
        <v>1.0504201680672268E-2</v>
      </c>
      <c r="BF182" s="25">
        <f t="shared" si="63"/>
        <v>0.75</v>
      </c>
      <c r="BG182" s="25">
        <f t="shared" si="64"/>
        <v>0.31739130434782609</v>
      </c>
      <c r="BH182" s="25">
        <f t="shared" si="65"/>
        <v>0.44444444444444442</v>
      </c>
      <c r="BI182" s="25">
        <f t="shared" si="66"/>
        <v>2.7027027027027029E-3</v>
      </c>
      <c r="BJ182" s="25">
        <f t="shared" si="67"/>
        <v>0.84615384615384615</v>
      </c>
      <c r="BK182" s="25">
        <f t="shared" si="68"/>
        <v>0.125</v>
      </c>
      <c r="BL182" s="25">
        <f t="shared" si="69"/>
        <v>2.5525210084033613E-2</v>
      </c>
      <c r="BM182" s="25">
        <f t="shared" si="70"/>
        <v>0.38235294117647056</v>
      </c>
      <c r="BN182" s="18" t="str">
        <f t="shared" si="76"/>
        <v>Baja fuente de proteína</v>
      </c>
      <c r="BO182" s="18" t="str">
        <f t="shared" si="77"/>
        <v>Media fuente de fibra</v>
      </c>
      <c r="BP182" s="18" t="str">
        <f t="shared" si="78"/>
        <v>Baja fuente de calcio</v>
      </c>
      <c r="BQ182" s="18" t="str">
        <f t="shared" si="79"/>
        <v>Baja fuente de hierro</v>
      </c>
      <c r="BR182" s="18" t="str">
        <f t="shared" si="80"/>
        <v>Bajo en sodio</v>
      </c>
      <c r="BS182" s="6" t="str">
        <f t="shared" si="71"/>
        <v>Neutro</v>
      </c>
      <c r="BT182" s="6" t="str">
        <f t="shared" si="72"/>
        <v>Bajo en grasas</v>
      </c>
      <c r="BU182" s="18" t="str">
        <f t="shared" si="81"/>
        <v>Equilibrio de líquidos ideal</v>
      </c>
      <c r="BV182" s="18" t="str">
        <f t="shared" si="82"/>
        <v>Media fuente de magnesio</v>
      </c>
      <c r="BW182" s="18" t="str">
        <f t="shared" si="83"/>
        <v>Sin aporte de Omega 3</v>
      </c>
      <c r="BX182" s="18" t="str">
        <f t="shared" si="84"/>
        <v>Libre de grasas trans</v>
      </c>
      <c r="BY182" s="18" t="str">
        <f t="shared" si="85"/>
        <v>Medio poder antioxidante</v>
      </c>
      <c r="BZ182" s="6" t="str">
        <f t="shared" si="73"/>
        <v>Sin probióticos</v>
      </c>
      <c r="CA182" s="18" t="str">
        <f t="shared" si="86"/>
        <v>Poco inflamatorio</v>
      </c>
      <c r="CB182" s="18" t="str">
        <f>IF(ISNUMBER(SEARCH("miel", D182)), "No irritante (Uso condicionado SII)", IF(OR(J182&gt;0, ISNUMBER(SEARCH("cacao", D182)), ISNUMBER(SEARCH("chocolate puro", D182))), "Altamente irritante", IF(OR(AND(O182&gt;15, BI182&gt;1), ISNUMBER(SEARCH("chocolate", D182))), "Moderadamente irritante", "No irritante")))</f>
        <v>No irritante</v>
      </c>
      <c r="CC182" s="6" t="str">
        <f t="shared" si="74"/>
        <v>Balance de omegas favorable</v>
      </c>
    </row>
    <row r="183" spans="1:81" ht="15" customHeight="1" x14ac:dyDescent="0.3">
      <c r="A183" s="2">
        <f t="shared" si="75"/>
        <v>182</v>
      </c>
      <c r="B183" s="3" t="s">
        <v>234</v>
      </c>
      <c r="C183" s="3" t="s">
        <v>255</v>
      </c>
      <c r="D183" s="3" t="s">
        <v>293</v>
      </c>
      <c r="E183" s="3"/>
      <c r="F183" s="4">
        <v>0.4</v>
      </c>
      <c r="G183" s="5">
        <v>1</v>
      </c>
      <c r="H183" s="5">
        <v>141</v>
      </c>
      <c r="I183" s="5">
        <v>64.099999999999994</v>
      </c>
      <c r="J183" s="5">
        <v>0</v>
      </c>
      <c r="K183" s="5">
        <v>1.3</v>
      </c>
      <c r="L183" s="5">
        <v>31.9</v>
      </c>
      <c r="M183" s="5">
        <v>16.899999999999999</v>
      </c>
      <c r="N183" s="5">
        <v>15</v>
      </c>
      <c r="O183" s="5">
        <v>0</v>
      </c>
      <c r="P183" s="5">
        <v>2.2999999999999998</v>
      </c>
      <c r="Q183" s="5">
        <v>0.37</v>
      </c>
      <c r="R183" s="5">
        <v>0.14000000000000001</v>
      </c>
      <c r="S183" s="5">
        <v>3.2000000000000001E-2</v>
      </c>
      <c r="T183" s="5">
        <v>6.9000000000000006E-2</v>
      </c>
      <c r="U183" s="5">
        <v>0</v>
      </c>
      <c r="V183" s="5">
        <v>149</v>
      </c>
      <c r="W183" s="5">
        <v>0</v>
      </c>
      <c r="X183" s="5">
        <v>895</v>
      </c>
      <c r="Y183" s="5">
        <v>0</v>
      </c>
      <c r="Z183" s="5">
        <v>0.14000000000000001</v>
      </c>
      <c r="AA183" s="5">
        <v>0</v>
      </c>
      <c r="AB183" s="5">
        <v>5.1999999999999998E-2</v>
      </c>
      <c r="AC183" s="5">
        <v>5.3999999999999999E-2</v>
      </c>
      <c r="AD183" s="5">
        <v>0.69</v>
      </c>
      <c r="AE183" s="5">
        <v>0.3</v>
      </c>
      <c r="AF183" s="5">
        <v>22</v>
      </c>
      <c r="AG183" s="5">
        <v>0</v>
      </c>
      <c r="AH183" s="5">
        <v>0</v>
      </c>
      <c r="AI183" s="5">
        <v>0</v>
      </c>
      <c r="AJ183" s="5">
        <v>18.399999999999999</v>
      </c>
      <c r="AK183" s="5">
        <v>3</v>
      </c>
      <c r="AL183" s="5">
        <v>34</v>
      </c>
      <c r="AM183" s="5">
        <v>0.6</v>
      </c>
      <c r="AN183" s="5">
        <v>0</v>
      </c>
      <c r="AO183" s="5">
        <v>0.14000000000000001</v>
      </c>
      <c r="AP183" s="5">
        <v>37</v>
      </c>
      <c r="AQ183" s="5">
        <v>4</v>
      </c>
      <c r="AR183" s="5">
        <v>499</v>
      </c>
      <c r="AS183" s="5">
        <v>0</v>
      </c>
      <c r="AT183" s="5">
        <v>0</v>
      </c>
      <c r="AU183" s="5">
        <v>1.5</v>
      </c>
      <c r="AV183" s="5">
        <f>IFERROR(VLOOKUP(IFERROR(VLOOKUP(D183,Mapa_Similitud!$A$2:$B$2000,2,FALSE()),D183),Hoja1!$A$2:$K$1000,2,FALSE()),IFERROR(VLOOKUP(IFERROR(VLOOKUP(D183,Mapa_Similitud!$A$2:$B$2000,2,FALSE()),D183),Omega3_Referencia!$A$2:$E$100,3,FALSE()),0))</f>
        <v>0.03</v>
      </c>
      <c r="AW183" s="3" t="str">
        <f>IFERROR(VLOOKUP(IFERROR(VLOOKUP(D183,Mapa_Similitud!$A$2:$B$2000,2,FALSE()),D183),Hoja1!$A$2:$K$1000,3,FALSE()),IFERROR(VLOOKUP(IFERROR(VLOOKUP(D183,Mapa_Similitud!$A$2:$B$2000,2,FALSE()),D183),Omega3_Referencia!$A$2:$E$100,4,FALSE()),"N/A"))</f>
        <v>ALA</v>
      </c>
      <c r="AX183" s="5">
        <f>IFERROR(VLOOKUP(IFERROR(VLOOKUP(D183,Mapa_Similitud!$A$2:$B$2000,2,FALSE()),D183),Hoja1!$A$2:$K$1000,5,FALSE()),0)</f>
        <v>0</v>
      </c>
      <c r="AY183" s="5">
        <f>IFERROR(VLOOKUP(IFERROR(VLOOKUP(D183,Mapa_Similitud!$A$2:$B$2000,2,FALSE()),D183),Hoja1!$A$2:$K$1000,7,FALSE()),0)</f>
        <v>25</v>
      </c>
      <c r="AZ183" s="5">
        <f>IFERROR(VLOOKUP(IFERROR(VLOOKUP(D183,Mapa_Similitud!$A$2:$B$2000,2,FALSE()),D183),Hoja1!$A$2:$K$1000,9,FALSE()),0)</f>
        <v>0</v>
      </c>
      <c r="BA183" s="25">
        <f t="shared" si="58"/>
        <v>9.21985815602837E-3</v>
      </c>
      <c r="BB183" s="25">
        <f t="shared" si="59"/>
        <v>1.6312056737588652E-2</v>
      </c>
      <c r="BC183" s="25">
        <f t="shared" si="60"/>
        <v>2.1276595744680851E-2</v>
      </c>
      <c r="BD183" s="25">
        <f t="shared" si="61"/>
        <v>4.2553191489361703E-3</v>
      </c>
      <c r="BE183" s="25">
        <f t="shared" si="62"/>
        <v>2.8368794326241134E-2</v>
      </c>
      <c r="BF183" s="25">
        <f t="shared" si="63"/>
        <v>0.49285714285714283</v>
      </c>
      <c r="BG183" s="25">
        <f t="shared" si="64"/>
        <v>8.8235294117647065E-2</v>
      </c>
      <c r="BH183" s="25">
        <f t="shared" si="65"/>
        <v>0.3783783783783784</v>
      </c>
      <c r="BI183" s="25">
        <f t="shared" si="66"/>
        <v>8.0160320641282558E-3</v>
      </c>
      <c r="BJ183" s="25">
        <f t="shared" si="67"/>
        <v>0.47021943573667713</v>
      </c>
      <c r="BK183" s="25">
        <f t="shared" si="68"/>
        <v>7.2100313479623826E-2</v>
      </c>
      <c r="BL183" s="25">
        <f t="shared" si="69"/>
        <v>2.3617021276595745E-2</v>
      </c>
      <c r="BM183" s="25">
        <f t="shared" si="70"/>
        <v>0.26241134751773049</v>
      </c>
      <c r="BN183" s="18" t="str">
        <f t="shared" si="76"/>
        <v>Baja fuente de proteína</v>
      </c>
      <c r="BO183" s="18" t="str">
        <f t="shared" si="77"/>
        <v>Media fuente de fibra</v>
      </c>
      <c r="BP183" s="18" t="str">
        <f t="shared" si="78"/>
        <v>Baja fuente de calcio</v>
      </c>
      <c r="BQ183" s="18" t="str">
        <f t="shared" si="79"/>
        <v>Baja fuente de hierro</v>
      </c>
      <c r="BR183" s="18" t="str">
        <f t="shared" si="80"/>
        <v>Bajo en sodio</v>
      </c>
      <c r="BS183" s="6" t="str">
        <f t="shared" si="71"/>
        <v>Proinflamatorio</v>
      </c>
      <c r="BT183" s="6" t="str">
        <f t="shared" si="72"/>
        <v>Bajo en grasas</v>
      </c>
      <c r="BU183" s="18" t="str">
        <f t="shared" si="81"/>
        <v>Equilibrio de líquidos ideal</v>
      </c>
      <c r="BV183" s="18" t="str">
        <f t="shared" si="82"/>
        <v>Media fuente de magnesio</v>
      </c>
      <c r="BW183" s="18" t="str">
        <f t="shared" si="83"/>
        <v>Sin aporte de Omega 3</v>
      </c>
      <c r="BX183" s="18" t="str">
        <f t="shared" si="84"/>
        <v>Libre de grasas trans</v>
      </c>
      <c r="BY183" s="18" t="str">
        <f t="shared" si="85"/>
        <v>Medio poder antioxidante</v>
      </c>
      <c r="BZ183" s="6" t="str">
        <f t="shared" si="73"/>
        <v>Sin probióticos</v>
      </c>
      <c r="CA183" s="18" t="str">
        <f t="shared" si="86"/>
        <v>Poco inflamatorio</v>
      </c>
      <c r="CB183" s="18" t="str">
        <f>IF(ISNUMBER(SEARCH("miel", D183)), "No irritante (Uso condicionado SII)", IF(OR(J183&gt;0, ISNUMBER(SEARCH("cacao", D183)), ISNUMBER(SEARCH("chocolate puro", D183))), "Altamente irritante", IF(OR(AND(O183&gt;15, BI183&gt;1), ISNUMBER(SEARCH("chocolate", D183))), "Moderadamente irritante", "No irritante")))</f>
        <v>No irritante</v>
      </c>
      <c r="CC183" s="6" t="str">
        <f t="shared" si="74"/>
        <v>Balance de omegas favorable</v>
      </c>
    </row>
    <row r="184" spans="1:81" ht="15" customHeight="1" x14ac:dyDescent="0.3">
      <c r="A184" s="2">
        <f t="shared" si="75"/>
        <v>183</v>
      </c>
      <c r="B184" s="3" t="s">
        <v>234</v>
      </c>
      <c r="C184" s="3" t="s">
        <v>255</v>
      </c>
      <c r="D184" s="3" t="s">
        <v>294</v>
      </c>
      <c r="E184" s="3"/>
      <c r="F184" s="4">
        <v>1</v>
      </c>
      <c r="G184" s="5">
        <v>0.68</v>
      </c>
      <c r="H184" s="5">
        <v>36.700000000000003</v>
      </c>
      <c r="I184" s="5">
        <v>90.2</v>
      </c>
      <c r="J184" s="5">
        <v>0</v>
      </c>
      <c r="K184" s="5">
        <v>0.63</v>
      </c>
      <c r="L184" s="5">
        <v>7.4</v>
      </c>
      <c r="M184" s="5">
        <v>0</v>
      </c>
      <c r="N184" s="5">
        <v>7.4</v>
      </c>
      <c r="O184" s="5">
        <v>0</v>
      </c>
      <c r="P184" s="5">
        <v>1.6</v>
      </c>
      <c r="Q184" s="5">
        <v>0.15</v>
      </c>
      <c r="R184" s="5">
        <v>3.5000000000000003E-2</v>
      </c>
      <c r="S184" s="5">
        <v>2.9000000000000001E-2</v>
      </c>
      <c r="T184" s="5">
        <v>5.6000000000000001E-2</v>
      </c>
      <c r="U184" s="5">
        <v>0</v>
      </c>
      <c r="V184" s="5">
        <v>219</v>
      </c>
      <c r="W184" s="5">
        <v>0</v>
      </c>
      <c r="X184" s="5">
        <v>1313</v>
      </c>
      <c r="Y184" s="5">
        <v>0</v>
      </c>
      <c r="Z184" s="5">
        <v>0.3</v>
      </c>
      <c r="AA184" s="5">
        <v>0</v>
      </c>
      <c r="AB184" s="5">
        <v>4.8000000000000001E-2</v>
      </c>
      <c r="AC184" s="5">
        <v>2.4E-2</v>
      </c>
      <c r="AD184" s="5">
        <v>0.37</v>
      </c>
      <c r="AE184" s="5">
        <v>0.03</v>
      </c>
      <c r="AF184" s="5">
        <v>14</v>
      </c>
      <c r="AG184" s="5">
        <v>0</v>
      </c>
      <c r="AH184" s="5">
        <v>0.27</v>
      </c>
      <c r="AI184" s="5">
        <v>0.35</v>
      </c>
      <c r="AJ184" s="5">
        <v>36</v>
      </c>
      <c r="AK184" s="5">
        <v>23</v>
      </c>
      <c r="AL184" s="5">
        <v>16</v>
      </c>
      <c r="AM184" s="5">
        <v>0.17</v>
      </c>
      <c r="AN184" s="5">
        <v>1.3</v>
      </c>
      <c r="AO184" s="5">
        <v>6.6000000000000003E-2</v>
      </c>
      <c r="AP184" s="5">
        <v>9.6</v>
      </c>
      <c r="AQ184" s="5">
        <v>1.1000000000000001</v>
      </c>
      <c r="AR184" s="5">
        <v>148</v>
      </c>
      <c r="AS184" s="5">
        <v>2.5999999999999999E-2</v>
      </c>
      <c r="AT184" s="5">
        <v>3.6999999999999998E-2</v>
      </c>
      <c r="AU184" s="5">
        <v>1</v>
      </c>
      <c r="AV184" s="5">
        <f>IFERROR(VLOOKUP(IFERROR(VLOOKUP(D184,Mapa_Similitud!$A$2:$B$2000,2,FALSE()),D184),Hoja1!$A$2:$K$1000,2,FALSE()),IFERROR(VLOOKUP(IFERROR(VLOOKUP(D184,Mapa_Similitud!$A$2:$B$2000,2,FALSE()),D184),Omega3_Referencia!$A$2:$E$100,3,FALSE()),0))</f>
        <v>0.01</v>
      </c>
      <c r="AW184" s="3" t="str">
        <f>IFERROR(VLOOKUP(IFERROR(VLOOKUP(D184,Mapa_Similitud!$A$2:$B$2000,2,FALSE()),D184),Hoja1!$A$2:$K$1000,3,FALSE()),IFERROR(VLOOKUP(IFERROR(VLOOKUP(D184,Mapa_Similitud!$A$2:$B$2000,2,FALSE()),D184),Omega3_Referencia!$A$2:$E$100,4,FALSE()),"N/A"))</f>
        <v>ALA</v>
      </c>
      <c r="AX184" s="5">
        <f>IFERROR(VLOOKUP(IFERROR(VLOOKUP(D184,Mapa_Similitud!$A$2:$B$2000,2,FALSE()),D184),Hoja1!$A$2:$K$1000,5,FALSE()),0)</f>
        <v>0</v>
      </c>
      <c r="AY184" s="5">
        <f>IFERROR(VLOOKUP(IFERROR(VLOOKUP(D184,Mapa_Similitud!$A$2:$B$2000,2,FALSE()),D184),Hoja1!$A$2:$K$1000,7,FALSE()),0)</f>
        <v>70</v>
      </c>
      <c r="AZ184" s="5">
        <f>IFERROR(VLOOKUP(IFERROR(VLOOKUP(D184,Mapa_Similitud!$A$2:$B$2000,2,FALSE()),D184),Hoja1!$A$2:$K$1000,9,FALSE()),0)</f>
        <v>0</v>
      </c>
      <c r="BA184" s="25">
        <f t="shared" si="58"/>
        <v>1.7166212534059946E-2</v>
      </c>
      <c r="BB184" s="25">
        <f t="shared" si="59"/>
        <v>4.3596730245231606E-2</v>
      </c>
      <c r="BC184" s="25">
        <f t="shared" si="60"/>
        <v>0.62670299727520429</v>
      </c>
      <c r="BD184" s="25">
        <f t="shared" si="61"/>
        <v>4.6321525885558582E-3</v>
      </c>
      <c r="BE184" s="25">
        <f t="shared" si="62"/>
        <v>2.9972752043596729E-2</v>
      </c>
      <c r="BF184" s="25">
        <f t="shared" si="63"/>
        <v>1.5999999999999999</v>
      </c>
      <c r="BG184" s="25">
        <f t="shared" si="64"/>
        <v>1.4375</v>
      </c>
      <c r="BH184" s="25">
        <f t="shared" si="65"/>
        <v>0.23333333333333336</v>
      </c>
      <c r="BI184" s="25">
        <f t="shared" si="66"/>
        <v>7.4324324324324328E-3</v>
      </c>
      <c r="BJ184" s="25">
        <f t="shared" si="67"/>
        <v>1</v>
      </c>
      <c r="BK184" s="25">
        <f t="shared" si="68"/>
        <v>0.21621621621621623</v>
      </c>
      <c r="BL184" s="25">
        <f t="shared" si="69"/>
        <v>3.6784741144414164E-2</v>
      </c>
      <c r="BM184" s="25">
        <f t="shared" si="70"/>
        <v>0.26158038147138962</v>
      </c>
      <c r="BN184" s="18" t="str">
        <f t="shared" si="76"/>
        <v>Baja fuente de proteína</v>
      </c>
      <c r="BO184" s="18" t="str">
        <f t="shared" si="77"/>
        <v>Alta fuente de fibra</v>
      </c>
      <c r="BP184" s="18" t="str">
        <f t="shared" si="78"/>
        <v>Baja fuente de calcio</v>
      </c>
      <c r="BQ184" s="18" t="str">
        <f t="shared" si="79"/>
        <v>Baja fuente de hierro</v>
      </c>
      <c r="BR184" s="18" t="str">
        <f t="shared" si="80"/>
        <v>Bajo en sodio</v>
      </c>
      <c r="BS184" s="6" t="str">
        <f t="shared" si="71"/>
        <v>Ligeramente antiinflamatorio</v>
      </c>
      <c r="BT184" s="6" t="str">
        <f t="shared" si="72"/>
        <v>Bajo en grasas</v>
      </c>
      <c r="BU184" s="18" t="str">
        <f t="shared" si="81"/>
        <v>Equilibrio de líquidos ideal</v>
      </c>
      <c r="BV184" s="18" t="str">
        <f t="shared" si="82"/>
        <v>Media fuente de magnesio</v>
      </c>
      <c r="BW184" s="18" t="str">
        <f t="shared" si="83"/>
        <v>Sin aporte de Omega 3</v>
      </c>
      <c r="BX184" s="18" t="str">
        <f t="shared" si="84"/>
        <v>Libre de grasas trans</v>
      </c>
      <c r="BY184" s="18" t="str">
        <f t="shared" si="85"/>
        <v>Alto poder antioxidante</v>
      </c>
      <c r="BZ184" s="6" t="str">
        <f t="shared" si="73"/>
        <v>Sin probióticos</v>
      </c>
      <c r="CA184" s="18" t="str">
        <f t="shared" si="86"/>
        <v>Antiinflamatorio</v>
      </c>
      <c r="CB184" s="18" t="str">
        <f>IF(ISNUMBER(SEARCH("miel", D184)), "No irritante (Uso condicionado SII)", IF(OR(J184&gt;0, ISNUMBER(SEARCH("cacao", D184)), ISNUMBER(SEARCH("chocolate puro", D184))), "Altamente irritante", IF(OR(AND(O184&gt;15, BI184&gt;1), ISNUMBER(SEARCH("chocolate", D184))), "Moderadamente irritante", "No irritante")))</f>
        <v>No irritante</v>
      </c>
      <c r="CC184" s="6" t="str">
        <f t="shared" si="74"/>
        <v>Exceso relativo de Omega 6</v>
      </c>
    </row>
    <row r="185" spans="1:81" ht="15" customHeight="1" x14ac:dyDescent="0.3">
      <c r="A185" s="2">
        <f t="shared" si="75"/>
        <v>184</v>
      </c>
      <c r="B185" s="3" t="s">
        <v>234</v>
      </c>
      <c r="C185" s="3" t="s">
        <v>255</v>
      </c>
      <c r="D185" s="3" t="s">
        <v>295</v>
      </c>
      <c r="E185" s="3"/>
      <c r="F185" s="4">
        <v>0.4</v>
      </c>
      <c r="G185" s="5">
        <v>0.56000000000000005</v>
      </c>
      <c r="H185" s="5">
        <v>28.4</v>
      </c>
      <c r="I185" s="5">
        <v>93.1</v>
      </c>
      <c r="J185" s="5">
        <v>0</v>
      </c>
      <c r="K185" s="5">
        <v>0.63</v>
      </c>
      <c r="L185" s="5">
        <v>5.6</v>
      </c>
      <c r="M185" s="5">
        <v>0</v>
      </c>
      <c r="N185" s="5">
        <v>5.6</v>
      </c>
      <c r="O185" s="5">
        <v>0</v>
      </c>
      <c r="P185" s="5">
        <v>0.4</v>
      </c>
      <c r="Q185" s="5">
        <v>0.3</v>
      </c>
      <c r="R185" s="5">
        <v>0.1</v>
      </c>
      <c r="S185" s="5">
        <v>0</v>
      </c>
      <c r="T185" s="5">
        <v>0.1</v>
      </c>
      <c r="U185" s="5">
        <v>0</v>
      </c>
      <c r="V185" s="5">
        <v>35.4</v>
      </c>
      <c r="W185" s="5">
        <v>0</v>
      </c>
      <c r="X185" s="5">
        <v>212</v>
      </c>
      <c r="Y185" s="5">
        <v>0</v>
      </c>
      <c r="Z185" s="5">
        <v>0.11</v>
      </c>
      <c r="AA185" s="5">
        <v>0.2</v>
      </c>
      <c r="AB185" s="5">
        <v>0.03</v>
      </c>
      <c r="AC185" s="5">
        <v>0.03</v>
      </c>
      <c r="AD185" s="5">
        <v>0.24</v>
      </c>
      <c r="AE185" s="5">
        <v>7.0000000000000007E-2</v>
      </c>
      <c r="AF185" s="5">
        <v>4.5999999999999996</v>
      </c>
      <c r="AG185" s="5">
        <v>0</v>
      </c>
      <c r="AH185" s="5">
        <v>0.21</v>
      </c>
      <c r="AI185" s="5">
        <v>1</v>
      </c>
      <c r="AJ185" s="5">
        <v>6.3</v>
      </c>
      <c r="AK185" s="5">
        <v>6.7</v>
      </c>
      <c r="AL185" s="5">
        <v>9</v>
      </c>
      <c r="AM185" s="5">
        <v>0.28999999999999998</v>
      </c>
      <c r="AN185" s="5">
        <v>1.5</v>
      </c>
      <c r="AO185" s="5">
        <v>0.19</v>
      </c>
      <c r="AP185" s="5">
        <v>9.1999999999999993</v>
      </c>
      <c r="AQ185" s="5">
        <v>2</v>
      </c>
      <c r="AR185" s="5">
        <v>100</v>
      </c>
      <c r="AS185" s="5">
        <v>3.5000000000000003E-2</v>
      </c>
      <c r="AT185" s="5">
        <v>2.9000000000000001E-2</v>
      </c>
      <c r="AU185" s="5">
        <v>0.4</v>
      </c>
      <c r="AV185" s="5">
        <f>IFERROR(VLOOKUP(IFERROR(VLOOKUP(D185,Mapa_Similitud!$A$2:$B$2000,2,FALSE()),D185),Hoja1!$A$2:$K$1000,2,FALSE()),IFERROR(VLOOKUP(IFERROR(VLOOKUP(D185,Mapa_Similitud!$A$2:$B$2000,2,FALSE()),D185),Omega3_Referencia!$A$2:$E$100,3,FALSE()),0))</f>
        <v>0</v>
      </c>
      <c r="AW185" s="3" t="str">
        <f>IFERROR(VLOOKUP(IFERROR(VLOOKUP(D185,Mapa_Similitud!$A$2:$B$2000,2,FALSE()),D185),Hoja1!$A$2:$K$1000,3,FALSE()),IFERROR(VLOOKUP(IFERROR(VLOOKUP(D185,Mapa_Similitud!$A$2:$B$2000,2,FALSE()),D185),Omega3_Referencia!$A$2:$E$100,4,FALSE()),"N/A"))</f>
        <v>N/A</v>
      </c>
      <c r="AX185" s="5">
        <f>IFERROR(VLOOKUP(IFERROR(VLOOKUP(D185,Mapa_Similitud!$A$2:$B$2000,2,FALSE()),D185),Hoja1!$A$2:$K$1000,5,FALSE()),0)</f>
        <v>0</v>
      </c>
      <c r="AY185" s="5">
        <f>IFERROR(VLOOKUP(IFERROR(VLOOKUP(D185,Mapa_Similitud!$A$2:$B$2000,2,FALSE()),D185),Hoja1!$A$2:$K$1000,7,FALSE()),0)</f>
        <v>20</v>
      </c>
      <c r="AZ185" s="5">
        <f>IFERROR(VLOOKUP(IFERROR(VLOOKUP(D185,Mapa_Similitud!$A$2:$B$2000,2,FALSE()),D185),Hoja1!$A$2:$K$1000,9,FALSE()),0)</f>
        <v>0</v>
      </c>
      <c r="BA185" s="25">
        <f t="shared" si="58"/>
        <v>2.2183098591549297E-2</v>
      </c>
      <c r="BB185" s="25">
        <f t="shared" si="59"/>
        <v>1.4084507042253523E-2</v>
      </c>
      <c r="BC185" s="25">
        <f t="shared" si="60"/>
        <v>0.2359154929577465</v>
      </c>
      <c r="BD185" s="25">
        <f t="shared" si="61"/>
        <v>1.0211267605633803E-2</v>
      </c>
      <c r="BE185" s="25">
        <f t="shared" si="62"/>
        <v>7.0422535211267609E-2</v>
      </c>
      <c r="BF185" s="25">
        <f t="shared" si="63"/>
        <v>1</v>
      </c>
      <c r="BG185" s="25">
        <f t="shared" si="64"/>
        <v>0.74444444444444446</v>
      </c>
      <c r="BH185" s="25">
        <f t="shared" si="65"/>
        <v>0.33333333333333337</v>
      </c>
      <c r="BI185" s="25">
        <f t="shared" si="66"/>
        <v>0.02</v>
      </c>
      <c r="BJ185" s="25">
        <f t="shared" si="67"/>
        <v>1</v>
      </c>
      <c r="BK185" s="25">
        <f t="shared" si="68"/>
        <v>7.1428571428571438E-2</v>
      </c>
      <c r="BL185" s="25">
        <f t="shared" si="69"/>
        <v>9.5070422535211266E-2</v>
      </c>
      <c r="BM185" s="25">
        <f t="shared" si="70"/>
        <v>0.323943661971831</v>
      </c>
      <c r="BN185" s="18" t="str">
        <f t="shared" si="76"/>
        <v>Baja fuente de proteína</v>
      </c>
      <c r="BO185" s="18" t="str">
        <f t="shared" si="77"/>
        <v>Baja fuente de fibra</v>
      </c>
      <c r="BP185" s="18" t="str">
        <f t="shared" si="78"/>
        <v>Baja fuente de calcio</v>
      </c>
      <c r="BQ185" s="18" t="str">
        <f t="shared" si="79"/>
        <v>Media fuente de hierro</v>
      </c>
      <c r="BR185" s="18" t="str">
        <f t="shared" si="80"/>
        <v>Bajo en sodio</v>
      </c>
      <c r="BS185" s="6" t="str">
        <f t="shared" si="71"/>
        <v>Neutro</v>
      </c>
      <c r="BT185" s="6" t="str">
        <f t="shared" si="72"/>
        <v>Bajo en grasas</v>
      </c>
      <c r="BU185" s="18" t="str">
        <f t="shared" si="81"/>
        <v>Equilibrio de líquidos ideal</v>
      </c>
      <c r="BV185" s="18" t="str">
        <f t="shared" si="82"/>
        <v>Media fuente de magnesio</v>
      </c>
      <c r="BW185" s="18" t="str">
        <f t="shared" si="83"/>
        <v>Sin aporte de Omega 3</v>
      </c>
      <c r="BX185" s="18" t="str">
        <f t="shared" si="84"/>
        <v>Libre de grasas trans</v>
      </c>
      <c r="BY185" s="18" t="str">
        <f t="shared" si="85"/>
        <v>Medio poder antioxidante</v>
      </c>
      <c r="BZ185" s="6" t="str">
        <f t="shared" si="73"/>
        <v>Sin probióticos</v>
      </c>
      <c r="CA185" s="18" t="str">
        <f t="shared" si="86"/>
        <v>Poco inflamatorio</v>
      </c>
      <c r="CB185" s="18" t="str">
        <f>IF(ISNUMBER(SEARCH("miel", D185)), "No irritante (Uso condicionado SII)", IF(OR(J185&gt;0, ISNUMBER(SEARCH("cacao", D185)), ISNUMBER(SEARCH("chocolate puro", D185))), "Altamente irritante", IF(OR(AND(O185&gt;15, BI185&gt;1), ISNUMBER(SEARCH("chocolate", D185))), "Moderadamente irritante", "No irritante")))</f>
        <v>No irritante</v>
      </c>
      <c r="CC185" s="6" t="str">
        <f t="shared" si="74"/>
        <v>Sin Omega 3 para evaluar</v>
      </c>
    </row>
    <row r="186" spans="1:81" ht="15" customHeight="1" x14ac:dyDescent="0.3">
      <c r="A186" s="2">
        <f t="shared" si="75"/>
        <v>185</v>
      </c>
      <c r="B186" s="3" t="s">
        <v>234</v>
      </c>
      <c r="C186" s="3" t="s">
        <v>255</v>
      </c>
      <c r="D186" s="3" t="s">
        <v>296</v>
      </c>
      <c r="E186" s="3" t="s">
        <v>297</v>
      </c>
      <c r="F186" s="4">
        <v>1.5</v>
      </c>
      <c r="G186" s="5">
        <v>1</v>
      </c>
      <c r="H186" s="5">
        <v>277</v>
      </c>
      <c r="I186" s="5">
        <v>29</v>
      </c>
      <c r="J186" s="5">
        <v>0</v>
      </c>
      <c r="K186" s="5">
        <v>2.8</v>
      </c>
      <c r="L186" s="5">
        <v>62.5</v>
      </c>
      <c r="M186" s="5">
        <v>5.0999999999999996</v>
      </c>
      <c r="N186" s="5">
        <v>57.4</v>
      </c>
      <c r="O186" s="5">
        <v>0</v>
      </c>
      <c r="P186" s="5">
        <v>5.0999999999999996</v>
      </c>
      <c r="Q186" s="5">
        <v>0.6</v>
      </c>
      <c r="R186" s="5">
        <v>0.27</v>
      </c>
      <c r="S186" s="5">
        <v>0.18</v>
      </c>
      <c r="T186" s="5">
        <v>0.06</v>
      </c>
      <c r="U186" s="5">
        <v>0</v>
      </c>
      <c r="V186" s="5">
        <v>2</v>
      </c>
      <c r="W186" s="5">
        <v>0</v>
      </c>
      <c r="X186" s="5">
        <v>12</v>
      </c>
      <c r="Y186" s="5">
        <v>0</v>
      </c>
      <c r="Z186" s="5">
        <v>0.1</v>
      </c>
      <c r="AA186" s="5">
        <v>0</v>
      </c>
      <c r="AB186" s="5">
        <v>0.43</v>
      </c>
      <c r="AC186" s="5">
        <v>0.15</v>
      </c>
      <c r="AD186" s="5">
        <v>1.9</v>
      </c>
      <c r="AE186" s="5">
        <v>7.0000000000000007E-2</v>
      </c>
      <c r="AF186" s="5">
        <v>14</v>
      </c>
      <c r="AG186" s="5">
        <v>0</v>
      </c>
      <c r="AH186" s="5">
        <v>0</v>
      </c>
      <c r="AI186" s="5">
        <v>0</v>
      </c>
      <c r="AJ186" s="5">
        <v>3.5</v>
      </c>
      <c r="AK186" s="5">
        <v>74</v>
      </c>
      <c r="AL186" s="5">
        <v>113</v>
      </c>
      <c r="AM186" s="5">
        <v>2.8</v>
      </c>
      <c r="AN186" s="5">
        <v>0</v>
      </c>
      <c r="AO186" s="5">
        <v>0.1</v>
      </c>
      <c r="AP186" s="5">
        <v>92</v>
      </c>
      <c r="AQ186" s="5">
        <v>28</v>
      </c>
      <c r="AR186" s="5">
        <v>628</v>
      </c>
      <c r="AS186" s="5">
        <v>0</v>
      </c>
      <c r="AT186" s="5">
        <v>0</v>
      </c>
      <c r="AU186" s="5">
        <v>1.3</v>
      </c>
      <c r="AV186" s="5">
        <f>IFERROR(VLOOKUP(IFERROR(VLOOKUP(D186,Mapa_Similitud!$A$2:$B$2000,2,FALSE()),D186),Hoja1!$A$2:$K$1000,2,FALSE()),IFERROR(VLOOKUP(IFERROR(VLOOKUP(D186,Mapa_Similitud!$A$2:$B$2000,2,FALSE()),D186),Omega3_Referencia!$A$2:$E$100,3,FALSE()),0))</f>
        <v>0</v>
      </c>
      <c r="AW186" s="3" t="str">
        <f>IFERROR(VLOOKUP(IFERROR(VLOOKUP(D186,Mapa_Similitud!$A$2:$B$2000,2,FALSE()),D186),Hoja1!$A$2:$K$1000,3,FALSE()),IFERROR(VLOOKUP(IFERROR(VLOOKUP(D186,Mapa_Similitud!$A$2:$B$2000,2,FALSE()),D186),Omega3_Referencia!$A$2:$E$100,4,FALSE()),"N/A"))</f>
        <v>N/A</v>
      </c>
      <c r="AX186" s="5">
        <f>IFERROR(VLOOKUP(IFERROR(VLOOKUP(D186,Mapa_Similitud!$A$2:$B$2000,2,FALSE()),D186),Hoja1!$A$2:$K$1000,5,FALSE()),0)</f>
        <v>0</v>
      </c>
      <c r="AY186" s="5">
        <f>IFERROR(VLOOKUP(IFERROR(VLOOKUP(D186,Mapa_Similitud!$A$2:$B$2000,2,FALSE()),D186),Hoja1!$A$2:$K$1000,7,FALSE()),0)</f>
        <v>45</v>
      </c>
      <c r="AZ186" s="5">
        <f>IFERROR(VLOOKUP(IFERROR(VLOOKUP(D186,Mapa_Similitud!$A$2:$B$2000,2,FALSE()),D186),Hoja1!$A$2:$K$1000,9,FALSE()),0)</f>
        <v>0</v>
      </c>
      <c r="BA186" s="25">
        <f t="shared" si="58"/>
        <v>1.0108303249097473E-2</v>
      </c>
      <c r="BB186" s="25">
        <f t="shared" si="59"/>
        <v>1.8411552346570395E-2</v>
      </c>
      <c r="BC186" s="25">
        <f t="shared" si="60"/>
        <v>0.26714801444043323</v>
      </c>
      <c r="BD186" s="25">
        <f t="shared" si="61"/>
        <v>1.0108303249097473E-2</v>
      </c>
      <c r="BE186" s="25">
        <f t="shared" si="62"/>
        <v>0.10108303249097472</v>
      </c>
      <c r="BF186" s="25">
        <f t="shared" si="63"/>
        <v>0.22222222222222221</v>
      </c>
      <c r="BG186" s="25">
        <f t="shared" si="64"/>
        <v>0.65486725663716816</v>
      </c>
      <c r="BH186" s="25">
        <f t="shared" si="65"/>
        <v>0.45000000000000007</v>
      </c>
      <c r="BI186" s="25">
        <f t="shared" si="66"/>
        <v>4.4585987261146494E-2</v>
      </c>
      <c r="BJ186" s="25">
        <f t="shared" si="67"/>
        <v>0.91839999999999999</v>
      </c>
      <c r="BK186" s="25">
        <f t="shared" si="68"/>
        <v>8.1599999999999992E-2</v>
      </c>
      <c r="BL186" s="25">
        <f t="shared" si="69"/>
        <v>1.9494584837545126E-2</v>
      </c>
      <c r="BM186" s="25">
        <f t="shared" si="70"/>
        <v>0.33212996389891697</v>
      </c>
      <c r="BN186" s="18" t="str">
        <f t="shared" si="76"/>
        <v>Baja fuente de proteína</v>
      </c>
      <c r="BO186" s="18" t="str">
        <f t="shared" si="77"/>
        <v>Media fuente de fibra</v>
      </c>
      <c r="BP186" s="18" t="str">
        <f t="shared" si="78"/>
        <v>Baja fuente de calcio</v>
      </c>
      <c r="BQ186" s="18" t="str">
        <f t="shared" si="79"/>
        <v>Media fuente de hierro</v>
      </c>
      <c r="BR186" s="18" t="str">
        <f t="shared" si="80"/>
        <v>Bajo en sodio</v>
      </c>
      <c r="BS186" s="6" t="str">
        <f t="shared" si="71"/>
        <v>Proinflamatorio</v>
      </c>
      <c r="BT186" s="6" t="str">
        <f t="shared" si="72"/>
        <v>Bajo en grasas</v>
      </c>
      <c r="BU186" s="18" t="str">
        <f t="shared" si="81"/>
        <v>Equilibrio de líquidos ideal</v>
      </c>
      <c r="BV186" s="18" t="str">
        <f t="shared" si="82"/>
        <v>Media fuente de magnesio</v>
      </c>
      <c r="BW186" s="18" t="str">
        <f t="shared" si="83"/>
        <v>Sin aporte de Omega 3</v>
      </c>
      <c r="BX186" s="18" t="str">
        <f t="shared" si="84"/>
        <v>Libre de grasas trans</v>
      </c>
      <c r="BY186" s="18" t="str">
        <f t="shared" si="85"/>
        <v>Medio poder antioxidante</v>
      </c>
      <c r="BZ186" s="6" t="str">
        <f t="shared" si="73"/>
        <v>Sin probióticos</v>
      </c>
      <c r="CA186" s="18" t="str">
        <f t="shared" si="86"/>
        <v>Poco inflamatorio</v>
      </c>
      <c r="CB186" s="18" t="str">
        <f>IF(ISNUMBER(SEARCH("miel", D186)), "No irritante (Uso condicionado SII)", IF(OR(J186&gt;0, ISNUMBER(SEARCH("cacao", D186)), ISNUMBER(SEARCH("chocolate puro", D186))), "Altamente irritante", IF(OR(AND(O186&gt;15, BI186&gt;1), ISNUMBER(SEARCH("chocolate", D186))), "Moderadamente irritante", "No irritante")))</f>
        <v>No irritante</v>
      </c>
      <c r="CC186" s="6" t="str">
        <f t="shared" si="74"/>
        <v>Sin Omega 3 para evaluar</v>
      </c>
    </row>
    <row r="187" spans="1:81" ht="15" customHeight="1" x14ac:dyDescent="0.3">
      <c r="A187" s="2">
        <f t="shared" si="75"/>
        <v>186</v>
      </c>
      <c r="B187" s="3" t="s">
        <v>234</v>
      </c>
      <c r="C187" s="3" t="s">
        <v>255</v>
      </c>
      <c r="D187" s="3" t="s">
        <v>298</v>
      </c>
      <c r="E187" s="3"/>
      <c r="F187" s="4">
        <v>1.5</v>
      </c>
      <c r="G187" s="5">
        <v>0.94</v>
      </c>
      <c r="H187" s="5">
        <v>70.3</v>
      </c>
      <c r="I187" s="5">
        <v>82.2</v>
      </c>
      <c r="J187" s="5">
        <v>0</v>
      </c>
      <c r="K187" s="5">
        <v>0.72</v>
      </c>
      <c r="L187" s="5">
        <v>16.100000000000001</v>
      </c>
      <c r="M187" s="5">
        <v>0</v>
      </c>
      <c r="N187" s="5">
        <v>16.100000000000001</v>
      </c>
      <c r="O187" s="5">
        <v>0</v>
      </c>
      <c r="P187" s="5">
        <v>0.8</v>
      </c>
      <c r="Q187" s="5">
        <v>0.16</v>
      </c>
      <c r="R187" s="5">
        <v>5.3999999999999999E-2</v>
      </c>
      <c r="S187" s="5">
        <v>7.0000000000000001E-3</v>
      </c>
      <c r="T187" s="5">
        <v>4.8000000000000001E-2</v>
      </c>
      <c r="U187" s="5">
        <v>0</v>
      </c>
      <c r="V187" s="5">
        <v>6.6</v>
      </c>
      <c r="W187" s="5">
        <v>0</v>
      </c>
      <c r="X187" s="5">
        <v>39.5</v>
      </c>
      <c r="Y187" s="5">
        <v>0</v>
      </c>
      <c r="Z187" s="5">
        <v>0.94</v>
      </c>
      <c r="AA187" s="5">
        <v>14.6</v>
      </c>
      <c r="AB187" s="5">
        <v>0.05</v>
      </c>
      <c r="AC187" s="5">
        <v>0.03</v>
      </c>
      <c r="AD187" s="5">
        <v>0.37</v>
      </c>
      <c r="AE187" s="5">
        <v>0.11</v>
      </c>
      <c r="AF187" s="5">
        <v>20</v>
      </c>
      <c r="AG187" s="5">
        <v>0</v>
      </c>
      <c r="AH187" s="5">
        <v>0.05</v>
      </c>
      <c r="AI187" s="5">
        <v>0</v>
      </c>
      <c r="AJ187" s="5">
        <v>3</v>
      </c>
      <c r="AK187" s="5">
        <v>17</v>
      </c>
      <c r="AL187" s="5">
        <v>22</v>
      </c>
      <c r="AM187" s="5">
        <v>0.6</v>
      </c>
      <c r="AN187" s="5">
        <v>2</v>
      </c>
      <c r="AO187" s="5">
        <v>0.2</v>
      </c>
      <c r="AP187" s="5">
        <v>10</v>
      </c>
      <c r="AQ187" s="5">
        <v>2</v>
      </c>
      <c r="AR187" s="5">
        <v>250</v>
      </c>
      <c r="AS187" s="5">
        <v>7.0000000000000007E-2</v>
      </c>
      <c r="AT187" s="5">
        <v>0.13</v>
      </c>
      <c r="AU187" s="5">
        <v>0.1</v>
      </c>
      <c r="AV187" s="5">
        <f>IFERROR(VLOOKUP(IFERROR(VLOOKUP(D187,Mapa_Similitud!$A$2:$B$2000,2,FALSE()),D187),Hoja1!$A$2:$K$1000,2,FALSE()),IFERROR(VLOOKUP(IFERROR(VLOOKUP(D187,Mapa_Similitud!$A$2:$B$2000,2,FALSE()),D187),Omega3_Referencia!$A$2:$E$100,3,FALSE()),0))</f>
        <v>0.01</v>
      </c>
      <c r="AW187" s="3" t="str">
        <f>IFERROR(VLOOKUP(IFERROR(VLOOKUP(D187,Mapa_Similitud!$A$2:$B$2000,2,FALSE()),D187),Hoja1!$A$2:$K$1000,3,FALSE()),IFERROR(VLOOKUP(IFERROR(VLOOKUP(D187,Mapa_Similitud!$A$2:$B$2000,2,FALSE()),D187),Omega3_Referencia!$A$2:$E$100,4,FALSE()),"N/A"))</f>
        <v>ALA</v>
      </c>
      <c r="AX187" s="5">
        <f>IFERROR(VLOOKUP(IFERROR(VLOOKUP(D187,Mapa_Similitud!$A$2:$B$2000,2,FALSE()),D187),Hoja1!$A$2:$K$1000,5,FALSE()),0)</f>
        <v>0</v>
      </c>
      <c r="AY187" s="5">
        <f>IFERROR(VLOOKUP(IFERROR(VLOOKUP(D187,Mapa_Similitud!$A$2:$B$2000,2,FALSE()),D187),Hoja1!$A$2:$K$1000,7,FALSE()),0)</f>
        <v>140</v>
      </c>
      <c r="AZ187" s="5">
        <f>IFERROR(VLOOKUP(IFERROR(VLOOKUP(D187,Mapa_Similitud!$A$2:$B$2000,2,FALSE()),D187),Hoja1!$A$2:$K$1000,9,FALSE()),0)</f>
        <v>0</v>
      </c>
      <c r="BA187" s="25">
        <f t="shared" si="58"/>
        <v>1.0241820768136558E-2</v>
      </c>
      <c r="BB187" s="25">
        <f t="shared" si="59"/>
        <v>1.1379800853485065E-2</v>
      </c>
      <c r="BC187" s="25">
        <f t="shared" si="60"/>
        <v>0.24182076813655762</v>
      </c>
      <c r="BD187" s="25">
        <f t="shared" si="61"/>
        <v>8.5348506401137988E-3</v>
      </c>
      <c r="BE187" s="25">
        <f t="shared" si="62"/>
        <v>2.8449502133712661E-2</v>
      </c>
      <c r="BF187" s="25">
        <f t="shared" si="63"/>
        <v>0.88888888888888895</v>
      </c>
      <c r="BG187" s="25">
        <f t="shared" si="64"/>
        <v>0.77272727272727271</v>
      </c>
      <c r="BH187" s="25">
        <f t="shared" si="65"/>
        <v>0.33749999999999997</v>
      </c>
      <c r="BI187" s="25">
        <f t="shared" si="66"/>
        <v>8.0000000000000002E-3</v>
      </c>
      <c r="BJ187" s="25">
        <f t="shared" si="67"/>
        <v>1</v>
      </c>
      <c r="BK187" s="25">
        <f t="shared" si="68"/>
        <v>4.9689440993788817E-2</v>
      </c>
      <c r="BL187" s="25">
        <f t="shared" si="69"/>
        <v>2.0483641536273117E-2</v>
      </c>
      <c r="BM187" s="25">
        <f t="shared" si="70"/>
        <v>0.14224751066856331</v>
      </c>
      <c r="BN187" s="18" t="str">
        <f t="shared" si="76"/>
        <v>Baja fuente de proteína</v>
      </c>
      <c r="BO187" s="18" t="str">
        <f t="shared" si="77"/>
        <v>Baja fuente de fibra</v>
      </c>
      <c r="BP187" s="18" t="str">
        <f t="shared" si="78"/>
        <v>Baja fuente de calcio</v>
      </c>
      <c r="BQ187" s="18" t="str">
        <f t="shared" si="79"/>
        <v>Media fuente de hierro</v>
      </c>
      <c r="BR187" s="18" t="str">
        <f t="shared" si="80"/>
        <v>Bajo en sodio</v>
      </c>
      <c r="BS187" s="6" t="str">
        <f t="shared" si="71"/>
        <v>Neutro</v>
      </c>
      <c r="BT187" s="6" t="str">
        <f t="shared" si="72"/>
        <v>Bajo en grasas</v>
      </c>
      <c r="BU187" s="18" t="str">
        <f t="shared" si="81"/>
        <v>Equilibrio de líquidos ideal</v>
      </c>
      <c r="BV187" s="18" t="str">
        <f t="shared" si="82"/>
        <v>Baja fuente de magnesio</v>
      </c>
      <c r="BW187" s="18" t="str">
        <f t="shared" si="83"/>
        <v>Sin aporte de Omega 3</v>
      </c>
      <c r="BX187" s="18" t="str">
        <f t="shared" si="84"/>
        <v>Libre de grasas trans</v>
      </c>
      <c r="BY187" s="18" t="str">
        <f t="shared" si="85"/>
        <v>Alto poder antioxidante</v>
      </c>
      <c r="BZ187" s="6" t="str">
        <f t="shared" si="73"/>
        <v>Sin probióticos</v>
      </c>
      <c r="CA187" s="18" t="str">
        <f t="shared" si="86"/>
        <v>Antiinflamatorio</v>
      </c>
      <c r="CB187" s="18" t="str">
        <f>IF(ISNUMBER(SEARCH("miel", D187)), "No irritante (Uso condicionado SII)", IF(OR(J187&gt;0, ISNUMBER(SEARCH("cacao", D187)), ISNUMBER(SEARCH("chocolate puro", D187))), "Altamente irritante", IF(OR(AND(O187&gt;15, BI187&gt;1), ISNUMBER(SEARCH("chocolate", D187))), "Moderadamente irritante", "No irritante")))</f>
        <v>No irritante</v>
      </c>
      <c r="CC187" s="6" t="str">
        <f t="shared" si="74"/>
        <v>Balance de omegas favorable</v>
      </c>
    </row>
    <row r="188" spans="1:81" ht="15" customHeight="1" x14ac:dyDescent="0.3">
      <c r="A188" s="2">
        <f t="shared" si="75"/>
        <v>187</v>
      </c>
      <c r="B188" s="3" t="s">
        <v>234</v>
      </c>
      <c r="C188" s="3" t="s">
        <v>255</v>
      </c>
      <c r="D188" s="3" t="s">
        <v>299</v>
      </c>
      <c r="E188" s="3"/>
      <c r="F188" s="4">
        <v>1.5</v>
      </c>
      <c r="G188" s="5">
        <v>0.94</v>
      </c>
      <c r="H188" s="5">
        <v>67.099999999999994</v>
      </c>
      <c r="I188" s="5">
        <v>83.2</v>
      </c>
      <c r="J188" s="5">
        <v>0</v>
      </c>
      <c r="K188" s="5">
        <v>0.72</v>
      </c>
      <c r="L188" s="5">
        <v>15.5</v>
      </c>
      <c r="M188" s="5">
        <v>0</v>
      </c>
      <c r="N188" s="5">
        <v>15.5</v>
      </c>
      <c r="O188" s="5">
        <v>0</v>
      </c>
      <c r="P188" s="5">
        <v>0.4</v>
      </c>
      <c r="Q188" s="5">
        <v>0.16</v>
      </c>
      <c r="R188" s="5">
        <v>5.3999999999999999E-2</v>
      </c>
      <c r="S188" s="5">
        <v>7.0000000000000001E-3</v>
      </c>
      <c r="T188" s="5">
        <v>4.8000000000000001E-2</v>
      </c>
      <c r="U188" s="5">
        <v>0</v>
      </c>
      <c r="V188" s="5">
        <v>6.6</v>
      </c>
      <c r="W188" s="5">
        <v>0</v>
      </c>
      <c r="X188" s="5">
        <v>39.5</v>
      </c>
      <c r="Y188" s="5">
        <v>0</v>
      </c>
      <c r="Z188" s="5">
        <v>0.7</v>
      </c>
      <c r="AA188" s="5">
        <v>14.6</v>
      </c>
      <c r="AB188" s="5">
        <v>0.04</v>
      </c>
      <c r="AC188" s="5">
        <v>0.02</v>
      </c>
      <c r="AD188" s="5">
        <v>0.37</v>
      </c>
      <c r="AE188" s="5">
        <v>0.16</v>
      </c>
      <c r="AF188" s="5">
        <v>27</v>
      </c>
      <c r="AG188" s="5">
        <v>0</v>
      </c>
      <c r="AH188" s="5">
        <v>0.05</v>
      </c>
      <c r="AI188" s="5">
        <v>0</v>
      </c>
      <c r="AJ188" s="5">
        <v>4</v>
      </c>
      <c r="AK188" s="5">
        <v>4</v>
      </c>
      <c r="AL188" s="5">
        <v>16</v>
      </c>
      <c r="AM188" s="5">
        <v>0.3</v>
      </c>
      <c r="AN188" s="5">
        <v>2</v>
      </c>
      <c r="AO188" s="5">
        <v>0.6</v>
      </c>
      <c r="AP188" s="5">
        <v>4</v>
      </c>
      <c r="AQ188" s="5">
        <v>2</v>
      </c>
      <c r="AR188" s="5">
        <v>320</v>
      </c>
      <c r="AS188" s="5">
        <v>7.0000000000000007E-2</v>
      </c>
      <c r="AT188" s="5">
        <v>0.13</v>
      </c>
      <c r="AU188" s="5">
        <v>0.1</v>
      </c>
      <c r="AV188" s="5">
        <f>IFERROR(VLOOKUP(IFERROR(VLOOKUP(D188,Mapa_Similitud!$A$2:$B$2000,2,FALSE()),D188),Hoja1!$A$2:$K$1000,2,FALSE()),IFERROR(VLOOKUP(IFERROR(VLOOKUP(D188,Mapa_Similitud!$A$2:$B$2000,2,FALSE()),D188),Omega3_Referencia!$A$2:$E$100,3,FALSE()),0))</f>
        <v>0.01</v>
      </c>
      <c r="AW188" s="3" t="str">
        <f>IFERROR(VLOOKUP(IFERROR(VLOOKUP(D188,Mapa_Similitud!$A$2:$B$2000,2,FALSE()),D188),Hoja1!$A$2:$K$1000,3,FALSE()),IFERROR(VLOOKUP(IFERROR(VLOOKUP(D188,Mapa_Similitud!$A$2:$B$2000,2,FALSE()),D188),Omega3_Referencia!$A$2:$E$100,4,FALSE()),"N/A"))</f>
        <v>ALA</v>
      </c>
      <c r="AX188" s="5">
        <f>IFERROR(VLOOKUP(IFERROR(VLOOKUP(D188,Mapa_Similitud!$A$2:$B$2000,2,FALSE()),D188),Hoja1!$A$2:$K$1000,5,FALSE()),0)</f>
        <v>0</v>
      </c>
      <c r="AY188" s="5">
        <f>IFERROR(VLOOKUP(IFERROR(VLOOKUP(D188,Mapa_Similitud!$A$2:$B$2000,2,FALSE()),D188),Hoja1!$A$2:$K$1000,7,FALSE()),0)</f>
        <v>184.9</v>
      </c>
      <c r="AZ188" s="5">
        <f>IFERROR(VLOOKUP(IFERROR(VLOOKUP(D188,Mapa_Similitud!$A$2:$B$2000,2,FALSE()),D188),Hoja1!$A$2:$K$1000,9,FALSE()),0)</f>
        <v>0</v>
      </c>
      <c r="BA188" s="25">
        <f t="shared" si="58"/>
        <v>1.0730253353204173E-2</v>
      </c>
      <c r="BB188" s="25">
        <f t="shared" si="59"/>
        <v>5.961251862891208E-3</v>
      </c>
      <c r="BC188" s="25">
        <f t="shared" si="60"/>
        <v>5.9612518628912078E-2</v>
      </c>
      <c r="BD188" s="25">
        <f t="shared" si="61"/>
        <v>4.4709388971684054E-3</v>
      </c>
      <c r="BE188" s="25">
        <f t="shared" si="62"/>
        <v>2.9806259314456039E-2</v>
      </c>
      <c r="BF188" s="25">
        <f t="shared" si="63"/>
        <v>0.88888888888888895</v>
      </c>
      <c r="BG188" s="25">
        <f t="shared" si="64"/>
        <v>0.25</v>
      </c>
      <c r="BH188" s="25">
        <f t="shared" si="65"/>
        <v>0.33749999999999997</v>
      </c>
      <c r="BI188" s="25">
        <f t="shared" si="66"/>
        <v>6.2500000000000003E-3</v>
      </c>
      <c r="BJ188" s="25">
        <f t="shared" si="67"/>
        <v>1</v>
      </c>
      <c r="BK188" s="25">
        <f t="shared" si="68"/>
        <v>2.5806451612903226E-2</v>
      </c>
      <c r="BL188" s="25">
        <f t="shared" si="69"/>
        <v>2.1460506706408346E-2</v>
      </c>
      <c r="BM188" s="25">
        <f t="shared" si="70"/>
        <v>5.9612518628912078E-2</v>
      </c>
      <c r="BN188" s="18" t="str">
        <f t="shared" si="76"/>
        <v>Baja fuente de proteína</v>
      </c>
      <c r="BO188" s="18" t="str">
        <f t="shared" si="77"/>
        <v>Baja fuente de fibra</v>
      </c>
      <c r="BP188" s="18" t="str">
        <f t="shared" si="78"/>
        <v>Baja fuente de calcio</v>
      </c>
      <c r="BQ188" s="18" t="str">
        <f t="shared" si="79"/>
        <v>Baja fuente de hierro</v>
      </c>
      <c r="BR188" s="18" t="str">
        <f t="shared" si="80"/>
        <v>Bajo en sodio</v>
      </c>
      <c r="BS188" s="6" t="str">
        <f t="shared" si="71"/>
        <v>Neutro</v>
      </c>
      <c r="BT188" s="6" t="str">
        <f t="shared" si="72"/>
        <v>Bajo en grasas</v>
      </c>
      <c r="BU188" s="18" t="str">
        <f t="shared" si="81"/>
        <v>Equilibrio de líquidos ideal</v>
      </c>
      <c r="BV188" s="18" t="str">
        <f t="shared" si="82"/>
        <v>Baja fuente de magnesio</v>
      </c>
      <c r="BW188" s="18" t="str">
        <f t="shared" si="83"/>
        <v>Sin aporte de Omega 3</v>
      </c>
      <c r="BX188" s="18" t="str">
        <f t="shared" si="84"/>
        <v>Libre de grasas trans</v>
      </c>
      <c r="BY188" s="18" t="str">
        <f t="shared" si="85"/>
        <v>Alto poder antioxidante</v>
      </c>
      <c r="BZ188" s="6" t="str">
        <f t="shared" si="73"/>
        <v>Sin probióticos</v>
      </c>
      <c r="CA188" s="18" t="str">
        <f t="shared" si="86"/>
        <v>Antiinflamatorio</v>
      </c>
      <c r="CB188" s="18" t="str">
        <f>IF(ISNUMBER(SEARCH("miel", D188)), "No irritante (Uso condicionado SII)", IF(OR(J188&gt;0, ISNUMBER(SEARCH("cacao", D188)), ISNUMBER(SEARCH("chocolate puro", D188))), "Altamente irritante", IF(OR(AND(O188&gt;15, BI188&gt;1), ISNUMBER(SEARCH("chocolate", D188))), "Moderadamente irritante", "No irritante")))</f>
        <v>No irritante</v>
      </c>
      <c r="CC188" s="6" t="str">
        <f t="shared" si="74"/>
        <v>Balance de omegas favorable</v>
      </c>
    </row>
    <row r="189" spans="1:81" ht="15" customHeight="1" x14ac:dyDescent="0.3">
      <c r="A189" s="2">
        <f t="shared" si="75"/>
        <v>188</v>
      </c>
      <c r="B189" s="3" t="s">
        <v>234</v>
      </c>
      <c r="C189" s="3" t="s">
        <v>300</v>
      </c>
      <c r="D189" s="3" t="s">
        <v>301</v>
      </c>
      <c r="E189" s="3"/>
      <c r="F189" s="4">
        <v>4</v>
      </c>
      <c r="G189" s="5">
        <v>0.4</v>
      </c>
      <c r="H189" s="5">
        <v>610</v>
      </c>
      <c r="I189" s="5">
        <v>5.7</v>
      </c>
      <c r="J189" s="5">
        <v>0</v>
      </c>
      <c r="K189" s="5">
        <v>18.7</v>
      </c>
      <c r="L189" s="5">
        <v>5.4</v>
      </c>
      <c r="M189" s="5">
        <v>2.1</v>
      </c>
      <c r="N189" s="5">
        <v>3.3</v>
      </c>
      <c r="O189" s="5">
        <v>0</v>
      </c>
      <c r="P189" s="5">
        <v>13.5</v>
      </c>
      <c r="Q189" s="5">
        <v>54.1</v>
      </c>
      <c r="R189" s="5">
        <v>4.0999999999999996</v>
      </c>
      <c r="S189" s="5">
        <v>33.1</v>
      </c>
      <c r="T189" s="5">
        <v>12.9</v>
      </c>
      <c r="U189" s="5">
        <v>0</v>
      </c>
      <c r="V189" s="5">
        <v>20</v>
      </c>
      <c r="W189" s="5">
        <v>0</v>
      </c>
      <c r="X189" s="5">
        <v>120</v>
      </c>
      <c r="Y189" s="5">
        <v>0</v>
      </c>
      <c r="Z189" s="5">
        <v>26.2</v>
      </c>
      <c r="AA189" s="5">
        <v>3</v>
      </c>
      <c r="AB189" s="5">
        <v>0.22</v>
      </c>
      <c r="AC189" s="5">
        <v>0.62</v>
      </c>
      <c r="AD189" s="5">
        <v>5.5</v>
      </c>
      <c r="AE189" s="5">
        <v>0.16</v>
      </c>
      <c r="AF189" s="5">
        <v>45</v>
      </c>
      <c r="AG189" s="5">
        <v>0</v>
      </c>
      <c r="AH189" s="5">
        <v>0.44</v>
      </c>
      <c r="AI189" s="5">
        <v>64</v>
      </c>
      <c r="AJ189" s="5">
        <v>0</v>
      </c>
      <c r="AK189" s="5">
        <v>252</v>
      </c>
      <c r="AL189" s="5">
        <v>454</v>
      </c>
      <c r="AM189" s="5">
        <v>4.0999999999999996</v>
      </c>
      <c r="AN189" s="5">
        <v>2</v>
      </c>
      <c r="AO189" s="5">
        <v>3.2</v>
      </c>
      <c r="AP189" s="5">
        <v>270</v>
      </c>
      <c r="AQ189" s="5">
        <v>14</v>
      </c>
      <c r="AR189" s="5">
        <v>835</v>
      </c>
      <c r="AS189" s="5">
        <v>1.9</v>
      </c>
      <c r="AT189" s="5">
        <v>0.85</v>
      </c>
      <c r="AU189" s="5">
        <v>3.5</v>
      </c>
      <c r="AV189" s="5">
        <f>IFERROR(VLOOKUP(IFERROR(VLOOKUP(D189,Mapa_Similitud!$A$2:$B$2000,2,FALSE()),D189),Hoja1!$A$2:$K$1000,2,FALSE()),IFERROR(VLOOKUP(IFERROR(VLOOKUP(D189,Mapa_Similitud!$A$2:$B$2000,2,FALSE()),D189),Omega3_Referencia!$A$2:$E$100,3,FALSE()),0))</f>
        <v>0.01</v>
      </c>
      <c r="AW189" s="3" t="str">
        <f>IFERROR(VLOOKUP(IFERROR(VLOOKUP(D189,Mapa_Similitud!$A$2:$B$2000,2,FALSE()),D189),Hoja1!$A$2:$K$1000,3,FALSE()),IFERROR(VLOOKUP(IFERROR(VLOOKUP(D189,Mapa_Similitud!$A$2:$B$2000,2,FALSE()),D189),Omega3_Referencia!$A$2:$E$100,4,FALSE()),"N/A"))</f>
        <v>ALA</v>
      </c>
      <c r="AX189" s="5">
        <f>IFERROR(VLOOKUP(IFERROR(VLOOKUP(D189,Mapa_Similitud!$A$2:$B$2000,2,FALSE()),D189),Hoja1!$A$2:$K$1000,5,FALSE()),0)</f>
        <v>0</v>
      </c>
      <c r="AY189" s="5">
        <f>IFERROR(VLOOKUP(IFERROR(VLOOKUP(D189,Mapa_Similitud!$A$2:$B$2000,2,FALSE()),D189),Hoja1!$A$2:$K$1000,7,FALSE()),0)</f>
        <v>150</v>
      </c>
      <c r="AZ189" s="5">
        <f>IFERROR(VLOOKUP(IFERROR(VLOOKUP(D189,Mapa_Similitud!$A$2:$B$2000,2,FALSE()),D189),Hoja1!$A$2:$K$1000,9,FALSE()),0)</f>
        <v>0</v>
      </c>
      <c r="BA189" s="25">
        <f t="shared" si="58"/>
        <v>3.0655737704918033E-2</v>
      </c>
      <c r="BB189" s="25">
        <f t="shared" si="59"/>
        <v>2.2131147540983605E-2</v>
      </c>
      <c r="BC189" s="25">
        <f t="shared" si="60"/>
        <v>0.41311475409836068</v>
      </c>
      <c r="BD189" s="25">
        <f t="shared" si="61"/>
        <v>6.7213114754098354E-3</v>
      </c>
      <c r="BE189" s="25">
        <f t="shared" si="62"/>
        <v>2.2950819672131147E-2</v>
      </c>
      <c r="BF189" s="25">
        <f t="shared" si="63"/>
        <v>3.1463414634146347</v>
      </c>
      <c r="BG189" s="25">
        <f t="shared" si="64"/>
        <v>0.55506607929515417</v>
      </c>
      <c r="BH189" s="25">
        <f t="shared" si="65"/>
        <v>7.5785582255083167E-2</v>
      </c>
      <c r="BI189" s="25">
        <f t="shared" si="66"/>
        <v>1.6766467065868262E-2</v>
      </c>
      <c r="BJ189" s="25">
        <f t="shared" si="67"/>
        <v>0.61111111111111105</v>
      </c>
      <c r="BK189" s="25">
        <f t="shared" si="68"/>
        <v>2.5</v>
      </c>
      <c r="BL189" s="25">
        <f t="shared" si="69"/>
        <v>0.79819672131147545</v>
      </c>
      <c r="BM189" s="25">
        <f t="shared" si="70"/>
        <v>0.44262295081967212</v>
      </c>
      <c r="BN189" s="18" t="str">
        <f t="shared" si="76"/>
        <v>Baja fuente de proteína</v>
      </c>
      <c r="BO189" s="18" t="str">
        <f t="shared" si="77"/>
        <v>Media fuente de fibra</v>
      </c>
      <c r="BP189" s="18" t="str">
        <f t="shared" si="78"/>
        <v>Baja fuente de calcio</v>
      </c>
      <c r="BQ189" s="18" t="str">
        <f t="shared" si="79"/>
        <v>Baja fuente de hierro</v>
      </c>
      <c r="BR189" s="18" t="str">
        <f t="shared" si="80"/>
        <v>Bajo en sodio</v>
      </c>
      <c r="BS189" s="6" t="str">
        <f t="shared" si="71"/>
        <v>Altamente antiinflamatorio</v>
      </c>
      <c r="BT189" s="6" t="str">
        <f t="shared" si="72"/>
        <v>Muy alto en grasas</v>
      </c>
      <c r="BU189" s="18" t="str">
        <f t="shared" si="81"/>
        <v>Equilibrio de líquidos ideal</v>
      </c>
      <c r="BV189" s="18" t="str">
        <f t="shared" si="82"/>
        <v>Media fuente de magnesio</v>
      </c>
      <c r="BW189" s="18" t="str">
        <f t="shared" si="83"/>
        <v>Sin aporte de Omega 3</v>
      </c>
      <c r="BX189" s="18" t="str">
        <f t="shared" si="84"/>
        <v>Libre de grasas trans</v>
      </c>
      <c r="BY189" s="18" t="str">
        <f t="shared" si="85"/>
        <v>Alto poder antioxidante</v>
      </c>
      <c r="BZ189" s="6" t="str">
        <f t="shared" si="73"/>
        <v>Sin probióticos</v>
      </c>
      <c r="CA189" s="18" t="str">
        <f t="shared" si="86"/>
        <v>Antiinflamatorio</v>
      </c>
      <c r="CB189" s="18" t="str">
        <f>IF(ISNUMBER(SEARCH("miel", D189)), "No irritante (Uso condicionado SII)", IF(OR(J189&gt;0, ISNUMBER(SEARCH("cacao", D189)), ISNUMBER(SEARCH("chocolate puro", D189))), "Altamente irritante", IF(OR(AND(O189&gt;15, BI189&gt;1), ISNUMBER(SEARCH("chocolate", D189))), "Moderadamente irritante", "No irritante")))</f>
        <v>No irritante</v>
      </c>
      <c r="CC189" s="6" t="str">
        <f t="shared" si="74"/>
        <v>Exceso relativo de Omega 6</v>
      </c>
    </row>
    <row r="190" spans="1:81" ht="15" customHeight="1" x14ac:dyDescent="0.3">
      <c r="A190" s="2">
        <f t="shared" si="75"/>
        <v>189</v>
      </c>
      <c r="B190" s="3" t="s">
        <v>234</v>
      </c>
      <c r="C190" s="3" t="s">
        <v>300</v>
      </c>
      <c r="D190" s="3" t="s">
        <v>302</v>
      </c>
      <c r="E190" s="3"/>
      <c r="F190" s="4">
        <v>4.5</v>
      </c>
      <c r="G190" s="5">
        <v>0.61</v>
      </c>
      <c r="H190" s="5">
        <v>661</v>
      </c>
      <c r="I190" s="5">
        <v>5.3</v>
      </c>
      <c r="J190" s="5">
        <v>0</v>
      </c>
      <c r="K190" s="5">
        <v>12</v>
      </c>
      <c r="L190" s="5">
        <v>10.5</v>
      </c>
      <c r="M190" s="5">
        <v>3.4</v>
      </c>
      <c r="N190" s="5">
        <v>7.1</v>
      </c>
      <c r="O190" s="5">
        <v>0</v>
      </c>
      <c r="P190" s="5">
        <v>8.1999999999999993</v>
      </c>
      <c r="Q190" s="5">
        <v>61.6</v>
      </c>
      <c r="R190" s="5">
        <v>4.0999999999999996</v>
      </c>
      <c r="S190" s="5">
        <v>45.9</v>
      </c>
      <c r="T190" s="5">
        <v>8.6</v>
      </c>
      <c r="U190" s="5">
        <v>0</v>
      </c>
      <c r="V190" s="5">
        <v>4.8</v>
      </c>
      <c r="W190" s="5">
        <v>0</v>
      </c>
      <c r="X190" s="5">
        <v>29</v>
      </c>
      <c r="Y190" s="5">
        <v>0</v>
      </c>
      <c r="Z190" s="5">
        <v>26.2</v>
      </c>
      <c r="AA190" s="5">
        <v>9</v>
      </c>
      <c r="AB190" s="5">
        <v>0.39</v>
      </c>
      <c r="AC190" s="5">
        <v>0.21</v>
      </c>
      <c r="AD190" s="5">
        <v>3.8</v>
      </c>
      <c r="AE190" s="5">
        <v>0.59</v>
      </c>
      <c r="AF190" s="5">
        <v>71</v>
      </c>
      <c r="AG190" s="5">
        <v>0</v>
      </c>
      <c r="AH190" s="5">
        <v>1.2</v>
      </c>
      <c r="AI190" s="5">
        <v>76</v>
      </c>
      <c r="AJ190" s="5">
        <v>3</v>
      </c>
      <c r="AK190" s="5">
        <v>226</v>
      </c>
      <c r="AL190" s="5">
        <v>333</v>
      </c>
      <c r="AM190" s="5">
        <v>3.8</v>
      </c>
      <c r="AN190" s="5">
        <v>1.5</v>
      </c>
      <c r="AO190" s="5">
        <v>2.1</v>
      </c>
      <c r="AP190" s="5">
        <v>156</v>
      </c>
      <c r="AQ190" s="5">
        <v>6</v>
      </c>
      <c r="AR190" s="5">
        <v>636</v>
      </c>
      <c r="AS190" s="5">
        <v>5.7</v>
      </c>
      <c r="AT190" s="5">
        <v>1.3</v>
      </c>
      <c r="AU190" s="5">
        <v>4.5</v>
      </c>
      <c r="AV190" s="5">
        <f>IFERROR(VLOOKUP(IFERROR(VLOOKUP(D190,Mapa_Similitud!$A$2:$B$2000,2,FALSE()),D190),Hoja1!$A$2:$K$1000,2,FALSE()),IFERROR(VLOOKUP(IFERROR(VLOOKUP(D190,Mapa_Similitud!$A$2:$B$2000,2,FALSE()),D190),Omega3_Referencia!$A$2:$E$100,3,FALSE()),0))</f>
        <v>0.02</v>
      </c>
      <c r="AW190" s="3" t="str">
        <f>IFERROR(VLOOKUP(IFERROR(VLOOKUP(D190,Mapa_Similitud!$A$2:$B$2000,2,FALSE()),D190),Hoja1!$A$2:$K$1000,3,FALSE()),IFERROR(VLOOKUP(IFERROR(VLOOKUP(D190,Mapa_Similitud!$A$2:$B$2000,2,FALSE()),D190),Omega3_Referencia!$A$2:$E$100,4,FALSE()),"N/A"))</f>
        <v>ALA</v>
      </c>
      <c r="AX190" s="5">
        <f>IFERROR(VLOOKUP(IFERROR(VLOOKUP(D190,Mapa_Similitud!$A$2:$B$2000,2,FALSE()),D190),Hoja1!$A$2:$K$1000,5,FALSE()),0)</f>
        <v>0</v>
      </c>
      <c r="AY190" s="5">
        <f>IFERROR(VLOOKUP(IFERROR(VLOOKUP(D190,Mapa_Similitud!$A$2:$B$2000,2,FALSE()),D190),Hoja1!$A$2:$K$1000,7,FALSE()),0)</f>
        <v>290</v>
      </c>
      <c r="AZ190" s="5">
        <f>IFERROR(VLOOKUP(IFERROR(VLOOKUP(D190,Mapa_Similitud!$A$2:$B$2000,2,FALSE()),D190),Hoja1!$A$2:$K$1000,9,FALSE()),0)</f>
        <v>0</v>
      </c>
      <c r="BA190" s="25">
        <f t="shared" si="58"/>
        <v>1.8154311649016642E-2</v>
      </c>
      <c r="BB190" s="25">
        <f t="shared" si="59"/>
        <v>1.2405446293494705E-2</v>
      </c>
      <c r="BC190" s="25">
        <f t="shared" si="60"/>
        <v>0.34190620272314676</v>
      </c>
      <c r="BD190" s="25">
        <f t="shared" si="61"/>
        <v>5.7488653555219362E-3</v>
      </c>
      <c r="BE190" s="25">
        <f t="shared" si="62"/>
        <v>9.0771558245083209E-3</v>
      </c>
      <c r="BF190" s="25">
        <f t="shared" si="63"/>
        <v>2.0975609756097562</v>
      </c>
      <c r="BG190" s="25">
        <f t="shared" si="64"/>
        <v>0.6786786786786787</v>
      </c>
      <c r="BH190" s="25">
        <f t="shared" si="65"/>
        <v>6.6558441558441553E-2</v>
      </c>
      <c r="BI190" s="25">
        <f t="shared" si="66"/>
        <v>9.433962264150943E-3</v>
      </c>
      <c r="BJ190" s="25">
        <f t="shared" si="67"/>
        <v>0.67619047619047612</v>
      </c>
      <c r="BK190" s="25">
        <f t="shared" si="68"/>
        <v>0.78095238095238084</v>
      </c>
      <c r="BL190" s="25">
        <f t="shared" si="69"/>
        <v>0.83872919818456881</v>
      </c>
      <c r="BM190" s="25">
        <f t="shared" si="70"/>
        <v>0.23600605143721634</v>
      </c>
      <c r="BN190" s="18" t="str">
        <f t="shared" si="76"/>
        <v>Baja fuente de proteína</v>
      </c>
      <c r="BO190" s="18" t="str">
        <f t="shared" si="77"/>
        <v>Baja fuente de fibra</v>
      </c>
      <c r="BP190" s="18" t="str">
        <f t="shared" si="78"/>
        <v>Baja fuente de calcio</v>
      </c>
      <c r="BQ190" s="18" t="str">
        <f t="shared" si="79"/>
        <v>Baja fuente de hierro</v>
      </c>
      <c r="BR190" s="18" t="str">
        <f t="shared" si="80"/>
        <v>Bajo en sodio</v>
      </c>
      <c r="BS190" s="6" t="str">
        <f t="shared" si="71"/>
        <v>Altamente antiinflamatorio</v>
      </c>
      <c r="BT190" s="6" t="str">
        <f t="shared" si="72"/>
        <v>Muy alto en grasas</v>
      </c>
      <c r="BU190" s="18" t="str">
        <f t="shared" si="81"/>
        <v>Equilibrio de líquidos ideal</v>
      </c>
      <c r="BV190" s="18" t="str">
        <f t="shared" si="82"/>
        <v>Media fuente de magnesio</v>
      </c>
      <c r="BW190" s="18" t="str">
        <f t="shared" si="83"/>
        <v>Sin aporte de Omega 3</v>
      </c>
      <c r="BX190" s="18" t="str">
        <f t="shared" si="84"/>
        <v>Libre de grasas trans</v>
      </c>
      <c r="BY190" s="18" t="str">
        <f t="shared" si="85"/>
        <v>Alto poder antioxidante</v>
      </c>
      <c r="BZ190" s="6" t="str">
        <f t="shared" si="73"/>
        <v>Sin probióticos</v>
      </c>
      <c r="CA190" s="18" t="str">
        <f t="shared" si="86"/>
        <v>Antiinflamatorio</v>
      </c>
      <c r="CB190" s="18" t="str">
        <f>IF(ISNUMBER(SEARCH("miel", D190)), "No irritante (Uso condicionado SII)", IF(OR(J190&gt;0, ISNUMBER(SEARCH("cacao", D190)), ISNUMBER(SEARCH("chocolate puro", D190))), "Altamente irritante", IF(OR(AND(O190&gt;15, BI190&gt;1), ISNUMBER(SEARCH("chocolate", D190))), "Moderadamente irritante", "No irritante")))</f>
        <v>No irritante</v>
      </c>
      <c r="CC190" s="6" t="str">
        <f t="shared" si="74"/>
        <v>Exceso relativo de Omega 6</v>
      </c>
    </row>
    <row r="191" spans="1:81" ht="15" customHeight="1" x14ac:dyDescent="0.3">
      <c r="A191" s="2">
        <f t="shared" si="75"/>
        <v>190</v>
      </c>
      <c r="B191" s="3" t="s">
        <v>234</v>
      </c>
      <c r="C191" s="3" t="s">
        <v>300</v>
      </c>
      <c r="D191" s="3" t="s">
        <v>303</v>
      </c>
      <c r="E191" s="3"/>
      <c r="F191" s="4">
        <v>8</v>
      </c>
      <c r="G191" s="5">
        <v>1</v>
      </c>
      <c r="H191" s="5">
        <v>661</v>
      </c>
      <c r="I191" s="5">
        <v>5.3</v>
      </c>
      <c r="J191" s="5">
        <v>0</v>
      </c>
      <c r="K191" s="5">
        <v>12</v>
      </c>
      <c r="L191" s="5">
        <v>10.5</v>
      </c>
      <c r="M191" s="5">
        <v>3.4</v>
      </c>
      <c r="N191" s="5">
        <v>7.1</v>
      </c>
      <c r="O191" s="5">
        <v>0</v>
      </c>
      <c r="P191" s="5">
        <v>8.1999999999999993</v>
      </c>
      <c r="Q191" s="5">
        <v>61.6</v>
      </c>
      <c r="R191" s="5">
        <v>4.0999999999999996</v>
      </c>
      <c r="S191" s="5">
        <v>45.9</v>
      </c>
      <c r="T191" s="5">
        <v>8.6</v>
      </c>
      <c r="U191" s="5">
        <v>0</v>
      </c>
      <c r="V191" s="5">
        <v>4.8</v>
      </c>
      <c r="W191" s="5">
        <v>0</v>
      </c>
      <c r="X191" s="5">
        <v>29</v>
      </c>
      <c r="Y191" s="5">
        <v>0</v>
      </c>
      <c r="Z191" s="5">
        <v>26.2</v>
      </c>
      <c r="AA191" s="5">
        <v>9</v>
      </c>
      <c r="AB191" s="5">
        <v>0.39</v>
      </c>
      <c r="AC191" s="5">
        <v>0.21</v>
      </c>
      <c r="AD191" s="5">
        <v>3.8</v>
      </c>
      <c r="AE191" s="5">
        <v>0.59</v>
      </c>
      <c r="AF191" s="5">
        <v>71</v>
      </c>
      <c r="AG191" s="5">
        <v>0</v>
      </c>
      <c r="AH191" s="5">
        <v>1.2</v>
      </c>
      <c r="AI191" s="5">
        <v>76</v>
      </c>
      <c r="AJ191" s="5">
        <v>3</v>
      </c>
      <c r="AK191" s="5">
        <v>226</v>
      </c>
      <c r="AL191" s="5">
        <v>333</v>
      </c>
      <c r="AM191" s="5">
        <v>3.8</v>
      </c>
      <c r="AN191" s="5">
        <v>1.5</v>
      </c>
      <c r="AO191" s="5">
        <v>2.1</v>
      </c>
      <c r="AP191" s="5">
        <v>156</v>
      </c>
      <c r="AQ191" s="5">
        <v>6</v>
      </c>
      <c r="AR191" s="5">
        <v>636</v>
      </c>
      <c r="AS191" s="5">
        <v>5.7</v>
      </c>
      <c r="AT191" s="5">
        <v>1.3</v>
      </c>
      <c r="AU191" s="5">
        <v>4.5</v>
      </c>
      <c r="AV191" s="5">
        <f>IFERROR(VLOOKUP(IFERROR(VLOOKUP(D191,Mapa_Similitud!$A$2:$B$2000,2,FALSE()),D191),Hoja1!$A$2:$K$1000,2,FALSE()),IFERROR(VLOOKUP(IFERROR(VLOOKUP(D191,Mapa_Similitud!$A$2:$B$2000,2,FALSE()),D191),Omega3_Referencia!$A$2:$E$100,3,FALSE()),0))</f>
        <v>0.02</v>
      </c>
      <c r="AW191" s="3" t="str">
        <f>IFERROR(VLOOKUP(IFERROR(VLOOKUP(D191,Mapa_Similitud!$A$2:$B$2000,2,FALSE()),D191),Hoja1!$A$2:$K$1000,3,FALSE()),IFERROR(VLOOKUP(IFERROR(VLOOKUP(D191,Mapa_Similitud!$A$2:$B$2000,2,FALSE()),D191),Omega3_Referencia!$A$2:$E$100,4,FALSE()),"N/A"))</f>
        <v>ALA</v>
      </c>
      <c r="AX191" s="5">
        <f>IFERROR(VLOOKUP(IFERROR(VLOOKUP(D191,Mapa_Similitud!$A$2:$B$2000,2,FALSE()),D191),Hoja1!$A$2:$K$1000,5,FALSE()),0)</f>
        <v>0</v>
      </c>
      <c r="AY191" s="5">
        <f>IFERROR(VLOOKUP(IFERROR(VLOOKUP(D191,Mapa_Similitud!$A$2:$B$2000,2,FALSE()),D191),Hoja1!$A$2:$K$1000,7,FALSE()),0)</f>
        <v>290</v>
      </c>
      <c r="AZ191" s="5">
        <f>IFERROR(VLOOKUP(IFERROR(VLOOKUP(D191,Mapa_Similitud!$A$2:$B$2000,2,FALSE()),D191),Hoja1!$A$2:$K$1000,9,FALSE()),0)</f>
        <v>0</v>
      </c>
      <c r="BA191" s="25">
        <f t="shared" si="58"/>
        <v>1.8154311649016642E-2</v>
      </c>
      <c r="BB191" s="25">
        <f t="shared" si="59"/>
        <v>1.2405446293494705E-2</v>
      </c>
      <c r="BC191" s="25">
        <f t="shared" si="60"/>
        <v>0.34190620272314676</v>
      </c>
      <c r="BD191" s="25">
        <f t="shared" si="61"/>
        <v>5.7488653555219362E-3</v>
      </c>
      <c r="BE191" s="25">
        <f t="shared" si="62"/>
        <v>9.0771558245083209E-3</v>
      </c>
      <c r="BF191" s="25">
        <f t="shared" si="63"/>
        <v>2.0975609756097562</v>
      </c>
      <c r="BG191" s="25">
        <f t="shared" si="64"/>
        <v>0.6786786786786787</v>
      </c>
      <c r="BH191" s="25">
        <f t="shared" si="65"/>
        <v>6.6558441558441553E-2</v>
      </c>
      <c r="BI191" s="25">
        <f t="shared" si="66"/>
        <v>9.433962264150943E-3</v>
      </c>
      <c r="BJ191" s="25">
        <f t="shared" si="67"/>
        <v>0.67619047619047612</v>
      </c>
      <c r="BK191" s="25">
        <f t="shared" si="68"/>
        <v>0.78095238095238084</v>
      </c>
      <c r="BL191" s="25">
        <f t="shared" si="69"/>
        <v>0.83872919818456881</v>
      </c>
      <c r="BM191" s="25">
        <f t="shared" si="70"/>
        <v>0.23600605143721634</v>
      </c>
      <c r="BN191" s="18" t="str">
        <f t="shared" si="76"/>
        <v>Baja fuente de proteína</v>
      </c>
      <c r="BO191" s="18" t="str">
        <f t="shared" si="77"/>
        <v>Baja fuente de fibra</v>
      </c>
      <c r="BP191" s="18" t="str">
        <f t="shared" si="78"/>
        <v>Baja fuente de calcio</v>
      </c>
      <c r="BQ191" s="18" t="str">
        <f t="shared" si="79"/>
        <v>Baja fuente de hierro</v>
      </c>
      <c r="BR191" s="18" t="str">
        <f t="shared" si="80"/>
        <v>Bajo en sodio</v>
      </c>
      <c r="BS191" s="6" t="str">
        <f t="shared" si="71"/>
        <v>Altamente antiinflamatorio</v>
      </c>
      <c r="BT191" s="6" t="str">
        <f t="shared" si="72"/>
        <v>Muy alto en grasas</v>
      </c>
      <c r="BU191" s="18" t="str">
        <f t="shared" si="81"/>
        <v>Equilibrio de líquidos ideal</v>
      </c>
      <c r="BV191" s="18" t="str">
        <f t="shared" si="82"/>
        <v>Media fuente de magnesio</v>
      </c>
      <c r="BW191" s="18" t="str">
        <f t="shared" si="83"/>
        <v>Sin aporte de Omega 3</v>
      </c>
      <c r="BX191" s="18" t="str">
        <f t="shared" si="84"/>
        <v>Libre de grasas trans</v>
      </c>
      <c r="BY191" s="18" t="str">
        <f t="shared" si="85"/>
        <v>Alto poder antioxidante</v>
      </c>
      <c r="BZ191" s="6" t="str">
        <f t="shared" si="73"/>
        <v>Sin probióticos</v>
      </c>
      <c r="CA191" s="18" t="str">
        <f t="shared" si="86"/>
        <v>Antiinflamatorio</v>
      </c>
      <c r="CB191" s="18" t="str">
        <f>IF(ISNUMBER(SEARCH("miel", D191)), "No irritante (Uso condicionado SII)", IF(OR(J191&gt;0, ISNUMBER(SEARCH("cacao", D191)), ISNUMBER(SEARCH("chocolate puro", D191))), "Altamente irritante", IF(OR(AND(O191&gt;15, BI191&gt;1), ISNUMBER(SEARCH("chocolate", D191))), "Moderadamente irritante", "No irritante")))</f>
        <v>No irritante</v>
      </c>
      <c r="CC191" s="6" t="str">
        <f t="shared" si="74"/>
        <v>Exceso relativo de Omega 6</v>
      </c>
    </row>
    <row r="192" spans="1:81" ht="15" customHeight="1" x14ac:dyDescent="0.3">
      <c r="A192" s="2">
        <f t="shared" si="75"/>
        <v>191</v>
      </c>
      <c r="B192" s="3" t="s">
        <v>234</v>
      </c>
      <c r="C192" s="3" t="s">
        <v>300</v>
      </c>
      <c r="D192" s="3" t="s">
        <v>304</v>
      </c>
      <c r="E192" s="3" t="s">
        <v>305</v>
      </c>
      <c r="F192" s="4">
        <v>1.5</v>
      </c>
      <c r="G192" s="5">
        <v>0.71</v>
      </c>
      <c r="H192" s="5">
        <v>563</v>
      </c>
      <c r="I192" s="5">
        <v>10.8</v>
      </c>
      <c r="J192" s="5">
        <v>0</v>
      </c>
      <c r="K192" s="5">
        <v>25.2</v>
      </c>
      <c r="L192" s="5">
        <v>7.9</v>
      </c>
      <c r="M192" s="5">
        <v>3.9</v>
      </c>
      <c r="N192" s="5">
        <v>4</v>
      </c>
      <c r="O192" s="5">
        <v>0</v>
      </c>
      <c r="P192" s="5">
        <v>8.1</v>
      </c>
      <c r="Q192" s="5">
        <v>46</v>
      </c>
      <c r="R192" s="5">
        <v>8.6999999999999993</v>
      </c>
      <c r="S192" s="5">
        <v>22</v>
      </c>
      <c r="T192" s="5">
        <v>13.2</v>
      </c>
      <c r="U192" s="5">
        <v>0</v>
      </c>
      <c r="V192" s="5">
        <v>0.33</v>
      </c>
      <c r="W192" s="5">
        <v>0</v>
      </c>
      <c r="X192" s="5">
        <v>2</v>
      </c>
      <c r="Y192" s="5">
        <v>0</v>
      </c>
      <c r="Z192" s="5">
        <v>10.9</v>
      </c>
      <c r="AA192" s="5">
        <v>2</v>
      </c>
      <c r="AB192" s="5">
        <v>0.9</v>
      </c>
      <c r="AC192" s="5">
        <v>0.16</v>
      </c>
      <c r="AD192" s="5">
        <v>18.399999999999999</v>
      </c>
      <c r="AE192" s="5">
        <v>0.44</v>
      </c>
      <c r="AF192" s="5">
        <v>110</v>
      </c>
      <c r="AG192" s="5">
        <v>0</v>
      </c>
      <c r="AH192" s="5">
        <v>2.7</v>
      </c>
      <c r="AI192" s="5">
        <v>3.4</v>
      </c>
      <c r="AJ192" s="5">
        <v>0</v>
      </c>
      <c r="AK192" s="5">
        <v>60</v>
      </c>
      <c r="AL192" s="5">
        <v>430</v>
      </c>
      <c r="AM192" s="5">
        <v>2.5</v>
      </c>
      <c r="AN192" s="5">
        <v>13</v>
      </c>
      <c r="AO192" s="5">
        <v>3.5</v>
      </c>
      <c r="AP192" s="5">
        <v>210</v>
      </c>
      <c r="AQ192" s="5">
        <v>2</v>
      </c>
      <c r="AR192" s="5">
        <v>670</v>
      </c>
      <c r="AS192" s="5">
        <v>1.6</v>
      </c>
      <c r="AT192" s="5">
        <v>0.76</v>
      </c>
      <c r="AU192" s="5">
        <v>7.2</v>
      </c>
      <c r="AV192" s="5">
        <f>IFERROR(VLOOKUP(IFERROR(VLOOKUP(D192,Mapa_Similitud!$A$2:$B$2000,2,FALSE()),D192),Hoja1!$A$2:$K$1000,2,FALSE()),IFERROR(VLOOKUP(IFERROR(VLOOKUP(D192,Mapa_Similitud!$A$2:$B$2000,2,FALSE()),D192),Omega3_Referencia!$A$2:$E$100,3,FALSE()),0))</f>
        <v>0</v>
      </c>
      <c r="AW192" s="3" t="str">
        <f>IFERROR(VLOOKUP(IFERROR(VLOOKUP(D192,Mapa_Similitud!$A$2:$B$2000,2,FALSE()),D192),Hoja1!$A$2:$K$1000,3,FALSE()),IFERROR(VLOOKUP(IFERROR(VLOOKUP(D192,Mapa_Similitud!$A$2:$B$2000,2,FALSE()),D192),Omega3_Referencia!$A$2:$E$100,4,FALSE()),"N/A"))</f>
        <v>N/A</v>
      </c>
      <c r="AX192" s="5">
        <f>IFERROR(VLOOKUP(IFERROR(VLOOKUP(D192,Mapa_Similitud!$A$2:$B$2000,2,FALSE()),D192),Hoja1!$A$2:$K$1000,5,FALSE()),0)</f>
        <v>0</v>
      </c>
      <c r="AY192" s="5">
        <f>IFERROR(VLOOKUP(IFERROR(VLOOKUP(D192,Mapa_Similitud!$A$2:$B$2000,2,FALSE()),D192),Hoja1!$A$2:$K$1000,7,FALSE()),0)</f>
        <v>60</v>
      </c>
      <c r="AZ192" s="5">
        <f>IFERROR(VLOOKUP(IFERROR(VLOOKUP(D192,Mapa_Similitud!$A$2:$B$2000,2,FALSE()),D192),Hoja1!$A$2:$K$1000,9,FALSE()),0)</f>
        <v>0</v>
      </c>
      <c r="BA192" s="25">
        <f t="shared" si="58"/>
        <v>4.4760213143872116E-2</v>
      </c>
      <c r="BB192" s="25">
        <f t="shared" si="59"/>
        <v>1.4387211367673179E-2</v>
      </c>
      <c r="BC192" s="25">
        <f t="shared" si="60"/>
        <v>0.10657193605683836</v>
      </c>
      <c r="BD192" s="25">
        <f t="shared" si="61"/>
        <v>4.4404973357015983E-3</v>
      </c>
      <c r="BE192" s="25">
        <f t="shared" si="62"/>
        <v>3.552397868561279E-3</v>
      </c>
      <c r="BF192" s="25">
        <f t="shared" si="63"/>
        <v>1.517241379310345</v>
      </c>
      <c r="BG192" s="25">
        <f t="shared" si="64"/>
        <v>0.13953488372093023</v>
      </c>
      <c r="BH192" s="25">
        <f t="shared" si="65"/>
        <v>0.18913043478260869</v>
      </c>
      <c r="BI192" s="25">
        <f t="shared" si="66"/>
        <v>2.9850746268656717E-3</v>
      </c>
      <c r="BJ192" s="25">
        <f t="shared" si="67"/>
        <v>0.50632911392405056</v>
      </c>
      <c r="BK192" s="25">
        <f t="shared" si="68"/>
        <v>1.0253164556962024</v>
      </c>
      <c r="BL192" s="25">
        <f t="shared" si="69"/>
        <v>0.73534635879218468</v>
      </c>
      <c r="BM192" s="25">
        <f t="shared" si="70"/>
        <v>0.37300177619893427</v>
      </c>
      <c r="BN192" s="18" t="str">
        <f t="shared" si="76"/>
        <v>Baja fuente de proteína</v>
      </c>
      <c r="BO192" s="18" t="str">
        <f t="shared" si="77"/>
        <v>Baja fuente de fibra</v>
      </c>
      <c r="BP192" s="18" t="str">
        <f t="shared" si="78"/>
        <v>Baja fuente de calcio</v>
      </c>
      <c r="BQ192" s="18" t="str">
        <f t="shared" si="79"/>
        <v>Baja fuente de hierro</v>
      </c>
      <c r="BR192" s="18" t="str">
        <f t="shared" si="80"/>
        <v>Bajo en sodio</v>
      </c>
      <c r="BS192" s="6" t="str">
        <f t="shared" si="71"/>
        <v>Ligeramente antiinflamatorio</v>
      </c>
      <c r="BT192" s="6" t="str">
        <f t="shared" si="72"/>
        <v>Muy alto en grasas</v>
      </c>
      <c r="BU192" s="18" t="str">
        <f t="shared" si="81"/>
        <v>Equilibrio de líquidos ideal</v>
      </c>
      <c r="BV192" s="18" t="str">
        <f t="shared" si="82"/>
        <v>Media fuente de magnesio</v>
      </c>
      <c r="BW192" s="18" t="str">
        <f t="shared" si="83"/>
        <v>Sin aporte de Omega 3</v>
      </c>
      <c r="BX192" s="18" t="str">
        <f t="shared" si="84"/>
        <v>Libre de grasas trans</v>
      </c>
      <c r="BY192" s="18" t="str">
        <f t="shared" si="85"/>
        <v>Alto poder antioxidante</v>
      </c>
      <c r="BZ192" s="6" t="str">
        <f t="shared" si="73"/>
        <v>Sin probióticos</v>
      </c>
      <c r="CA192" s="18" t="str">
        <f t="shared" si="86"/>
        <v>Antiinflamatorio</v>
      </c>
      <c r="CB192" s="18" t="str">
        <f>IF(ISNUMBER(SEARCH("miel", D192)), "No irritante (Uso condicionado SII)", IF(OR(J192&gt;0, ISNUMBER(SEARCH("cacao", D192)), ISNUMBER(SEARCH("chocolate puro", D192))), "Altamente irritante", IF(OR(AND(O192&gt;15, BI192&gt;1), ISNUMBER(SEARCH("chocolate", D192))), "Moderadamente irritante", "No irritante")))</f>
        <v>No irritante</v>
      </c>
      <c r="CC192" s="6" t="str">
        <f t="shared" si="74"/>
        <v>Sin Omega 3 para evaluar</v>
      </c>
    </row>
    <row r="193" spans="1:81" ht="15" customHeight="1" x14ac:dyDescent="0.3">
      <c r="A193" s="2">
        <f t="shared" si="75"/>
        <v>192</v>
      </c>
      <c r="B193" s="3" t="s">
        <v>234</v>
      </c>
      <c r="C193" s="3" t="s">
        <v>300</v>
      </c>
      <c r="D193" s="3" t="s">
        <v>306</v>
      </c>
      <c r="E193" s="3" t="s">
        <v>307</v>
      </c>
      <c r="F193" s="4">
        <v>2.5</v>
      </c>
      <c r="G193" s="5">
        <v>1</v>
      </c>
      <c r="H193" s="5">
        <v>627</v>
      </c>
      <c r="I193" s="5">
        <v>1.7</v>
      </c>
      <c r="J193" s="5">
        <v>0</v>
      </c>
      <c r="K193" s="5">
        <v>24.5</v>
      </c>
      <c r="L193" s="5">
        <v>8.9</v>
      </c>
      <c r="M193" s="5">
        <v>4</v>
      </c>
      <c r="N193" s="5">
        <v>4.9000000000000004</v>
      </c>
      <c r="O193" s="5">
        <v>0</v>
      </c>
      <c r="P193" s="5">
        <v>8.4</v>
      </c>
      <c r="Q193" s="5">
        <v>53</v>
      </c>
      <c r="R193" s="5">
        <v>9.5</v>
      </c>
      <c r="S193" s="5">
        <v>24.2</v>
      </c>
      <c r="T193" s="5">
        <v>16.5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7.4</v>
      </c>
      <c r="AA193" s="5">
        <v>26</v>
      </c>
      <c r="AB193" s="5">
        <v>0.18</v>
      </c>
      <c r="AC193" s="5">
        <v>0.1</v>
      </c>
      <c r="AD193" s="5">
        <v>17.5</v>
      </c>
      <c r="AE193" s="5">
        <v>0.3</v>
      </c>
      <c r="AF193" s="5">
        <v>52</v>
      </c>
      <c r="AG193" s="5">
        <v>0</v>
      </c>
      <c r="AH193" s="5">
        <v>1.7</v>
      </c>
      <c r="AI193" s="5">
        <v>107</v>
      </c>
      <c r="AJ193" s="5">
        <v>0</v>
      </c>
      <c r="AK193" s="5">
        <v>37</v>
      </c>
      <c r="AL193" s="5">
        <v>410</v>
      </c>
      <c r="AM193" s="5">
        <v>1.3</v>
      </c>
      <c r="AN193" s="5">
        <v>19</v>
      </c>
      <c r="AO193" s="5">
        <v>2.9</v>
      </c>
      <c r="AP193" s="5">
        <v>180</v>
      </c>
      <c r="AQ193" s="5">
        <v>400</v>
      </c>
      <c r="AR193" s="5">
        <v>810</v>
      </c>
      <c r="AS193" s="5">
        <v>119</v>
      </c>
      <c r="AT193" s="5">
        <v>0.54</v>
      </c>
      <c r="AU193" s="5">
        <v>4</v>
      </c>
      <c r="AV193" s="5">
        <f>IFERROR(VLOOKUP(IFERROR(VLOOKUP(D193,Mapa_Similitud!$A$2:$B$2000,2,FALSE()),D193),Hoja1!$A$2:$K$1000,2,FALSE()),IFERROR(VLOOKUP(IFERROR(VLOOKUP(D193,Mapa_Similitud!$A$2:$B$2000,2,FALSE()),D193),Omega3_Referencia!$A$2:$E$100,3,FALSE()),0))</f>
        <v>0</v>
      </c>
      <c r="AW193" s="3" t="str">
        <f>IFERROR(VLOOKUP(IFERROR(VLOOKUP(D193,Mapa_Similitud!$A$2:$B$2000,2,FALSE()),D193),Hoja1!$A$2:$K$1000,3,FALSE()),IFERROR(VLOOKUP(IFERROR(VLOOKUP(D193,Mapa_Similitud!$A$2:$B$2000,2,FALSE()),D193),Omega3_Referencia!$A$2:$E$100,4,FALSE()),"N/A"))</f>
        <v>N/A</v>
      </c>
      <c r="AX193" s="5">
        <f>IFERROR(VLOOKUP(IFERROR(VLOOKUP(D193,Mapa_Similitud!$A$2:$B$2000,2,FALSE()),D193),Hoja1!$A$2:$K$1000,5,FALSE()),0)</f>
        <v>0</v>
      </c>
      <c r="AY193" s="5">
        <f>IFERROR(VLOOKUP(IFERROR(VLOOKUP(D193,Mapa_Similitud!$A$2:$B$2000,2,FALSE()),D193),Hoja1!$A$2:$K$1000,7,FALSE()),0)</f>
        <v>40</v>
      </c>
      <c r="AZ193" s="5">
        <f>IFERROR(VLOOKUP(IFERROR(VLOOKUP(D193,Mapa_Similitud!$A$2:$B$2000,2,FALSE()),D193),Hoja1!$A$2:$K$1000,9,FALSE()),0)</f>
        <v>0</v>
      </c>
      <c r="BA193" s="25">
        <f t="shared" si="58"/>
        <v>3.9074960127591707E-2</v>
      </c>
      <c r="BB193" s="25">
        <f t="shared" si="59"/>
        <v>1.3397129186602871E-2</v>
      </c>
      <c r="BC193" s="25">
        <f t="shared" si="60"/>
        <v>5.9011164274322167E-2</v>
      </c>
      <c r="BD193" s="25">
        <f t="shared" si="61"/>
        <v>2.073365231259968E-3</v>
      </c>
      <c r="BE193" s="25">
        <f t="shared" si="62"/>
        <v>0.63795853269537484</v>
      </c>
      <c r="BF193" s="25">
        <f t="shared" si="63"/>
        <v>1.736842105263158</v>
      </c>
      <c r="BG193" s="25">
        <f t="shared" si="64"/>
        <v>9.0243902439024387E-2</v>
      </c>
      <c r="BH193" s="25">
        <f t="shared" si="65"/>
        <v>0.17924528301886791</v>
      </c>
      <c r="BI193" s="25">
        <f t="shared" si="66"/>
        <v>0.49382716049382713</v>
      </c>
      <c r="BJ193" s="25">
        <f t="shared" si="67"/>
        <v>0.550561797752809</v>
      </c>
      <c r="BK193" s="25">
        <f t="shared" si="68"/>
        <v>0.9438202247191011</v>
      </c>
      <c r="BL193" s="25">
        <f t="shared" si="69"/>
        <v>0.76076555023923442</v>
      </c>
      <c r="BM193" s="25">
        <f t="shared" si="70"/>
        <v>0.28708133971291866</v>
      </c>
      <c r="BN193" s="18" t="str">
        <f t="shared" si="76"/>
        <v>Baja fuente de proteína</v>
      </c>
      <c r="BO193" s="18" t="str">
        <f t="shared" si="77"/>
        <v>Baja fuente de fibra</v>
      </c>
      <c r="BP193" s="18" t="str">
        <f t="shared" si="78"/>
        <v>Baja fuente de calcio</v>
      </c>
      <c r="BQ193" s="18" t="str">
        <f t="shared" si="79"/>
        <v>Baja fuente de hierro</v>
      </c>
      <c r="BR193" s="18" t="str">
        <f t="shared" si="80"/>
        <v>Moderado en sodio</v>
      </c>
      <c r="BS193" s="6" t="str">
        <f t="shared" si="71"/>
        <v>Ligeramente antiinflamatorio</v>
      </c>
      <c r="BT193" s="6" t="str">
        <f t="shared" si="72"/>
        <v>Muy alto en grasas</v>
      </c>
      <c r="BU193" s="18" t="str">
        <f t="shared" si="81"/>
        <v>Equilibrio de líquidos ideal</v>
      </c>
      <c r="BV193" s="18" t="str">
        <f t="shared" si="82"/>
        <v>Media fuente de magnesio</v>
      </c>
      <c r="BW193" s="18" t="str">
        <f t="shared" si="83"/>
        <v>Sin aporte de Omega 3</v>
      </c>
      <c r="BX193" s="18" t="str">
        <f t="shared" si="84"/>
        <v>Libre de grasas trans</v>
      </c>
      <c r="BY193" s="18" t="str">
        <f t="shared" si="85"/>
        <v>Medio poder antioxidante</v>
      </c>
      <c r="BZ193" s="6" t="str">
        <f t="shared" si="73"/>
        <v>Sin probióticos</v>
      </c>
      <c r="CA193" s="18" t="str">
        <f t="shared" si="86"/>
        <v>Poco inflamatorio</v>
      </c>
      <c r="CB193" s="18" t="str">
        <f>IF(ISNUMBER(SEARCH("miel", D193)), "No irritante (Uso condicionado SII)", IF(OR(J193&gt;0, ISNUMBER(SEARCH("cacao", D193)), ISNUMBER(SEARCH("chocolate puro", D193))), "Altamente irritante", IF(OR(AND(O193&gt;15, BI193&gt;1), ISNUMBER(SEARCH("chocolate", D193))), "Moderadamente irritante", "No irritante")))</f>
        <v>No irritante</v>
      </c>
      <c r="CC193" s="6" t="str">
        <f t="shared" si="74"/>
        <v>Sin Omega 3 para evaluar</v>
      </c>
    </row>
    <row r="194" spans="1:81" ht="15" customHeight="1" x14ac:dyDescent="0.3">
      <c r="A194" s="2">
        <f t="shared" si="75"/>
        <v>193</v>
      </c>
      <c r="B194" s="3" t="s">
        <v>234</v>
      </c>
      <c r="C194" s="3" t="s">
        <v>300</v>
      </c>
      <c r="D194" s="3" t="s">
        <v>308</v>
      </c>
      <c r="E194" s="3" t="s">
        <v>309</v>
      </c>
      <c r="F194" s="4">
        <v>2</v>
      </c>
      <c r="G194" s="5">
        <v>1</v>
      </c>
      <c r="H194" s="5">
        <v>563</v>
      </c>
      <c r="I194" s="5">
        <v>10.6</v>
      </c>
      <c r="J194" s="5">
        <v>0</v>
      </c>
      <c r="K194" s="5">
        <v>25.2</v>
      </c>
      <c r="L194" s="5">
        <v>7.9</v>
      </c>
      <c r="M194" s="5">
        <v>3.9</v>
      </c>
      <c r="N194" s="5">
        <v>4</v>
      </c>
      <c r="O194" s="5">
        <v>0</v>
      </c>
      <c r="P194" s="5">
        <v>8.1</v>
      </c>
      <c r="Q194" s="5">
        <v>46</v>
      </c>
      <c r="R194" s="5">
        <v>8.6999999999999993</v>
      </c>
      <c r="S194" s="5">
        <v>22</v>
      </c>
      <c r="T194" s="5">
        <v>13.2</v>
      </c>
      <c r="U194" s="5">
        <v>0</v>
      </c>
      <c r="V194" s="5">
        <v>0.33</v>
      </c>
      <c r="W194" s="5">
        <v>0</v>
      </c>
      <c r="X194" s="5">
        <v>2</v>
      </c>
      <c r="Y194" s="5">
        <v>0</v>
      </c>
      <c r="Z194" s="5">
        <v>10.9</v>
      </c>
      <c r="AA194" s="5">
        <v>26</v>
      </c>
      <c r="AB194" s="5">
        <v>0.9</v>
      </c>
      <c r="AC194" s="5">
        <v>0.16</v>
      </c>
      <c r="AD194" s="5">
        <v>18.399999999999999</v>
      </c>
      <c r="AE194" s="5">
        <v>0.44</v>
      </c>
      <c r="AF194" s="5">
        <v>110</v>
      </c>
      <c r="AG194" s="5">
        <v>0</v>
      </c>
      <c r="AH194" s="5">
        <v>2.7</v>
      </c>
      <c r="AI194" s="5">
        <v>3.4</v>
      </c>
      <c r="AJ194" s="5">
        <v>0</v>
      </c>
      <c r="AK194" s="5">
        <v>60</v>
      </c>
      <c r="AL194" s="5">
        <v>430</v>
      </c>
      <c r="AM194" s="5">
        <v>2.5</v>
      </c>
      <c r="AN194" s="5">
        <v>13</v>
      </c>
      <c r="AO194" s="5">
        <v>3.5</v>
      </c>
      <c r="AP194" s="5">
        <v>210</v>
      </c>
      <c r="AQ194" s="5">
        <v>2</v>
      </c>
      <c r="AR194" s="5">
        <v>670</v>
      </c>
      <c r="AS194" s="5">
        <v>1.6</v>
      </c>
      <c r="AT194" s="5">
        <v>0.76</v>
      </c>
      <c r="AU194" s="5">
        <v>7.2</v>
      </c>
      <c r="AV194" s="5">
        <f>IFERROR(VLOOKUP(IFERROR(VLOOKUP(D194,Mapa_Similitud!$A$2:$B$2000,2,FALSE()),D194),Hoja1!$A$2:$K$1000,2,FALSE()),IFERROR(VLOOKUP(IFERROR(VLOOKUP(D194,Mapa_Similitud!$A$2:$B$2000,2,FALSE()),D194),Omega3_Referencia!$A$2:$E$100,3,FALSE()),0))</f>
        <v>0</v>
      </c>
      <c r="AW194" s="3" t="str">
        <f>IFERROR(VLOOKUP(IFERROR(VLOOKUP(D194,Mapa_Similitud!$A$2:$B$2000,2,FALSE()),D194),Hoja1!$A$2:$K$1000,3,FALSE()),IFERROR(VLOOKUP(IFERROR(VLOOKUP(D194,Mapa_Similitud!$A$2:$B$2000,2,FALSE()),D194),Omega3_Referencia!$A$2:$E$100,4,FALSE()),"N/A"))</f>
        <v>N/A</v>
      </c>
      <c r="AX194" s="5">
        <f>IFERROR(VLOOKUP(IFERROR(VLOOKUP(D194,Mapa_Similitud!$A$2:$B$2000,2,FALSE()),D194),Hoja1!$A$2:$K$1000,5,FALSE()),0)</f>
        <v>0</v>
      </c>
      <c r="AY194" s="5">
        <f>IFERROR(VLOOKUP(IFERROR(VLOOKUP(D194,Mapa_Similitud!$A$2:$B$2000,2,FALSE()),D194),Hoja1!$A$2:$K$1000,7,FALSE()),0)</f>
        <v>60</v>
      </c>
      <c r="AZ194" s="5">
        <f>IFERROR(VLOOKUP(IFERROR(VLOOKUP(D194,Mapa_Similitud!$A$2:$B$2000,2,FALSE()),D194),Hoja1!$A$2:$K$1000,9,FALSE()),0)</f>
        <v>0</v>
      </c>
      <c r="BA194" s="25">
        <f t="shared" ref="BA194:BA257" si="87">IFERROR(K194/H194,0)</f>
        <v>4.4760213143872116E-2</v>
      </c>
      <c r="BB194" s="25">
        <f t="shared" ref="BB194:BB257" si="88">IFERROR(P194/H194,0)</f>
        <v>1.4387211367673179E-2</v>
      </c>
      <c r="BC194" s="25">
        <f t="shared" ref="BC194:BC257" si="89">IFERROR(AK194/H194,0)</f>
        <v>0.10657193605683836</v>
      </c>
      <c r="BD194" s="25">
        <f t="shared" ref="BD194:BD257" si="90">IFERROR(AM194/H194,0)</f>
        <v>4.4404973357015983E-3</v>
      </c>
      <c r="BE194" s="25">
        <f t="shared" ref="BE194:BE257" si="91">IFERROR(AQ194/H194,0)</f>
        <v>3.552397868561279E-3</v>
      </c>
      <c r="BF194" s="25">
        <f t="shared" ref="BF194:BF257" si="92">IFERROR(T194/R194,0)</f>
        <v>1.517241379310345</v>
      </c>
      <c r="BG194" s="25">
        <f t="shared" ref="BG194:BG257" si="93">IFERROR(AK194/AL194,0)</f>
        <v>0.13953488372093023</v>
      </c>
      <c r="BH194" s="25">
        <f t="shared" ref="BH194:BH257" si="94">IFERROR(R194/Q194,0)</f>
        <v>0.18913043478260869</v>
      </c>
      <c r="BI194" s="25">
        <f t="shared" ref="BI194:BI257" si="95">IFERROR(AQ194/AR194,0)</f>
        <v>2.9850746268656717E-3</v>
      </c>
      <c r="BJ194" s="25">
        <f t="shared" ref="BJ194:BJ257" si="96">IFERROR(N194/L194,0)</f>
        <v>0.50632911392405056</v>
      </c>
      <c r="BK194" s="25">
        <f t="shared" ref="BK194:BK257" si="97">IFERROR(P194/L194,0)</f>
        <v>1.0253164556962024</v>
      </c>
      <c r="BL194" s="25">
        <f t="shared" ref="BL194:BL257" si="98">IFERROR((Q194*9)/H194,0)</f>
        <v>0.73534635879218468</v>
      </c>
      <c r="BM194" s="25">
        <f t="shared" ref="BM194:BM257" si="99">IFERROR(AP194/H194,0)</f>
        <v>0.37300177619893427</v>
      </c>
      <c r="BN194" s="18" t="str">
        <f t="shared" si="76"/>
        <v>Baja fuente de proteína</v>
      </c>
      <c r="BO194" s="18" t="str">
        <f t="shared" si="77"/>
        <v>Baja fuente de fibra</v>
      </c>
      <c r="BP194" s="18" t="str">
        <f t="shared" si="78"/>
        <v>Baja fuente de calcio</v>
      </c>
      <c r="BQ194" s="18" t="str">
        <f t="shared" si="79"/>
        <v>Baja fuente de hierro</v>
      </c>
      <c r="BR194" s="18" t="str">
        <f t="shared" si="80"/>
        <v>Bajo en sodio</v>
      </c>
      <c r="BS194" s="6" t="str">
        <f t="shared" ref="BS194:BS257" si="100">IF(BF194&gt;2,"Altamente antiinflamatorio",IF(BF194&gt;1,"Ligeramente antiinflamatorio",IF(BF194&gt;0.5,"Neutro","Proinflamatorio")))</f>
        <v>Ligeramente antiinflamatorio</v>
      </c>
      <c r="BT194" s="6" t="str">
        <f t="shared" ref="BT194:BT257" si="101">IF(BL194&gt;0.4,"Muy alto en grasas",IF(BL194&gt;0.3,"Alto en grasas",IF(BL194&gt;0.2,"Moderado en grasas","Bajo en grasas")))</f>
        <v>Muy alto en grasas</v>
      </c>
      <c r="BU194" s="18" t="str">
        <f t="shared" si="81"/>
        <v>Equilibrio de líquidos ideal</v>
      </c>
      <c r="BV194" s="18" t="str">
        <f t="shared" si="82"/>
        <v>Media fuente de magnesio</v>
      </c>
      <c r="BW194" s="18" t="str">
        <f t="shared" si="83"/>
        <v>Sin aporte de Omega 3</v>
      </c>
      <c r="BX194" s="18" t="str">
        <f t="shared" si="84"/>
        <v>Libre de grasas trans</v>
      </c>
      <c r="BY194" s="18" t="str">
        <f t="shared" si="85"/>
        <v>Alto poder antioxidante</v>
      </c>
      <c r="BZ194" s="6" t="str">
        <f t="shared" ref="BZ194:BZ257" si="102">IF(AZ194&gt;=1,"Probiótico activo","Sin probióticos")</f>
        <v>Sin probióticos</v>
      </c>
      <c r="CA194" s="18" t="str">
        <f t="shared" si="86"/>
        <v>Antiinflamatorio</v>
      </c>
      <c r="CB194" s="18" t="str">
        <f>IF(ISNUMBER(SEARCH("miel", D194)), "No irritante (Uso condicionado SII)", IF(OR(J194&gt;0, ISNUMBER(SEARCH("cacao", D194)), ISNUMBER(SEARCH("chocolate puro", D194))), "Altamente irritante", IF(OR(AND(O194&gt;15, BI194&gt;1), ISNUMBER(SEARCH("chocolate", D194))), "Moderadamente irritante", "No irritante")))</f>
        <v>No irritante</v>
      </c>
      <c r="CC194" s="6" t="str">
        <f t="shared" ref="CC194:CC257" si="103">IF(AV194=0,"Sin Omega 3 para evaluar",IFERROR(IF(((T194-AV194)/AV194)&gt;4,"Exceso relativo de Omega 6","Balance de omegas favorable"),"Sin Omega 3 para evaluar"))</f>
        <v>Sin Omega 3 para evaluar</v>
      </c>
    </row>
    <row r="195" spans="1:81" ht="15" customHeight="1" x14ac:dyDescent="0.3">
      <c r="A195" s="2">
        <f t="shared" ref="A195:A258" si="104">1+A194</f>
        <v>194</v>
      </c>
      <c r="B195" s="3" t="s">
        <v>234</v>
      </c>
      <c r="C195" s="3" t="s">
        <v>300</v>
      </c>
      <c r="D195" s="3" t="s">
        <v>310</v>
      </c>
      <c r="E195" s="3"/>
      <c r="F195" s="4">
        <v>5</v>
      </c>
      <c r="G195" s="5">
        <v>0.82</v>
      </c>
      <c r="H195" s="5">
        <v>190</v>
      </c>
      <c r="I195" s="5">
        <v>52</v>
      </c>
      <c r="J195" s="5">
        <v>0</v>
      </c>
      <c r="K195" s="5">
        <v>2.7</v>
      </c>
      <c r="L195" s="5">
        <v>36.5</v>
      </c>
      <c r="M195" s="5">
        <v>24.2</v>
      </c>
      <c r="N195" s="5">
        <v>12.3</v>
      </c>
      <c r="O195" s="5">
        <v>0</v>
      </c>
      <c r="P195" s="5">
        <v>6.7</v>
      </c>
      <c r="Q195" s="5">
        <v>2.2000000000000002</v>
      </c>
      <c r="R195" s="5">
        <v>0.4</v>
      </c>
      <c r="S195" s="5">
        <v>0.6</v>
      </c>
      <c r="T195" s="5">
        <v>0.6</v>
      </c>
      <c r="U195" s="5">
        <v>0</v>
      </c>
      <c r="V195" s="5">
        <v>4</v>
      </c>
      <c r="W195" s="5">
        <v>0</v>
      </c>
      <c r="X195" s="5">
        <v>24</v>
      </c>
      <c r="Y195" s="5">
        <v>0</v>
      </c>
      <c r="Z195" s="5">
        <v>1.2</v>
      </c>
      <c r="AA195" s="5">
        <v>11.2</v>
      </c>
      <c r="AB195" s="5">
        <v>0.18</v>
      </c>
      <c r="AC195" s="5">
        <v>0.23</v>
      </c>
      <c r="AD195" s="5">
        <v>0.95</v>
      </c>
      <c r="AE195" s="5">
        <v>0.32</v>
      </c>
      <c r="AF195" s="5">
        <v>12.4</v>
      </c>
      <c r="AG195" s="5">
        <v>0</v>
      </c>
      <c r="AH195" s="5">
        <v>0.49</v>
      </c>
      <c r="AI195" s="5">
        <v>1.5</v>
      </c>
      <c r="AJ195" s="5">
        <v>17.2</v>
      </c>
      <c r="AK195" s="5">
        <v>36.5</v>
      </c>
      <c r="AL195" s="5">
        <v>74</v>
      </c>
      <c r="AM195" s="5">
        <v>1.6</v>
      </c>
      <c r="AN195" s="5">
        <v>0.02</v>
      </c>
      <c r="AO195" s="5">
        <v>2.4</v>
      </c>
      <c r="AP195" s="5">
        <v>34.299999999999997</v>
      </c>
      <c r="AQ195" s="5">
        <v>11</v>
      </c>
      <c r="AR195" s="5">
        <v>500</v>
      </c>
      <c r="AS195" s="5">
        <v>0.5</v>
      </c>
      <c r="AT195" s="5">
        <v>0.23</v>
      </c>
      <c r="AU195" s="5">
        <v>1.8</v>
      </c>
      <c r="AV195" s="5">
        <f>IFERROR(VLOOKUP(IFERROR(VLOOKUP(D195,Mapa_Similitud!$A$2:$B$2000,2,FALSE()),D195),Hoja1!$A$2:$K$1000,2,FALSE()),IFERROR(VLOOKUP(IFERROR(VLOOKUP(D195,Mapa_Similitud!$A$2:$B$2000,2,FALSE()),D195),Omega3_Referencia!$A$2:$E$100,3,FALSE()),0))</f>
        <v>0.02</v>
      </c>
      <c r="AW195" s="3" t="str">
        <f>IFERROR(VLOOKUP(IFERROR(VLOOKUP(D195,Mapa_Similitud!$A$2:$B$2000,2,FALSE()),D195),Hoja1!$A$2:$K$1000,3,FALSE()),IFERROR(VLOOKUP(IFERROR(VLOOKUP(D195,Mapa_Similitud!$A$2:$B$2000,2,FALSE()),D195),Omega3_Referencia!$A$2:$E$100,4,FALSE()),"N/A"))</f>
        <v>ALA</v>
      </c>
      <c r="AX195" s="5">
        <f>IFERROR(VLOOKUP(IFERROR(VLOOKUP(D195,Mapa_Similitud!$A$2:$B$2000,2,FALSE()),D195),Hoja1!$A$2:$K$1000,5,FALSE()),0)</f>
        <v>0</v>
      </c>
      <c r="AY195" s="5">
        <f>IFERROR(VLOOKUP(IFERROR(VLOOKUP(D195,Mapa_Similitud!$A$2:$B$2000,2,FALSE()),D195),Hoja1!$A$2:$K$1000,7,FALSE()),0)</f>
        <v>85</v>
      </c>
      <c r="AZ195" s="5">
        <f>IFERROR(VLOOKUP(IFERROR(VLOOKUP(D195,Mapa_Similitud!$A$2:$B$2000,2,FALSE()),D195),Hoja1!$A$2:$K$1000,9,FALSE()),0)</f>
        <v>0</v>
      </c>
      <c r="BA195" s="25">
        <f t="shared" si="87"/>
        <v>1.4210526315789474E-2</v>
      </c>
      <c r="BB195" s="25">
        <f t="shared" si="88"/>
        <v>3.5263157894736843E-2</v>
      </c>
      <c r="BC195" s="25">
        <f t="shared" si="89"/>
        <v>0.19210526315789472</v>
      </c>
      <c r="BD195" s="25">
        <f t="shared" si="90"/>
        <v>8.4210526315789472E-3</v>
      </c>
      <c r="BE195" s="25">
        <f t="shared" si="91"/>
        <v>5.7894736842105263E-2</v>
      </c>
      <c r="BF195" s="25">
        <f t="shared" si="92"/>
        <v>1.4999999999999998</v>
      </c>
      <c r="BG195" s="25">
        <f t="shared" si="93"/>
        <v>0.49324324324324326</v>
      </c>
      <c r="BH195" s="25">
        <f t="shared" si="94"/>
        <v>0.18181818181818182</v>
      </c>
      <c r="BI195" s="25">
        <f t="shared" si="95"/>
        <v>2.1999999999999999E-2</v>
      </c>
      <c r="BJ195" s="25">
        <f t="shared" si="96"/>
        <v>0.33698630136986302</v>
      </c>
      <c r="BK195" s="25">
        <f t="shared" si="97"/>
        <v>0.18356164383561643</v>
      </c>
      <c r="BL195" s="25">
        <f t="shared" si="98"/>
        <v>0.10421052631578948</v>
      </c>
      <c r="BM195" s="25">
        <f t="shared" si="99"/>
        <v>0.18052631578947367</v>
      </c>
      <c r="BN195" s="18" t="str">
        <f t="shared" ref="BN195:BN258" si="105">IF(BA195&gt;0.2,"Muy alta fuente de proteína",IF(BA195&gt;0.15,"Alta fuente de proteína",IF(BA195&gt;0.1,"Media fuente de proteína","Baja fuente de proteína")))</f>
        <v>Baja fuente de proteína</v>
      </c>
      <c r="BO195" s="18" t="str">
        <f t="shared" ref="BO195:BO258" si="106">IF(BB195&gt;0.03,"Alta",IF(BB195&gt;0.015,"Media","Baja")) &amp; " fuente de fibra"</f>
        <v>Alta fuente de fibra</v>
      </c>
      <c r="BP195" s="18" t="str">
        <f t="shared" ref="BP195:BP258" si="107">IF(BC195&gt;1.5,"Alta fuente de calcio",IF(BC195&gt;0.8,"Media fuente de calcio","Baja fuente de calcio"))</f>
        <v>Baja fuente de calcio</v>
      </c>
      <c r="BQ195" s="18" t="str">
        <f t="shared" ref="BQ195:BQ258" si="108">IF(BD195&gt;0.015,"Alta fuente de hierro",IF(BD195&gt;0.008,"Media fuente de hierro","Baja fuente de hierro"))</f>
        <v>Media fuente de hierro</v>
      </c>
      <c r="BR195" s="18" t="str">
        <f t="shared" ref="BR195:BR258" si="109">IF(BE195&gt;2,"Muy alto",IF(BE195&gt;1,"Alto",IF(BE195&gt;0.5,"Moderado","Bajo"))) &amp; " en sodio"</f>
        <v>Bajo en sodio</v>
      </c>
      <c r="BS195" s="6" t="str">
        <f t="shared" si="100"/>
        <v>Ligeramente antiinflamatorio</v>
      </c>
      <c r="BT195" s="6" t="str">
        <f t="shared" si="101"/>
        <v>Bajo en grasas</v>
      </c>
      <c r="BU195" s="18" t="str">
        <f t="shared" ref="BU195:BU258" si="110">IF(BI195&gt;1,"Alto riesgo de retención de líquidos",IF(BI195&gt;0.5,"Riesgo moderado de retención","Equilibrio de líquidos ideal"))</f>
        <v>Equilibrio de líquidos ideal</v>
      </c>
      <c r="BV195" s="18" t="str">
        <f t="shared" ref="BV195:BV258" si="111">IF(BM195&gt;0.5,"Alta",IF(BM195&gt;0.2,"Media","Baja")) &amp; " fuente de magnesio"</f>
        <v>Baja fuente de magnesio</v>
      </c>
      <c r="BW195" s="18" t="str">
        <f t="shared" ref="BW195:BW258" si="112">IF(AV195&gt;=0.5,"Alta fuente de Omega 3",IF(AV195&gt;0.1,"Ligera fuente de Omega 3","Sin aporte de Omega 3"))</f>
        <v>Sin aporte de Omega 3</v>
      </c>
      <c r="BX195" s="18" t="str">
        <f t="shared" ref="BX195:BX258" si="113">IF(AX195&gt;0.5,"Alerta: Alto en grasas trans",IF(AX195&gt;0,"Contiene grasas trans","Libre de grasas trans"))</f>
        <v>Libre de grasas trans</v>
      </c>
      <c r="BY195" s="18" t="str">
        <f t="shared" ref="BY195:BY258" si="114">IF(AY195&gt;=50,"Alto",IF(AY195&gt;=10,"Medio","Bajo")) &amp; " poder antioxidante"</f>
        <v>Alto poder antioxidante</v>
      </c>
      <c r="BZ195" s="6" t="str">
        <f t="shared" si="102"/>
        <v>Sin probióticos</v>
      </c>
      <c r="CA195" s="18" t="str">
        <f t="shared" ref="CA195:CA258" si="115">IF(OR(AX195&gt;0.5, O195&gt;15, J195&gt;0), "Altamente inflamatorio", IF(OR(AV195&gt;=0.5, AY195&gt;=50), "Antiinflamatorio", IF(OR(AX195&gt;0, O195&gt;5), "Moderadamente inflamatorio", "Poco inflamatorio")))</f>
        <v>Antiinflamatorio</v>
      </c>
      <c r="CB195" s="18" t="str">
        <f>IF(ISNUMBER(SEARCH("miel", D195)), "No irritante (Uso condicionado SII)", IF(OR(J195&gt;0, ISNUMBER(SEARCH("cacao", D195)), ISNUMBER(SEARCH("chocolate puro", D195))), "Altamente irritante", IF(OR(AND(O195&gt;15, BI195&gt;1), ISNUMBER(SEARCH("chocolate", D195))), "Moderadamente irritante", "No irritante")))</f>
        <v>No irritante</v>
      </c>
      <c r="CC195" s="6" t="str">
        <f t="shared" si="103"/>
        <v>Exceso relativo de Omega 6</v>
      </c>
    </row>
    <row r="196" spans="1:81" ht="15" customHeight="1" x14ac:dyDescent="0.3">
      <c r="A196" s="2">
        <f t="shared" si="104"/>
        <v>195</v>
      </c>
      <c r="B196" s="3" t="s">
        <v>234</v>
      </c>
      <c r="C196" s="3" t="s">
        <v>300</v>
      </c>
      <c r="D196" s="3" t="s">
        <v>311</v>
      </c>
      <c r="E196" s="3"/>
      <c r="F196" s="4">
        <v>8</v>
      </c>
      <c r="G196" s="5">
        <v>1</v>
      </c>
      <c r="H196" s="5">
        <v>744</v>
      </c>
      <c r="I196" s="5">
        <v>6.2</v>
      </c>
      <c r="J196" s="5">
        <v>0</v>
      </c>
      <c r="K196" s="5">
        <v>7.9</v>
      </c>
      <c r="L196" s="5">
        <v>4.8</v>
      </c>
      <c r="M196" s="5">
        <v>0.8</v>
      </c>
      <c r="N196" s="5">
        <v>4</v>
      </c>
      <c r="O196" s="5">
        <v>0</v>
      </c>
      <c r="P196" s="5">
        <v>5.3</v>
      </c>
      <c r="Q196" s="5">
        <v>75.8</v>
      </c>
      <c r="R196" s="5">
        <v>6.4</v>
      </c>
      <c r="S196" s="5">
        <v>9.1999999999999993</v>
      </c>
      <c r="T196" s="5">
        <v>40.200000000000003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1.5</v>
      </c>
      <c r="AA196" s="5">
        <v>0</v>
      </c>
      <c r="AB196" s="5">
        <v>0.28000000000000003</v>
      </c>
      <c r="AC196" s="5">
        <v>0.06</v>
      </c>
      <c r="AD196" s="5">
        <v>1.6</v>
      </c>
      <c r="AE196" s="5">
        <v>0.28000000000000003</v>
      </c>
      <c r="AF196" s="5">
        <v>0</v>
      </c>
      <c r="AG196" s="5">
        <v>0</v>
      </c>
      <c r="AH196" s="5">
        <v>0</v>
      </c>
      <c r="AI196" s="5">
        <v>0</v>
      </c>
      <c r="AJ196" s="5">
        <v>1.2</v>
      </c>
      <c r="AK196" s="5">
        <v>47</v>
      </c>
      <c r="AL196" s="5">
        <v>200</v>
      </c>
      <c r="AM196" s="5">
        <v>1.6</v>
      </c>
      <c r="AN196" s="5">
        <v>0</v>
      </c>
      <c r="AO196" s="5">
        <v>1.1000000000000001</v>
      </c>
      <c r="AP196" s="5">
        <v>100</v>
      </c>
      <c r="AQ196" s="5">
        <v>280</v>
      </c>
      <c r="AR196" s="5">
        <v>300</v>
      </c>
      <c r="AS196" s="5">
        <v>0</v>
      </c>
      <c r="AT196" s="5">
        <v>0</v>
      </c>
      <c r="AU196" s="5">
        <v>7</v>
      </c>
      <c r="AV196" s="5">
        <f>IFERROR(VLOOKUP(IFERROR(VLOOKUP(D196,Mapa_Similitud!$A$2:$B$2000,2,FALSE()),D196),Hoja1!$A$2:$K$1000,2,FALSE()),IFERROR(VLOOKUP(IFERROR(VLOOKUP(D196,Mapa_Similitud!$A$2:$B$2000,2,FALSE()),D196),Omega3_Referencia!$A$2:$E$100,3,FALSE()),0))</f>
        <v>0.06</v>
      </c>
      <c r="AW196" s="3" t="str">
        <f>IFERROR(VLOOKUP(IFERROR(VLOOKUP(D196,Mapa_Similitud!$A$2:$B$2000,2,FALSE()),D196),Hoja1!$A$2:$K$1000,3,FALSE()),IFERROR(VLOOKUP(IFERROR(VLOOKUP(D196,Mapa_Similitud!$A$2:$B$2000,2,FALSE()),D196),Omega3_Referencia!$A$2:$E$100,4,FALSE()),"N/A"))</f>
        <v>ALA</v>
      </c>
      <c r="AX196" s="5">
        <f>IFERROR(VLOOKUP(IFERROR(VLOOKUP(D196,Mapa_Similitud!$A$2:$B$2000,2,FALSE()),D196),Hoja1!$A$2:$K$1000,5,FALSE()),0)</f>
        <v>0</v>
      </c>
      <c r="AY196" s="5">
        <f>IFERROR(VLOOKUP(IFERROR(VLOOKUP(D196,Mapa_Similitud!$A$2:$B$2000,2,FALSE()),D196),Hoja1!$A$2:$K$1000,7,FALSE()),0)</f>
        <v>45</v>
      </c>
      <c r="AZ196" s="5">
        <f>IFERROR(VLOOKUP(IFERROR(VLOOKUP(D196,Mapa_Similitud!$A$2:$B$2000,2,FALSE()),D196),Hoja1!$A$2:$K$1000,9,FALSE()),0)</f>
        <v>0</v>
      </c>
      <c r="BA196" s="25">
        <f t="shared" si="87"/>
        <v>1.0618279569892473E-2</v>
      </c>
      <c r="BB196" s="25">
        <f t="shared" si="88"/>
        <v>7.123655913978494E-3</v>
      </c>
      <c r="BC196" s="25">
        <f t="shared" si="89"/>
        <v>6.3172043010752688E-2</v>
      </c>
      <c r="BD196" s="25">
        <f t="shared" si="90"/>
        <v>2.1505376344086021E-3</v>
      </c>
      <c r="BE196" s="25">
        <f t="shared" si="91"/>
        <v>0.37634408602150538</v>
      </c>
      <c r="BF196" s="25">
        <f t="shared" si="92"/>
        <v>6.28125</v>
      </c>
      <c r="BG196" s="25">
        <f t="shared" si="93"/>
        <v>0.23499999999999999</v>
      </c>
      <c r="BH196" s="25">
        <f t="shared" si="94"/>
        <v>8.4432717678100275E-2</v>
      </c>
      <c r="BI196" s="25">
        <f t="shared" si="95"/>
        <v>0.93333333333333335</v>
      </c>
      <c r="BJ196" s="25">
        <f t="shared" si="96"/>
        <v>0.83333333333333337</v>
      </c>
      <c r="BK196" s="25">
        <f t="shared" si="97"/>
        <v>1.1041666666666667</v>
      </c>
      <c r="BL196" s="25">
        <f t="shared" si="98"/>
        <v>0.91693548387096768</v>
      </c>
      <c r="BM196" s="25">
        <f t="shared" si="99"/>
        <v>0.13440860215053763</v>
      </c>
      <c r="BN196" s="18" t="str">
        <f t="shared" si="105"/>
        <v>Baja fuente de proteína</v>
      </c>
      <c r="BO196" s="18" t="str">
        <f t="shared" si="106"/>
        <v>Baja fuente de fibra</v>
      </c>
      <c r="BP196" s="18" t="str">
        <f t="shared" si="107"/>
        <v>Baja fuente de calcio</v>
      </c>
      <c r="BQ196" s="18" t="str">
        <f t="shared" si="108"/>
        <v>Baja fuente de hierro</v>
      </c>
      <c r="BR196" s="18" t="str">
        <f t="shared" si="109"/>
        <v>Bajo en sodio</v>
      </c>
      <c r="BS196" s="6" t="str">
        <f t="shared" si="100"/>
        <v>Altamente antiinflamatorio</v>
      </c>
      <c r="BT196" s="6" t="str">
        <f t="shared" si="101"/>
        <v>Muy alto en grasas</v>
      </c>
      <c r="BU196" s="18" t="str">
        <f t="shared" si="110"/>
        <v>Riesgo moderado de retención</v>
      </c>
      <c r="BV196" s="18" t="str">
        <f t="shared" si="111"/>
        <v>Baja fuente de magnesio</v>
      </c>
      <c r="BW196" s="18" t="str">
        <f t="shared" si="112"/>
        <v>Sin aporte de Omega 3</v>
      </c>
      <c r="BX196" s="18" t="str">
        <f t="shared" si="113"/>
        <v>Libre de grasas trans</v>
      </c>
      <c r="BY196" s="18" t="str">
        <f t="shared" si="114"/>
        <v>Medio poder antioxidante</v>
      </c>
      <c r="BZ196" s="6" t="str">
        <f t="shared" si="102"/>
        <v>Sin probióticos</v>
      </c>
      <c r="CA196" s="18" t="str">
        <f t="shared" si="115"/>
        <v>Poco inflamatorio</v>
      </c>
      <c r="CB196" s="18" t="str">
        <f>IF(ISNUMBER(SEARCH("miel", D196)), "No irritante (Uso condicionado SII)", IF(OR(J196&gt;0, ISNUMBER(SEARCH("cacao", D196)), ISNUMBER(SEARCH("chocolate puro", D196))), "Altamente irritante", IF(OR(AND(O196&gt;15, BI196&gt;1), ISNUMBER(SEARCH("chocolate", D196))), "Moderadamente irritante", "No irritante")))</f>
        <v>No irritante</v>
      </c>
      <c r="CC196" s="6" t="str">
        <f t="shared" si="103"/>
        <v>Exceso relativo de Omega 6</v>
      </c>
    </row>
    <row r="197" spans="1:81" ht="15" customHeight="1" x14ac:dyDescent="0.3">
      <c r="A197" s="2">
        <f t="shared" si="104"/>
        <v>196</v>
      </c>
      <c r="B197" s="3" t="s">
        <v>234</v>
      </c>
      <c r="C197" s="3" t="s">
        <v>300</v>
      </c>
      <c r="D197" s="3" t="s">
        <v>312</v>
      </c>
      <c r="E197" s="3"/>
      <c r="F197" s="4">
        <v>7</v>
      </c>
      <c r="G197" s="5">
        <v>1</v>
      </c>
      <c r="H197" s="5">
        <v>732</v>
      </c>
      <c r="I197" s="5">
        <v>2.9</v>
      </c>
      <c r="J197" s="5">
        <v>0</v>
      </c>
      <c r="K197" s="5">
        <v>9.3000000000000007</v>
      </c>
      <c r="L197" s="5">
        <v>2.9</v>
      </c>
      <c r="M197" s="5">
        <v>0.31</v>
      </c>
      <c r="N197" s="5">
        <v>2.6</v>
      </c>
      <c r="O197" s="5">
        <v>0</v>
      </c>
      <c r="P197" s="5">
        <v>9.5</v>
      </c>
      <c r="Q197" s="5">
        <v>73.8</v>
      </c>
      <c r="R197" s="5">
        <v>6.8</v>
      </c>
      <c r="S197" s="5">
        <v>41.7</v>
      </c>
      <c r="T197" s="5">
        <v>21.8</v>
      </c>
      <c r="U197" s="5">
        <v>0</v>
      </c>
      <c r="V197" s="5">
        <v>0.9</v>
      </c>
      <c r="W197" s="5">
        <v>4.8</v>
      </c>
      <c r="X197" s="5">
        <v>0</v>
      </c>
      <c r="Y197" s="5">
        <v>29</v>
      </c>
      <c r="Z197" s="5">
        <v>0</v>
      </c>
      <c r="AA197" s="5">
        <v>0</v>
      </c>
      <c r="AB197" s="5">
        <v>0.53</v>
      </c>
      <c r="AC197" s="5">
        <v>0.12</v>
      </c>
      <c r="AD197" s="5">
        <v>1.2</v>
      </c>
      <c r="AE197" s="5">
        <v>0.2</v>
      </c>
      <c r="AF197" s="5">
        <v>17.7</v>
      </c>
      <c r="AG197" s="5">
        <v>0</v>
      </c>
      <c r="AH197" s="5">
        <v>0</v>
      </c>
      <c r="AI197" s="5">
        <v>0</v>
      </c>
      <c r="AJ197" s="5">
        <v>0</v>
      </c>
      <c r="AK197" s="5">
        <v>69.7</v>
      </c>
      <c r="AL197" s="5">
        <v>278</v>
      </c>
      <c r="AM197" s="5">
        <v>2.6</v>
      </c>
      <c r="AN197" s="5">
        <v>2</v>
      </c>
      <c r="AO197" s="5">
        <v>4.7</v>
      </c>
      <c r="AP197" s="5">
        <v>125</v>
      </c>
      <c r="AQ197" s="5">
        <v>0.67</v>
      </c>
      <c r="AR197" s="5">
        <v>409</v>
      </c>
      <c r="AS197" s="5">
        <v>0</v>
      </c>
      <c r="AT197" s="5">
        <v>0</v>
      </c>
      <c r="AU197" s="5">
        <v>5.2</v>
      </c>
      <c r="AV197" s="5">
        <f>IFERROR(VLOOKUP(IFERROR(VLOOKUP(D197,Mapa_Similitud!$A$2:$B$2000,2,FALSE()),D197),Hoja1!$A$2:$K$1000,2,FALSE()),IFERROR(VLOOKUP(IFERROR(VLOOKUP(D197,Mapa_Similitud!$A$2:$B$2000,2,FALSE()),D197),Omega3_Referencia!$A$2:$E$100,3,FALSE()),0))</f>
        <v>0.28000000000000003</v>
      </c>
      <c r="AW197" s="3" t="str">
        <f>IFERROR(VLOOKUP(IFERROR(VLOOKUP(D197,Mapa_Similitud!$A$2:$B$2000,2,FALSE()),D197),Hoja1!$A$2:$K$1000,3,FALSE()),IFERROR(VLOOKUP(IFERROR(VLOOKUP(D197,Mapa_Similitud!$A$2:$B$2000,2,FALSE()),D197),Omega3_Referencia!$A$2:$E$100,4,FALSE()),"N/A"))</f>
        <v>ALA</v>
      </c>
      <c r="AX197" s="5">
        <f>IFERROR(VLOOKUP(IFERROR(VLOOKUP(D197,Mapa_Similitud!$A$2:$B$2000,2,FALSE()),D197),Hoja1!$A$2:$K$1000,5,FALSE()),0)</f>
        <v>0</v>
      </c>
      <c r="AY197" s="5">
        <f>IFERROR(VLOOKUP(IFERROR(VLOOKUP(D197,Mapa_Similitud!$A$2:$B$2000,2,FALSE()),D197),Hoja1!$A$2:$K$1000,7,FALSE()),0)</f>
        <v>500</v>
      </c>
      <c r="AZ197" s="5">
        <f>IFERROR(VLOOKUP(IFERROR(VLOOKUP(D197,Mapa_Similitud!$A$2:$B$2000,2,FALSE()),D197),Hoja1!$A$2:$K$1000,9,FALSE()),0)</f>
        <v>0</v>
      </c>
      <c r="BA197" s="25">
        <f t="shared" si="87"/>
        <v>1.2704918032786887E-2</v>
      </c>
      <c r="BB197" s="25">
        <f t="shared" si="88"/>
        <v>1.2978142076502733E-2</v>
      </c>
      <c r="BC197" s="25">
        <f t="shared" si="89"/>
        <v>9.5218579234972678E-2</v>
      </c>
      <c r="BD197" s="25">
        <f t="shared" si="90"/>
        <v>3.5519125683060111E-3</v>
      </c>
      <c r="BE197" s="25">
        <f t="shared" si="91"/>
        <v>9.1530054644808749E-4</v>
      </c>
      <c r="BF197" s="25">
        <f t="shared" si="92"/>
        <v>3.2058823529411766</v>
      </c>
      <c r="BG197" s="25">
        <f t="shared" si="93"/>
        <v>0.25071942446043166</v>
      </c>
      <c r="BH197" s="25">
        <f t="shared" si="94"/>
        <v>9.2140921409214094E-2</v>
      </c>
      <c r="BI197" s="25">
        <f t="shared" si="95"/>
        <v>1.6381418092909536E-3</v>
      </c>
      <c r="BJ197" s="25">
        <f t="shared" si="96"/>
        <v>0.89655172413793105</v>
      </c>
      <c r="BK197" s="25">
        <f t="shared" si="97"/>
        <v>3.2758620689655173</v>
      </c>
      <c r="BL197" s="25">
        <f t="shared" si="98"/>
        <v>0.9073770491803278</v>
      </c>
      <c r="BM197" s="25">
        <f t="shared" si="99"/>
        <v>0.17076502732240437</v>
      </c>
      <c r="BN197" s="18" t="str">
        <f t="shared" si="105"/>
        <v>Baja fuente de proteína</v>
      </c>
      <c r="BO197" s="18" t="str">
        <f t="shared" si="106"/>
        <v>Baja fuente de fibra</v>
      </c>
      <c r="BP197" s="18" t="str">
        <f t="shared" si="107"/>
        <v>Baja fuente de calcio</v>
      </c>
      <c r="BQ197" s="18" t="str">
        <f t="shared" si="108"/>
        <v>Baja fuente de hierro</v>
      </c>
      <c r="BR197" s="18" t="str">
        <f t="shared" si="109"/>
        <v>Bajo en sodio</v>
      </c>
      <c r="BS197" s="6" t="str">
        <f t="shared" si="100"/>
        <v>Altamente antiinflamatorio</v>
      </c>
      <c r="BT197" s="6" t="str">
        <f t="shared" si="101"/>
        <v>Muy alto en grasas</v>
      </c>
      <c r="BU197" s="18" t="str">
        <f t="shared" si="110"/>
        <v>Equilibrio de líquidos ideal</v>
      </c>
      <c r="BV197" s="18" t="str">
        <f t="shared" si="111"/>
        <v>Baja fuente de magnesio</v>
      </c>
      <c r="BW197" s="18" t="str">
        <f t="shared" si="112"/>
        <v>Ligera fuente de Omega 3</v>
      </c>
      <c r="BX197" s="18" t="str">
        <f t="shared" si="113"/>
        <v>Libre de grasas trans</v>
      </c>
      <c r="BY197" s="18" t="str">
        <f t="shared" si="114"/>
        <v>Alto poder antioxidante</v>
      </c>
      <c r="BZ197" s="6" t="str">
        <f t="shared" si="102"/>
        <v>Sin probióticos</v>
      </c>
      <c r="CA197" s="18" t="str">
        <f t="shared" si="115"/>
        <v>Antiinflamatorio</v>
      </c>
      <c r="CB197" s="18" t="str">
        <f>IF(ISNUMBER(SEARCH("miel", D197)), "No irritante (Uso condicionado SII)", IF(OR(J197&gt;0, ISNUMBER(SEARCH("cacao", D197)), ISNUMBER(SEARCH("chocolate puro", D197))), "Altamente irritante", IF(OR(AND(O197&gt;15, BI197&gt;1), ISNUMBER(SEARCH("chocolate", D197))), "Moderadamente irritante", "No irritante")))</f>
        <v>No irritante</v>
      </c>
      <c r="CC197" s="6" t="str">
        <f t="shared" si="103"/>
        <v>Exceso relativo de Omega 6</v>
      </c>
    </row>
    <row r="198" spans="1:81" ht="15" customHeight="1" x14ac:dyDescent="0.3">
      <c r="A198" s="2">
        <f t="shared" si="104"/>
        <v>197</v>
      </c>
      <c r="B198" s="3" t="s">
        <v>234</v>
      </c>
      <c r="C198" s="3" t="s">
        <v>300</v>
      </c>
      <c r="D198" s="3" t="s">
        <v>313</v>
      </c>
      <c r="E198" s="3"/>
      <c r="F198" s="4">
        <v>3.5</v>
      </c>
      <c r="G198" s="5">
        <v>0.45</v>
      </c>
      <c r="H198" s="5">
        <v>649</v>
      </c>
      <c r="I198" s="5">
        <v>12.9</v>
      </c>
      <c r="J198" s="5">
        <v>0</v>
      </c>
      <c r="K198" s="5">
        <v>14.4</v>
      </c>
      <c r="L198" s="5">
        <v>4.4000000000000004</v>
      </c>
      <c r="M198" s="5">
        <v>0.24</v>
      </c>
      <c r="N198" s="5">
        <v>1.2</v>
      </c>
      <c r="O198" s="5">
        <v>0</v>
      </c>
      <c r="P198" s="5">
        <v>5.8</v>
      </c>
      <c r="Q198" s="5">
        <v>62.5</v>
      </c>
      <c r="R198" s="5">
        <v>6.8</v>
      </c>
      <c r="S198" s="5">
        <v>10.9</v>
      </c>
      <c r="T198" s="5">
        <v>41.7</v>
      </c>
      <c r="U198" s="5">
        <v>0</v>
      </c>
      <c r="V198" s="5">
        <v>4.5</v>
      </c>
      <c r="W198" s="5">
        <v>0</v>
      </c>
      <c r="X198" s="5">
        <v>27.2</v>
      </c>
      <c r="Y198" s="5">
        <v>0</v>
      </c>
      <c r="Z198" s="5">
        <v>3.5</v>
      </c>
      <c r="AA198" s="5">
        <v>2</v>
      </c>
      <c r="AB198" s="5">
        <v>0.34</v>
      </c>
      <c r="AC198" s="5">
        <v>0.12</v>
      </c>
      <c r="AD198" s="5">
        <v>3.6</v>
      </c>
      <c r="AE198" s="5">
        <v>0.87</v>
      </c>
      <c r="AF198" s="5">
        <v>77</v>
      </c>
      <c r="AG198" s="5">
        <v>0</v>
      </c>
      <c r="AH198" s="5">
        <v>1.4</v>
      </c>
      <c r="AI198" s="5">
        <v>19</v>
      </c>
      <c r="AJ198" s="5">
        <v>2.6</v>
      </c>
      <c r="AK198" s="5">
        <v>87.1</v>
      </c>
      <c r="AL198" s="5">
        <v>409</v>
      </c>
      <c r="AM198" s="5">
        <v>2.8</v>
      </c>
      <c r="AN198" s="5">
        <v>2.1</v>
      </c>
      <c r="AO198" s="5">
        <v>2.7</v>
      </c>
      <c r="AP198" s="5">
        <v>121</v>
      </c>
      <c r="AQ198" s="5">
        <v>2.4</v>
      </c>
      <c r="AR198" s="5">
        <v>544</v>
      </c>
      <c r="AS198" s="5">
        <v>2</v>
      </c>
      <c r="AT198" s="5">
        <v>0.88</v>
      </c>
      <c r="AU198" s="5">
        <v>5.5</v>
      </c>
      <c r="AV198" s="5">
        <f>IFERROR(VLOOKUP(IFERROR(VLOOKUP(D198,Mapa_Similitud!$A$2:$B$2000,2,FALSE()),D198),Hoja1!$A$2:$K$1000,2,FALSE()),IFERROR(VLOOKUP(IFERROR(VLOOKUP(D198,Mapa_Similitud!$A$2:$B$2000,2,FALSE()),D198),Omega3_Referencia!$A$2:$E$100,3,FALSE()),0))</f>
        <v>9.08</v>
      </c>
      <c r="AW198" s="3" t="str">
        <f>IFERROR(VLOOKUP(IFERROR(VLOOKUP(D198,Mapa_Similitud!$A$2:$B$2000,2,FALSE()),D198),Hoja1!$A$2:$K$1000,3,FALSE()),IFERROR(VLOOKUP(IFERROR(VLOOKUP(D198,Mapa_Similitud!$A$2:$B$2000,2,FALSE()),D198),Omega3_Referencia!$A$2:$E$100,4,FALSE()),"N/A"))</f>
        <v>ALA</v>
      </c>
      <c r="AX198" s="5">
        <f>IFERROR(VLOOKUP(IFERROR(VLOOKUP(D198,Mapa_Similitud!$A$2:$B$2000,2,FALSE()),D198),Hoja1!$A$2:$K$1000,5,FALSE()),0)</f>
        <v>0</v>
      </c>
      <c r="AY198" s="5">
        <f>IFERROR(VLOOKUP(IFERROR(VLOOKUP(D198,Mapa_Similitud!$A$2:$B$2000,2,FALSE()),D198),Hoja1!$A$2:$K$1000,7,FALSE()),0)</f>
        <v>1500</v>
      </c>
      <c r="AZ198" s="5">
        <f>IFERROR(VLOOKUP(IFERROR(VLOOKUP(D198,Mapa_Similitud!$A$2:$B$2000,2,FALSE()),D198),Hoja1!$A$2:$K$1000,9,FALSE()),0)</f>
        <v>0</v>
      </c>
      <c r="BA198" s="25">
        <f t="shared" si="87"/>
        <v>2.2187981510015407E-2</v>
      </c>
      <c r="BB198" s="25">
        <f t="shared" si="88"/>
        <v>8.9368258859784284E-3</v>
      </c>
      <c r="BC198" s="25">
        <f t="shared" si="89"/>
        <v>0.13420647149460707</v>
      </c>
      <c r="BD198" s="25">
        <f t="shared" si="90"/>
        <v>4.3143297380585513E-3</v>
      </c>
      <c r="BE198" s="25">
        <f t="shared" si="91"/>
        <v>3.6979969183359011E-3</v>
      </c>
      <c r="BF198" s="25">
        <f t="shared" si="92"/>
        <v>6.132352941176471</v>
      </c>
      <c r="BG198" s="25">
        <f t="shared" si="93"/>
        <v>0.21295843520782395</v>
      </c>
      <c r="BH198" s="25">
        <f t="shared" si="94"/>
        <v>0.10879999999999999</v>
      </c>
      <c r="BI198" s="25">
        <f t="shared" si="95"/>
        <v>4.4117647058823529E-3</v>
      </c>
      <c r="BJ198" s="25">
        <f t="shared" si="96"/>
        <v>0.27272727272727271</v>
      </c>
      <c r="BK198" s="25">
        <f t="shared" si="97"/>
        <v>1.3181818181818181</v>
      </c>
      <c r="BL198" s="25">
        <f t="shared" si="98"/>
        <v>0.86671802773497686</v>
      </c>
      <c r="BM198" s="25">
        <f t="shared" si="99"/>
        <v>0.1864406779661017</v>
      </c>
      <c r="BN198" s="18" t="str">
        <f t="shared" si="105"/>
        <v>Baja fuente de proteína</v>
      </c>
      <c r="BO198" s="18" t="str">
        <f t="shared" si="106"/>
        <v>Baja fuente de fibra</v>
      </c>
      <c r="BP198" s="18" t="str">
        <f t="shared" si="107"/>
        <v>Baja fuente de calcio</v>
      </c>
      <c r="BQ198" s="18" t="str">
        <f t="shared" si="108"/>
        <v>Baja fuente de hierro</v>
      </c>
      <c r="BR198" s="18" t="str">
        <f t="shared" si="109"/>
        <v>Bajo en sodio</v>
      </c>
      <c r="BS198" s="6" t="str">
        <f t="shared" si="100"/>
        <v>Altamente antiinflamatorio</v>
      </c>
      <c r="BT198" s="6" t="str">
        <f t="shared" si="101"/>
        <v>Muy alto en grasas</v>
      </c>
      <c r="BU198" s="18" t="str">
        <f t="shared" si="110"/>
        <v>Equilibrio de líquidos ideal</v>
      </c>
      <c r="BV198" s="18" t="str">
        <f t="shared" si="111"/>
        <v>Baja fuente de magnesio</v>
      </c>
      <c r="BW198" s="18" t="str">
        <f t="shared" si="112"/>
        <v>Alta fuente de Omega 3</v>
      </c>
      <c r="BX198" s="18" t="str">
        <f t="shared" si="113"/>
        <v>Libre de grasas trans</v>
      </c>
      <c r="BY198" s="18" t="str">
        <f t="shared" si="114"/>
        <v>Alto poder antioxidante</v>
      </c>
      <c r="BZ198" s="6" t="str">
        <f t="shared" si="102"/>
        <v>Sin probióticos</v>
      </c>
      <c r="CA198" s="18" t="str">
        <f t="shared" si="115"/>
        <v>Antiinflamatorio</v>
      </c>
      <c r="CB198" s="18" t="str">
        <f>IF(ISNUMBER(SEARCH("miel", D198)), "No irritante (Uso condicionado SII)", IF(OR(J198&gt;0, ISNUMBER(SEARCH("cacao", D198)), ISNUMBER(SEARCH("chocolate puro", D198))), "Altamente irritante", IF(OR(AND(O198&gt;15, BI198&gt;1), ISNUMBER(SEARCH("chocolate", D198))), "Moderadamente irritante", "No irritante")))</f>
        <v>No irritante</v>
      </c>
      <c r="CC198" s="6" t="str">
        <f t="shared" si="103"/>
        <v>Balance de omegas favorable</v>
      </c>
    </row>
    <row r="199" spans="1:81" ht="15" customHeight="1" x14ac:dyDescent="0.3">
      <c r="A199" s="2">
        <f t="shared" si="104"/>
        <v>198</v>
      </c>
      <c r="B199" s="3" t="s">
        <v>234</v>
      </c>
      <c r="C199" s="3" t="s">
        <v>300</v>
      </c>
      <c r="D199" s="3" t="s">
        <v>314</v>
      </c>
      <c r="E199" s="3"/>
      <c r="F199" s="4">
        <v>7</v>
      </c>
      <c r="G199" s="5">
        <v>1</v>
      </c>
      <c r="H199" s="5">
        <v>649</v>
      </c>
      <c r="I199" s="5">
        <v>12.9</v>
      </c>
      <c r="J199" s="5">
        <v>0</v>
      </c>
      <c r="K199" s="5">
        <v>14.4</v>
      </c>
      <c r="L199" s="5">
        <v>4.4000000000000004</v>
      </c>
      <c r="M199" s="5">
        <v>0.24</v>
      </c>
      <c r="N199" s="5">
        <v>1.2</v>
      </c>
      <c r="O199" s="5">
        <v>0</v>
      </c>
      <c r="P199" s="5">
        <v>5.8</v>
      </c>
      <c r="Q199" s="5">
        <v>62.5</v>
      </c>
      <c r="R199" s="5">
        <v>6.8</v>
      </c>
      <c r="S199" s="5">
        <v>10.9</v>
      </c>
      <c r="T199" s="5">
        <v>41.7</v>
      </c>
      <c r="U199" s="5">
        <v>0</v>
      </c>
      <c r="V199" s="5">
        <v>4.5</v>
      </c>
      <c r="W199" s="5">
        <v>0</v>
      </c>
      <c r="X199" s="5">
        <v>27.2</v>
      </c>
      <c r="Y199" s="5">
        <v>0</v>
      </c>
      <c r="Z199" s="5">
        <v>3.5</v>
      </c>
      <c r="AA199" s="5">
        <v>2</v>
      </c>
      <c r="AB199" s="5">
        <v>0.34</v>
      </c>
      <c r="AC199" s="5">
        <v>0.12</v>
      </c>
      <c r="AD199" s="5">
        <v>3.6</v>
      </c>
      <c r="AE199" s="5">
        <v>0.87</v>
      </c>
      <c r="AF199" s="5">
        <v>77</v>
      </c>
      <c r="AG199" s="5">
        <v>0</v>
      </c>
      <c r="AH199" s="5">
        <v>1.4</v>
      </c>
      <c r="AI199" s="5">
        <v>19</v>
      </c>
      <c r="AJ199" s="5">
        <v>2.6</v>
      </c>
      <c r="AK199" s="5">
        <v>87.1</v>
      </c>
      <c r="AL199" s="5">
        <v>409</v>
      </c>
      <c r="AM199" s="5">
        <v>2.8</v>
      </c>
      <c r="AN199" s="5">
        <v>2.1</v>
      </c>
      <c r="AO199" s="5">
        <v>2.7</v>
      </c>
      <c r="AP199" s="5">
        <v>121</v>
      </c>
      <c r="AQ199" s="5">
        <v>2.4</v>
      </c>
      <c r="AR199" s="5">
        <v>544</v>
      </c>
      <c r="AS199" s="5">
        <v>2</v>
      </c>
      <c r="AT199" s="5">
        <v>0.88</v>
      </c>
      <c r="AU199" s="5">
        <v>5.5</v>
      </c>
      <c r="AV199" s="5">
        <f>IFERROR(VLOOKUP(IFERROR(VLOOKUP(D199,Mapa_Similitud!$A$2:$B$2000,2,FALSE()),D199),Hoja1!$A$2:$K$1000,2,FALSE()),IFERROR(VLOOKUP(IFERROR(VLOOKUP(D199,Mapa_Similitud!$A$2:$B$2000,2,FALSE()),D199),Omega3_Referencia!$A$2:$E$100,3,FALSE()),0))</f>
        <v>9.08</v>
      </c>
      <c r="AW199" s="3" t="str">
        <f>IFERROR(VLOOKUP(IFERROR(VLOOKUP(D199,Mapa_Similitud!$A$2:$B$2000,2,FALSE()),D199),Hoja1!$A$2:$K$1000,3,FALSE()),IFERROR(VLOOKUP(IFERROR(VLOOKUP(D199,Mapa_Similitud!$A$2:$B$2000,2,FALSE()),D199),Omega3_Referencia!$A$2:$E$100,4,FALSE()),"N/A"))</f>
        <v>ALA</v>
      </c>
      <c r="AX199" s="5">
        <f>IFERROR(VLOOKUP(IFERROR(VLOOKUP(D199,Mapa_Similitud!$A$2:$B$2000,2,FALSE()),D199),Hoja1!$A$2:$K$1000,5,FALSE()),0)</f>
        <v>0</v>
      </c>
      <c r="AY199" s="5">
        <f>IFERROR(VLOOKUP(IFERROR(VLOOKUP(D199,Mapa_Similitud!$A$2:$B$2000,2,FALSE()),D199),Hoja1!$A$2:$K$1000,7,FALSE()),0)</f>
        <v>1500</v>
      </c>
      <c r="AZ199" s="5">
        <f>IFERROR(VLOOKUP(IFERROR(VLOOKUP(D199,Mapa_Similitud!$A$2:$B$2000,2,FALSE()),D199),Hoja1!$A$2:$K$1000,9,FALSE()),0)</f>
        <v>0</v>
      </c>
      <c r="BA199" s="25">
        <f t="shared" si="87"/>
        <v>2.2187981510015407E-2</v>
      </c>
      <c r="BB199" s="25">
        <f t="shared" si="88"/>
        <v>8.9368258859784284E-3</v>
      </c>
      <c r="BC199" s="25">
        <f t="shared" si="89"/>
        <v>0.13420647149460707</v>
      </c>
      <c r="BD199" s="25">
        <f t="shared" si="90"/>
        <v>4.3143297380585513E-3</v>
      </c>
      <c r="BE199" s="25">
        <f t="shared" si="91"/>
        <v>3.6979969183359011E-3</v>
      </c>
      <c r="BF199" s="25">
        <f t="shared" si="92"/>
        <v>6.132352941176471</v>
      </c>
      <c r="BG199" s="25">
        <f t="shared" si="93"/>
        <v>0.21295843520782395</v>
      </c>
      <c r="BH199" s="25">
        <f t="shared" si="94"/>
        <v>0.10879999999999999</v>
      </c>
      <c r="BI199" s="25">
        <f t="shared" si="95"/>
        <v>4.4117647058823529E-3</v>
      </c>
      <c r="BJ199" s="25">
        <f t="shared" si="96"/>
        <v>0.27272727272727271</v>
      </c>
      <c r="BK199" s="25">
        <f t="shared" si="97"/>
        <v>1.3181818181818181</v>
      </c>
      <c r="BL199" s="25">
        <f t="shared" si="98"/>
        <v>0.86671802773497686</v>
      </c>
      <c r="BM199" s="25">
        <f t="shared" si="99"/>
        <v>0.1864406779661017</v>
      </c>
      <c r="BN199" s="18" t="str">
        <f t="shared" si="105"/>
        <v>Baja fuente de proteína</v>
      </c>
      <c r="BO199" s="18" t="str">
        <f t="shared" si="106"/>
        <v>Baja fuente de fibra</v>
      </c>
      <c r="BP199" s="18" t="str">
        <f t="shared" si="107"/>
        <v>Baja fuente de calcio</v>
      </c>
      <c r="BQ199" s="18" t="str">
        <f t="shared" si="108"/>
        <v>Baja fuente de hierro</v>
      </c>
      <c r="BR199" s="18" t="str">
        <f t="shared" si="109"/>
        <v>Bajo en sodio</v>
      </c>
      <c r="BS199" s="6" t="str">
        <f t="shared" si="100"/>
        <v>Altamente antiinflamatorio</v>
      </c>
      <c r="BT199" s="6" t="str">
        <f t="shared" si="101"/>
        <v>Muy alto en grasas</v>
      </c>
      <c r="BU199" s="18" t="str">
        <f t="shared" si="110"/>
        <v>Equilibrio de líquidos ideal</v>
      </c>
      <c r="BV199" s="18" t="str">
        <f t="shared" si="111"/>
        <v>Baja fuente de magnesio</v>
      </c>
      <c r="BW199" s="18" t="str">
        <f t="shared" si="112"/>
        <v>Alta fuente de Omega 3</v>
      </c>
      <c r="BX199" s="18" t="str">
        <f t="shared" si="113"/>
        <v>Libre de grasas trans</v>
      </c>
      <c r="BY199" s="18" t="str">
        <f t="shared" si="114"/>
        <v>Alto poder antioxidante</v>
      </c>
      <c r="BZ199" s="6" t="str">
        <f t="shared" si="102"/>
        <v>Sin probióticos</v>
      </c>
      <c r="CA199" s="18" t="str">
        <f t="shared" si="115"/>
        <v>Antiinflamatorio</v>
      </c>
      <c r="CB199" s="18" t="str">
        <f>IF(ISNUMBER(SEARCH("miel", D199)), "No irritante (Uso condicionado SII)", IF(OR(J199&gt;0, ISNUMBER(SEARCH("cacao", D199)), ISNUMBER(SEARCH("chocolate puro", D199))), "Altamente irritante", IF(OR(AND(O199&gt;15, BI199&gt;1), ISNUMBER(SEARCH("chocolate", D199))), "Moderadamente irritante", "No irritante")))</f>
        <v>No irritante</v>
      </c>
      <c r="CC199" s="6" t="str">
        <f t="shared" si="103"/>
        <v>Balance de omegas favorable</v>
      </c>
    </row>
    <row r="200" spans="1:81" ht="15" customHeight="1" x14ac:dyDescent="0.3">
      <c r="A200" s="2">
        <f t="shared" si="104"/>
        <v>199</v>
      </c>
      <c r="B200" s="3" t="s">
        <v>234</v>
      </c>
      <c r="C200" s="3" t="s">
        <v>300</v>
      </c>
      <c r="D200" s="3" t="s">
        <v>315</v>
      </c>
      <c r="E200" s="3"/>
      <c r="F200" s="4">
        <v>2</v>
      </c>
      <c r="G200" s="5">
        <v>1</v>
      </c>
      <c r="H200" s="5">
        <v>640</v>
      </c>
      <c r="I200" s="5">
        <v>0.9</v>
      </c>
      <c r="J200" s="5">
        <v>0</v>
      </c>
      <c r="K200" s="5">
        <v>17.3</v>
      </c>
      <c r="L200" s="5">
        <v>9.1</v>
      </c>
      <c r="M200" s="5">
        <v>8.4</v>
      </c>
      <c r="N200" s="5">
        <v>0.74</v>
      </c>
      <c r="O200" s="5">
        <v>0</v>
      </c>
      <c r="P200" s="5">
        <v>11.5</v>
      </c>
      <c r="Q200" s="5">
        <v>56.8</v>
      </c>
      <c r="R200" s="5">
        <v>6</v>
      </c>
      <c r="S200" s="5">
        <v>10.8</v>
      </c>
      <c r="T200" s="5">
        <v>37.5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37.799999999999997</v>
      </c>
      <c r="AA200" s="5">
        <v>2.7</v>
      </c>
      <c r="AB200" s="5">
        <v>0.33</v>
      </c>
      <c r="AC200" s="5">
        <v>0.28999999999999998</v>
      </c>
      <c r="AD200" s="5">
        <v>8.1999999999999993</v>
      </c>
      <c r="AE200" s="5">
        <v>0.81</v>
      </c>
      <c r="AF200" s="5">
        <v>238</v>
      </c>
      <c r="AG200" s="5">
        <v>0</v>
      </c>
      <c r="AH200" s="5">
        <v>7.1</v>
      </c>
      <c r="AI200" s="5">
        <v>0</v>
      </c>
      <c r="AJ200" s="5">
        <v>1.4</v>
      </c>
      <c r="AK200" s="5">
        <v>57</v>
      </c>
      <c r="AL200" s="5">
        <v>1158</v>
      </c>
      <c r="AM200" s="5">
        <v>6.8</v>
      </c>
      <c r="AN200" s="5">
        <v>0</v>
      </c>
      <c r="AO200" s="5">
        <v>5.3</v>
      </c>
      <c r="AP200" s="5">
        <v>129</v>
      </c>
      <c r="AQ200" s="5">
        <v>613</v>
      </c>
      <c r="AR200" s="5">
        <v>491</v>
      </c>
      <c r="AS200" s="5">
        <v>2.1</v>
      </c>
      <c r="AT200" s="5">
        <v>1.8</v>
      </c>
      <c r="AU200" s="5">
        <v>62.2</v>
      </c>
      <c r="AV200" s="5">
        <f>IFERROR(VLOOKUP(IFERROR(VLOOKUP(D200,Mapa_Similitud!$A$2:$B$2000,2,FALSE()),D200),Hoja1!$A$2:$K$1000,2,FALSE()),IFERROR(VLOOKUP(IFERROR(VLOOKUP(D200,Mapa_Similitud!$A$2:$B$2000,2,FALSE()),D200),Omega3_Referencia!$A$2:$E$100,3,FALSE()),0))</f>
        <v>0.02</v>
      </c>
      <c r="AW200" s="3" t="str">
        <f>IFERROR(VLOOKUP(IFERROR(VLOOKUP(D200,Mapa_Similitud!$A$2:$B$2000,2,FALSE()),D200),Hoja1!$A$2:$K$1000,3,FALSE()),IFERROR(VLOOKUP(IFERROR(VLOOKUP(D200,Mapa_Similitud!$A$2:$B$2000,2,FALSE()),D200),Omega3_Referencia!$A$2:$E$100,4,FALSE()),"N/A"))</f>
        <v>ALA</v>
      </c>
      <c r="AX200" s="5">
        <f>IFERROR(VLOOKUP(IFERROR(VLOOKUP(D200,Mapa_Similitud!$A$2:$B$2000,2,FALSE()),D200),Hoja1!$A$2:$K$1000,5,FALSE()),0)</f>
        <v>0</v>
      </c>
      <c r="AY200" s="5">
        <f>IFERROR(VLOOKUP(IFERROR(VLOOKUP(D200,Mapa_Similitud!$A$2:$B$2000,2,FALSE()),D200),Hoja1!$A$2:$K$1000,7,FALSE()),0)</f>
        <v>80</v>
      </c>
      <c r="AZ200" s="5">
        <f>IFERROR(VLOOKUP(IFERROR(VLOOKUP(D200,Mapa_Similitud!$A$2:$B$2000,2,FALSE()),D200),Hoja1!$A$2:$K$1000,9,FALSE()),0)</f>
        <v>0</v>
      </c>
      <c r="BA200" s="25">
        <f t="shared" si="87"/>
        <v>2.703125E-2</v>
      </c>
      <c r="BB200" s="25">
        <f t="shared" si="88"/>
        <v>1.7968749999999999E-2</v>
      </c>
      <c r="BC200" s="25">
        <f t="shared" si="89"/>
        <v>8.9062500000000003E-2</v>
      </c>
      <c r="BD200" s="25">
        <f t="shared" si="90"/>
        <v>1.0624999999999999E-2</v>
      </c>
      <c r="BE200" s="25">
        <f t="shared" si="91"/>
        <v>0.95781249999999996</v>
      </c>
      <c r="BF200" s="25">
        <f t="shared" si="92"/>
        <v>6.25</v>
      </c>
      <c r="BG200" s="25">
        <f t="shared" si="93"/>
        <v>4.9222797927461141E-2</v>
      </c>
      <c r="BH200" s="25">
        <f t="shared" si="94"/>
        <v>0.10563380281690142</v>
      </c>
      <c r="BI200" s="25">
        <f t="shared" si="95"/>
        <v>1.2484725050916496</v>
      </c>
      <c r="BJ200" s="25">
        <f t="shared" si="96"/>
        <v>8.1318681318681321E-2</v>
      </c>
      <c r="BK200" s="25">
        <f t="shared" si="97"/>
        <v>1.2637362637362637</v>
      </c>
      <c r="BL200" s="25">
        <f t="shared" si="98"/>
        <v>0.79874999999999996</v>
      </c>
      <c r="BM200" s="25">
        <f t="shared" si="99"/>
        <v>0.20156250000000001</v>
      </c>
      <c r="BN200" s="18" t="str">
        <f t="shared" si="105"/>
        <v>Baja fuente de proteína</v>
      </c>
      <c r="BO200" s="18" t="str">
        <f t="shared" si="106"/>
        <v>Media fuente de fibra</v>
      </c>
      <c r="BP200" s="18" t="str">
        <f t="shared" si="107"/>
        <v>Baja fuente de calcio</v>
      </c>
      <c r="BQ200" s="18" t="str">
        <f t="shared" si="108"/>
        <v>Media fuente de hierro</v>
      </c>
      <c r="BR200" s="18" t="str">
        <f t="shared" si="109"/>
        <v>Moderado en sodio</v>
      </c>
      <c r="BS200" s="6" t="str">
        <f t="shared" si="100"/>
        <v>Altamente antiinflamatorio</v>
      </c>
      <c r="BT200" s="6" t="str">
        <f t="shared" si="101"/>
        <v>Muy alto en grasas</v>
      </c>
      <c r="BU200" s="18" t="str">
        <f t="shared" si="110"/>
        <v>Alto riesgo de retención de líquidos</v>
      </c>
      <c r="BV200" s="18" t="str">
        <f t="shared" si="111"/>
        <v>Media fuente de magnesio</v>
      </c>
      <c r="BW200" s="18" t="str">
        <f t="shared" si="112"/>
        <v>Sin aporte de Omega 3</v>
      </c>
      <c r="BX200" s="18" t="str">
        <f t="shared" si="113"/>
        <v>Libre de grasas trans</v>
      </c>
      <c r="BY200" s="18" t="str">
        <f t="shared" si="114"/>
        <v>Alto poder antioxidante</v>
      </c>
      <c r="BZ200" s="6" t="str">
        <f t="shared" si="102"/>
        <v>Sin probióticos</v>
      </c>
      <c r="CA200" s="18" t="str">
        <f t="shared" si="115"/>
        <v>Antiinflamatorio</v>
      </c>
      <c r="CB200" s="18" t="str">
        <f>IF(ISNUMBER(SEARCH("miel", D200)), "No irritante (Uso condicionado SII)", IF(OR(J200&gt;0, ISNUMBER(SEARCH("cacao", D200)), ISNUMBER(SEARCH("chocolate puro", D200))), "Altamente irritante", IF(OR(AND(O200&gt;15, BI200&gt;1), ISNUMBER(SEARCH("chocolate", D200))), "Moderadamente irritante", "No irritante")))</f>
        <v>No irritante</v>
      </c>
      <c r="CC200" s="6" t="str">
        <f t="shared" si="103"/>
        <v>Exceso relativo de Omega 6</v>
      </c>
    </row>
    <row r="201" spans="1:81" ht="15" customHeight="1" x14ac:dyDescent="0.3">
      <c r="A201" s="2">
        <f t="shared" si="104"/>
        <v>200</v>
      </c>
      <c r="B201" s="3" t="s">
        <v>234</v>
      </c>
      <c r="C201" s="3" t="s">
        <v>300</v>
      </c>
      <c r="D201" s="3" t="s">
        <v>316</v>
      </c>
      <c r="E201" s="3"/>
      <c r="F201" s="4">
        <v>1.5</v>
      </c>
      <c r="G201" s="5">
        <v>1</v>
      </c>
      <c r="H201" s="5">
        <v>652</v>
      </c>
      <c r="I201" s="5">
        <v>2.2000000000000002</v>
      </c>
      <c r="J201" s="5">
        <v>0</v>
      </c>
      <c r="K201" s="5">
        <v>17.3</v>
      </c>
      <c r="L201" s="5">
        <v>12.2</v>
      </c>
      <c r="M201" s="5">
        <v>9.3000000000000007</v>
      </c>
      <c r="N201" s="5">
        <v>2.9</v>
      </c>
      <c r="O201" s="5">
        <v>0</v>
      </c>
      <c r="P201" s="5">
        <v>11.5</v>
      </c>
      <c r="Q201" s="5">
        <v>56.8</v>
      </c>
      <c r="R201" s="5">
        <v>6</v>
      </c>
      <c r="S201" s="5">
        <v>10.8</v>
      </c>
      <c r="T201" s="5">
        <v>37.5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37.799999999999997</v>
      </c>
      <c r="AA201" s="5">
        <v>2.7</v>
      </c>
      <c r="AB201" s="5">
        <v>0.33</v>
      </c>
      <c r="AC201" s="5">
        <v>0.28999999999999998</v>
      </c>
      <c r="AD201" s="5">
        <v>8.1999999999999993</v>
      </c>
      <c r="AE201" s="5">
        <v>0.81</v>
      </c>
      <c r="AF201" s="5">
        <v>238</v>
      </c>
      <c r="AG201" s="5">
        <v>0</v>
      </c>
      <c r="AH201" s="5">
        <v>7.1</v>
      </c>
      <c r="AI201" s="5">
        <v>0</v>
      </c>
      <c r="AJ201" s="5">
        <v>1.4</v>
      </c>
      <c r="AK201" s="5">
        <v>57</v>
      </c>
      <c r="AL201" s="5">
        <v>1158</v>
      </c>
      <c r="AM201" s="5">
        <v>6.8</v>
      </c>
      <c r="AN201" s="5">
        <v>0</v>
      </c>
      <c r="AO201" s="5">
        <v>5.3</v>
      </c>
      <c r="AP201" s="5">
        <v>129</v>
      </c>
      <c r="AQ201" s="5">
        <v>3</v>
      </c>
      <c r="AR201" s="5">
        <v>491</v>
      </c>
      <c r="AS201" s="5">
        <v>2.1</v>
      </c>
      <c r="AT201" s="5">
        <v>1.8</v>
      </c>
      <c r="AU201" s="5">
        <v>62.2</v>
      </c>
      <c r="AV201" s="5">
        <f>IFERROR(VLOOKUP(IFERROR(VLOOKUP(D201,Mapa_Similitud!$A$2:$B$2000,2,FALSE()),D201),Hoja1!$A$2:$K$1000,2,FALSE()),IFERROR(VLOOKUP(IFERROR(VLOOKUP(D201,Mapa_Similitud!$A$2:$B$2000,2,FALSE()),D201),Omega3_Referencia!$A$2:$E$100,3,FALSE()),0))</f>
        <v>0.02</v>
      </c>
      <c r="AW201" s="3" t="str">
        <f>IFERROR(VLOOKUP(IFERROR(VLOOKUP(D201,Mapa_Similitud!$A$2:$B$2000,2,FALSE()),D201),Hoja1!$A$2:$K$1000,3,FALSE()),IFERROR(VLOOKUP(IFERROR(VLOOKUP(D201,Mapa_Similitud!$A$2:$B$2000,2,FALSE()),D201),Omega3_Referencia!$A$2:$E$100,4,FALSE()),"N/A"))</f>
        <v>ALA</v>
      </c>
      <c r="AX201" s="5">
        <f>IFERROR(VLOOKUP(IFERROR(VLOOKUP(D201,Mapa_Similitud!$A$2:$B$2000,2,FALSE()),D201),Hoja1!$A$2:$K$1000,5,FALSE()),0)</f>
        <v>0</v>
      </c>
      <c r="AY201" s="5">
        <f>IFERROR(VLOOKUP(IFERROR(VLOOKUP(D201,Mapa_Similitud!$A$2:$B$2000,2,FALSE()),D201),Hoja1!$A$2:$K$1000,7,FALSE()),0)</f>
        <v>95</v>
      </c>
      <c r="AZ201" s="5">
        <f>IFERROR(VLOOKUP(IFERROR(VLOOKUP(D201,Mapa_Similitud!$A$2:$B$2000,2,FALSE()),D201),Hoja1!$A$2:$K$1000,9,FALSE()),0)</f>
        <v>0</v>
      </c>
      <c r="BA201" s="25">
        <f t="shared" si="87"/>
        <v>2.6533742331288343E-2</v>
      </c>
      <c r="BB201" s="25">
        <f t="shared" si="88"/>
        <v>1.763803680981595E-2</v>
      </c>
      <c r="BC201" s="25">
        <f t="shared" si="89"/>
        <v>8.7423312883435578E-2</v>
      </c>
      <c r="BD201" s="25">
        <f t="shared" si="90"/>
        <v>1.0429447852760737E-2</v>
      </c>
      <c r="BE201" s="25">
        <f t="shared" si="91"/>
        <v>4.601226993865031E-3</v>
      </c>
      <c r="BF201" s="25">
        <f t="shared" si="92"/>
        <v>6.25</v>
      </c>
      <c r="BG201" s="25">
        <f t="shared" si="93"/>
        <v>4.9222797927461141E-2</v>
      </c>
      <c r="BH201" s="25">
        <f t="shared" si="94"/>
        <v>0.10563380281690142</v>
      </c>
      <c r="BI201" s="25">
        <f t="shared" si="95"/>
        <v>6.1099796334012219E-3</v>
      </c>
      <c r="BJ201" s="25">
        <f t="shared" si="96"/>
        <v>0.2377049180327869</v>
      </c>
      <c r="BK201" s="25">
        <f t="shared" si="97"/>
        <v>0.94262295081967218</v>
      </c>
      <c r="BL201" s="25">
        <f t="shared" si="98"/>
        <v>0.78404907975460125</v>
      </c>
      <c r="BM201" s="25">
        <f t="shared" si="99"/>
        <v>0.19785276073619631</v>
      </c>
      <c r="BN201" s="18" t="str">
        <f t="shared" si="105"/>
        <v>Baja fuente de proteína</v>
      </c>
      <c r="BO201" s="18" t="str">
        <f t="shared" si="106"/>
        <v>Media fuente de fibra</v>
      </c>
      <c r="BP201" s="18" t="str">
        <f t="shared" si="107"/>
        <v>Baja fuente de calcio</v>
      </c>
      <c r="BQ201" s="18" t="str">
        <f t="shared" si="108"/>
        <v>Media fuente de hierro</v>
      </c>
      <c r="BR201" s="18" t="str">
        <f t="shared" si="109"/>
        <v>Bajo en sodio</v>
      </c>
      <c r="BS201" s="6" t="str">
        <f t="shared" si="100"/>
        <v>Altamente antiinflamatorio</v>
      </c>
      <c r="BT201" s="6" t="str">
        <f t="shared" si="101"/>
        <v>Muy alto en grasas</v>
      </c>
      <c r="BU201" s="18" t="str">
        <f t="shared" si="110"/>
        <v>Equilibrio de líquidos ideal</v>
      </c>
      <c r="BV201" s="18" t="str">
        <f t="shared" si="111"/>
        <v>Baja fuente de magnesio</v>
      </c>
      <c r="BW201" s="18" t="str">
        <f t="shared" si="112"/>
        <v>Sin aporte de Omega 3</v>
      </c>
      <c r="BX201" s="18" t="str">
        <f t="shared" si="113"/>
        <v>Libre de grasas trans</v>
      </c>
      <c r="BY201" s="18" t="str">
        <f t="shared" si="114"/>
        <v>Alto poder antioxidante</v>
      </c>
      <c r="BZ201" s="6" t="str">
        <f t="shared" si="102"/>
        <v>Sin probióticos</v>
      </c>
      <c r="CA201" s="18" t="str">
        <f t="shared" si="115"/>
        <v>Antiinflamatorio</v>
      </c>
      <c r="CB201" s="18" t="str">
        <f>IF(ISNUMBER(SEARCH("miel", D201)), "No irritante (Uso condicionado SII)", IF(OR(J201&gt;0, ISNUMBER(SEARCH("cacao", D201)), ISNUMBER(SEARCH("chocolate puro", D201))), "Altamente irritante", IF(OR(AND(O201&gt;15, BI201&gt;1), ISNUMBER(SEARCH("chocolate", D201))), "Moderadamente irritante", "No irritante")))</f>
        <v>No irritante</v>
      </c>
      <c r="CC201" s="6" t="str">
        <f t="shared" si="103"/>
        <v>Exceso relativo de Omega 6</v>
      </c>
    </row>
    <row r="202" spans="1:81" ht="15" customHeight="1" x14ac:dyDescent="0.3">
      <c r="A202" s="2">
        <f t="shared" si="104"/>
        <v>201</v>
      </c>
      <c r="B202" s="3" t="s">
        <v>234</v>
      </c>
      <c r="C202" s="3" t="s">
        <v>300</v>
      </c>
      <c r="D202" s="3" t="s">
        <v>317</v>
      </c>
      <c r="E202" s="3"/>
      <c r="F202" s="4">
        <v>4.5</v>
      </c>
      <c r="G202" s="5">
        <v>1</v>
      </c>
      <c r="H202" s="5">
        <v>635</v>
      </c>
      <c r="I202" s="5">
        <v>0</v>
      </c>
      <c r="J202" s="5">
        <v>0</v>
      </c>
      <c r="K202" s="5">
        <v>29.9</v>
      </c>
      <c r="L202" s="5">
        <v>14.7</v>
      </c>
      <c r="M202" s="5">
        <v>13.4</v>
      </c>
      <c r="N202" s="5">
        <v>1.3</v>
      </c>
      <c r="O202" s="5">
        <v>0</v>
      </c>
      <c r="P202" s="5">
        <v>6.5</v>
      </c>
      <c r="Q202" s="5">
        <v>49.1</v>
      </c>
      <c r="R202" s="5">
        <v>8.5</v>
      </c>
      <c r="S202" s="5">
        <v>15.7</v>
      </c>
      <c r="T202" s="5">
        <v>19.899999999999999</v>
      </c>
      <c r="U202" s="5">
        <v>0</v>
      </c>
      <c r="V202" s="5">
        <v>0.83</v>
      </c>
      <c r="W202" s="5">
        <v>0</v>
      </c>
      <c r="X202" s="5">
        <v>5</v>
      </c>
      <c r="Y202" s="5">
        <v>0</v>
      </c>
      <c r="Z202" s="5">
        <v>13.7</v>
      </c>
      <c r="AA202" s="5">
        <v>0</v>
      </c>
      <c r="AB202" s="5">
        <v>7.0000000000000007E-2</v>
      </c>
      <c r="AC202" s="5">
        <v>0.15</v>
      </c>
      <c r="AD202" s="5">
        <v>4.4000000000000004</v>
      </c>
      <c r="AE202" s="5">
        <v>0.1</v>
      </c>
      <c r="AF202" s="5">
        <v>57</v>
      </c>
      <c r="AG202" s="5">
        <v>0</v>
      </c>
      <c r="AH202" s="5">
        <v>0</v>
      </c>
      <c r="AI202" s="5">
        <v>0</v>
      </c>
      <c r="AJ202" s="5">
        <v>1.8</v>
      </c>
      <c r="AK202" s="5">
        <v>52</v>
      </c>
      <c r="AL202" s="5">
        <v>1174</v>
      </c>
      <c r="AM202" s="5">
        <v>8.1</v>
      </c>
      <c r="AN202" s="5">
        <v>0</v>
      </c>
      <c r="AO202" s="5">
        <v>7.6</v>
      </c>
      <c r="AP202" s="5">
        <v>550</v>
      </c>
      <c r="AQ202" s="5">
        <v>18</v>
      </c>
      <c r="AR202" s="5">
        <v>788</v>
      </c>
      <c r="AS202" s="5">
        <v>0</v>
      </c>
      <c r="AT202" s="5">
        <v>0</v>
      </c>
      <c r="AU202" s="5">
        <v>9.4</v>
      </c>
      <c r="AV202" s="5">
        <f>IFERROR(VLOOKUP(IFERROR(VLOOKUP(D202,Mapa_Similitud!$A$2:$B$2000,2,FALSE()),D202),Hoja1!$A$2:$K$1000,2,FALSE()),IFERROR(VLOOKUP(IFERROR(VLOOKUP(D202,Mapa_Similitud!$A$2:$B$2000,2,FALSE()),D202),Omega3_Referencia!$A$2:$E$100,3,FALSE()),0))</f>
        <v>0.05</v>
      </c>
      <c r="AW202" s="3" t="str">
        <f>IFERROR(VLOOKUP(IFERROR(VLOOKUP(D202,Mapa_Similitud!$A$2:$B$2000,2,FALSE()),D202),Hoja1!$A$2:$K$1000,3,FALSE()),IFERROR(VLOOKUP(IFERROR(VLOOKUP(D202,Mapa_Similitud!$A$2:$B$2000,2,FALSE()),D202),Omega3_Referencia!$A$2:$E$100,4,FALSE()),"N/A"))</f>
        <v>ALA</v>
      </c>
      <c r="AX202" s="5">
        <f>IFERROR(VLOOKUP(IFERROR(VLOOKUP(D202,Mapa_Similitud!$A$2:$B$2000,2,FALSE()),D202),Hoja1!$A$2:$K$1000,5,FALSE()),0)</f>
        <v>0</v>
      </c>
      <c r="AY202" s="5">
        <f>IFERROR(VLOOKUP(IFERROR(VLOOKUP(D202,Mapa_Similitud!$A$2:$B$2000,2,FALSE()),D202),Hoja1!$A$2:$K$1000,7,FALSE()),0)</f>
        <v>65</v>
      </c>
      <c r="AZ202" s="5">
        <f>IFERROR(VLOOKUP(IFERROR(VLOOKUP(D202,Mapa_Similitud!$A$2:$B$2000,2,FALSE()),D202),Hoja1!$A$2:$K$1000,9,FALSE()),0)</f>
        <v>0</v>
      </c>
      <c r="BA202" s="25">
        <f t="shared" si="87"/>
        <v>4.7086614173228347E-2</v>
      </c>
      <c r="BB202" s="25">
        <f t="shared" si="88"/>
        <v>1.0236220472440945E-2</v>
      </c>
      <c r="BC202" s="25">
        <f t="shared" si="89"/>
        <v>8.1889763779527558E-2</v>
      </c>
      <c r="BD202" s="25">
        <f t="shared" si="90"/>
        <v>1.2755905511811024E-2</v>
      </c>
      <c r="BE202" s="25">
        <f t="shared" si="91"/>
        <v>2.8346456692913385E-2</v>
      </c>
      <c r="BF202" s="25">
        <f t="shared" si="92"/>
        <v>2.341176470588235</v>
      </c>
      <c r="BG202" s="25">
        <f t="shared" si="93"/>
        <v>4.4293015332197615E-2</v>
      </c>
      <c r="BH202" s="25">
        <f t="shared" si="94"/>
        <v>0.17311608961303462</v>
      </c>
      <c r="BI202" s="25">
        <f t="shared" si="95"/>
        <v>2.2842639593908629E-2</v>
      </c>
      <c r="BJ202" s="25">
        <f t="shared" si="96"/>
        <v>8.8435374149659865E-2</v>
      </c>
      <c r="BK202" s="25">
        <f t="shared" si="97"/>
        <v>0.44217687074829937</v>
      </c>
      <c r="BL202" s="25">
        <f t="shared" si="98"/>
        <v>0.69590551181102367</v>
      </c>
      <c r="BM202" s="25">
        <f t="shared" si="99"/>
        <v>0.86614173228346458</v>
      </c>
      <c r="BN202" s="18" t="str">
        <f t="shared" si="105"/>
        <v>Baja fuente de proteína</v>
      </c>
      <c r="BO202" s="18" t="str">
        <f t="shared" si="106"/>
        <v>Baja fuente de fibra</v>
      </c>
      <c r="BP202" s="18" t="str">
        <f t="shared" si="107"/>
        <v>Baja fuente de calcio</v>
      </c>
      <c r="BQ202" s="18" t="str">
        <f t="shared" si="108"/>
        <v>Media fuente de hierro</v>
      </c>
      <c r="BR202" s="18" t="str">
        <f t="shared" si="109"/>
        <v>Bajo en sodio</v>
      </c>
      <c r="BS202" s="6" t="str">
        <f t="shared" si="100"/>
        <v>Altamente antiinflamatorio</v>
      </c>
      <c r="BT202" s="6" t="str">
        <f t="shared" si="101"/>
        <v>Muy alto en grasas</v>
      </c>
      <c r="BU202" s="18" t="str">
        <f t="shared" si="110"/>
        <v>Equilibrio de líquidos ideal</v>
      </c>
      <c r="BV202" s="18" t="str">
        <f t="shared" si="111"/>
        <v>Alta fuente de magnesio</v>
      </c>
      <c r="BW202" s="18" t="str">
        <f t="shared" si="112"/>
        <v>Sin aporte de Omega 3</v>
      </c>
      <c r="BX202" s="18" t="str">
        <f t="shared" si="113"/>
        <v>Libre de grasas trans</v>
      </c>
      <c r="BY202" s="18" t="str">
        <f t="shared" si="114"/>
        <v>Alto poder antioxidante</v>
      </c>
      <c r="BZ202" s="6" t="str">
        <f t="shared" si="102"/>
        <v>Sin probióticos</v>
      </c>
      <c r="CA202" s="18" t="str">
        <f t="shared" si="115"/>
        <v>Antiinflamatorio</v>
      </c>
      <c r="CB202" s="18" t="str">
        <f>IF(ISNUMBER(SEARCH("miel", D202)), "No irritante (Uso condicionado SII)", IF(OR(J202&gt;0, ISNUMBER(SEARCH("cacao", D202)), ISNUMBER(SEARCH("chocolate puro", D202))), "Altamente irritante", IF(OR(AND(O202&gt;15, BI202&gt;1), ISNUMBER(SEARCH("chocolate", D202))), "Moderadamente irritante", "No irritante")))</f>
        <v>No irritante</v>
      </c>
      <c r="CC202" s="6" t="str">
        <f t="shared" si="103"/>
        <v>Exceso relativo de Omega 6</v>
      </c>
    </row>
    <row r="203" spans="1:81" ht="15" customHeight="1" x14ac:dyDescent="0.3">
      <c r="A203" s="2">
        <f t="shared" si="104"/>
        <v>202</v>
      </c>
      <c r="B203" s="3" t="s">
        <v>234</v>
      </c>
      <c r="C203" s="3" t="s">
        <v>300</v>
      </c>
      <c r="D203" s="3" t="s">
        <v>318</v>
      </c>
      <c r="E203" s="3"/>
      <c r="F203" s="4">
        <v>8</v>
      </c>
      <c r="G203" s="5">
        <v>0.55000000000000004</v>
      </c>
      <c r="H203" s="5">
        <v>603</v>
      </c>
      <c r="I203" s="5">
        <v>5.9</v>
      </c>
      <c r="J203" s="5">
        <v>0</v>
      </c>
      <c r="K203" s="5">
        <v>17.7</v>
      </c>
      <c r="L203" s="5">
        <v>11.6</v>
      </c>
      <c r="M203" s="5">
        <v>3.4</v>
      </c>
      <c r="N203" s="5">
        <v>8.1</v>
      </c>
      <c r="O203" s="5">
        <v>0</v>
      </c>
      <c r="P203" s="5">
        <v>10.6</v>
      </c>
      <c r="Q203" s="5">
        <v>51.6</v>
      </c>
      <c r="R203" s="5">
        <v>6.1</v>
      </c>
      <c r="S203" s="5">
        <v>34.5</v>
      </c>
      <c r="T203" s="5">
        <v>7.6</v>
      </c>
      <c r="U203" s="5">
        <v>0</v>
      </c>
      <c r="V203" s="5">
        <v>25</v>
      </c>
      <c r="W203" s="5">
        <v>0</v>
      </c>
      <c r="X203" s="5">
        <v>150</v>
      </c>
      <c r="Y203" s="5">
        <v>0</v>
      </c>
      <c r="Z203" s="5">
        <v>5.2</v>
      </c>
      <c r="AA203" s="5">
        <v>13.2</v>
      </c>
      <c r="AB203" s="5">
        <v>0.69</v>
      </c>
      <c r="AC203" s="5">
        <v>0.2</v>
      </c>
      <c r="AD203" s="5">
        <v>4.8</v>
      </c>
      <c r="AE203" s="5">
        <v>1.7</v>
      </c>
      <c r="AF203" s="5">
        <v>58</v>
      </c>
      <c r="AG203" s="5">
        <v>0</v>
      </c>
      <c r="AH203" s="5">
        <v>0.52</v>
      </c>
      <c r="AI203" s="5">
        <v>0</v>
      </c>
      <c r="AJ203" s="5">
        <v>7</v>
      </c>
      <c r="AK203" s="5">
        <v>136</v>
      </c>
      <c r="AL203" s="5">
        <v>390</v>
      </c>
      <c r="AM203" s="5">
        <v>7.2</v>
      </c>
      <c r="AN203" s="5">
        <v>0</v>
      </c>
      <c r="AO203" s="5">
        <v>1.4</v>
      </c>
      <c r="AP203" s="5">
        <v>122</v>
      </c>
      <c r="AQ203" s="5">
        <v>290</v>
      </c>
      <c r="AR203" s="5">
        <v>1020</v>
      </c>
      <c r="AS203" s="5">
        <v>0.5</v>
      </c>
      <c r="AT203" s="5">
        <v>0.46</v>
      </c>
      <c r="AU203" s="5">
        <v>6.4</v>
      </c>
      <c r="AV203" s="5">
        <f>IFERROR(VLOOKUP(IFERROR(VLOOKUP(D203,Mapa_Similitud!$A$2:$B$2000,2,FALSE()),D203),Hoja1!$A$2:$K$1000,2,FALSE()),IFERROR(VLOOKUP(IFERROR(VLOOKUP(D203,Mapa_Similitud!$A$2:$B$2000,2,FALSE()),D203),Omega3_Referencia!$A$2:$E$100,3,FALSE()),0))</f>
        <v>0.08</v>
      </c>
      <c r="AW203" s="3" t="str">
        <f>IFERROR(VLOOKUP(IFERROR(VLOOKUP(D203,Mapa_Similitud!$A$2:$B$2000,2,FALSE()),D203),Hoja1!$A$2:$K$1000,3,FALSE()),IFERROR(VLOOKUP(IFERROR(VLOOKUP(D203,Mapa_Similitud!$A$2:$B$2000,2,FALSE()),D203),Omega3_Referencia!$A$2:$E$100,4,FALSE()),"N/A"))</f>
        <v>ALA</v>
      </c>
      <c r="AX203" s="5">
        <f>IFERROR(VLOOKUP(IFERROR(VLOOKUP(D203,Mapa_Similitud!$A$2:$B$2000,2,FALSE()),D203),Hoja1!$A$2:$K$1000,5,FALSE()),0)</f>
        <v>0</v>
      </c>
      <c r="AY203" s="5">
        <f>IFERROR(VLOOKUP(IFERROR(VLOOKUP(D203,Mapa_Similitud!$A$2:$B$2000,2,FALSE()),D203),Hoja1!$A$2:$K$1000,7,FALSE()),0)</f>
        <v>145</v>
      </c>
      <c r="AZ203" s="5">
        <f>IFERROR(VLOOKUP(IFERROR(VLOOKUP(D203,Mapa_Similitud!$A$2:$B$2000,2,FALSE()),D203),Hoja1!$A$2:$K$1000,9,FALSE()),0)</f>
        <v>0</v>
      </c>
      <c r="BA203" s="25">
        <f t="shared" si="87"/>
        <v>2.935323383084577E-2</v>
      </c>
      <c r="BB203" s="25">
        <f t="shared" si="88"/>
        <v>1.7578772802653398E-2</v>
      </c>
      <c r="BC203" s="25">
        <f t="shared" si="89"/>
        <v>0.22553897180762852</v>
      </c>
      <c r="BD203" s="25">
        <f t="shared" si="90"/>
        <v>1.1940298507462687E-2</v>
      </c>
      <c r="BE203" s="25">
        <f t="shared" si="91"/>
        <v>0.48092868988391374</v>
      </c>
      <c r="BF203" s="25">
        <f t="shared" si="92"/>
        <v>1.2459016393442623</v>
      </c>
      <c r="BG203" s="25">
        <f t="shared" si="93"/>
        <v>0.3487179487179487</v>
      </c>
      <c r="BH203" s="25">
        <f t="shared" si="94"/>
        <v>0.11821705426356588</v>
      </c>
      <c r="BI203" s="25">
        <f t="shared" si="95"/>
        <v>0.28431372549019607</v>
      </c>
      <c r="BJ203" s="25">
        <f t="shared" si="96"/>
        <v>0.69827586206896552</v>
      </c>
      <c r="BK203" s="25">
        <f t="shared" si="97"/>
        <v>0.91379310344827591</v>
      </c>
      <c r="BL203" s="25">
        <f t="shared" si="98"/>
        <v>0.77014925373134335</v>
      </c>
      <c r="BM203" s="25">
        <f t="shared" si="99"/>
        <v>0.20232172470978441</v>
      </c>
      <c r="BN203" s="18" t="str">
        <f t="shared" si="105"/>
        <v>Baja fuente de proteína</v>
      </c>
      <c r="BO203" s="18" t="str">
        <f t="shared" si="106"/>
        <v>Media fuente de fibra</v>
      </c>
      <c r="BP203" s="18" t="str">
        <f t="shared" si="107"/>
        <v>Baja fuente de calcio</v>
      </c>
      <c r="BQ203" s="18" t="str">
        <f t="shared" si="108"/>
        <v>Media fuente de hierro</v>
      </c>
      <c r="BR203" s="18" t="str">
        <f t="shared" si="109"/>
        <v>Bajo en sodio</v>
      </c>
      <c r="BS203" s="6" t="str">
        <f t="shared" si="100"/>
        <v>Ligeramente antiinflamatorio</v>
      </c>
      <c r="BT203" s="6" t="str">
        <f t="shared" si="101"/>
        <v>Muy alto en grasas</v>
      </c>
      <c r="BU203" s="18" t="str">
        <f t="shared" si="110"/>
        <v>Equilibrio de líquidos ideal</v>
      </c>
      <c r="BV203" s="18" t="str">
        <f t="shared" si="111"/>
        <v>Media fuente de magnesio</v>
      </c>
      <c r="BW203" s="18" t="str">
        <f t="shared" si="112"/>
        <v>Sin aporte de Omega 3</v>
      </c>
      <c r="BX203" s="18" t="str">
        <f t="shared" si="113"/>
        <v>Libre de grasas trans</v>
      </c>
      <c r="BY203" s="18" t="str">
        <f t="shared" si="114"/>
        <v>Alto poder antioxidante</v>
      </c>
      <c r="BZ203" s="6" t="str">
        <f t="shared" si="102"/>
        <v>Sin probióticos</v>
      </c>
      <c r="CA203" s="18" t="str">
        <f t="shared" si="115"/>
        <v>Antiinflamatorio</v>
      </c>
      <c r="CB203" s="18" t="str">
        <f>IF(ISNUMBER(SEARCH("miel", D203)), "No irritante (Uso condicionado SII)", IF(OR(J203&gt;0, ISNUMBER(SEARCH("cacao", D203)), ISNUMBER(SEARCH("chocolate puro", D203))), "Altamente irritante", IF(OR(AND(O203&gt;15, BI203&gt;1), ISNUMBER(SEARCH("chocolate", D203))), "Moderadamente irritante", "No irritante")))</f>
        <v>No irritante</v>
      </c>
      <c r="CC203" s="6" t="str">
        <f t="shared" si="103"/>
        <v>Exceso relativo de Omega 6</v>
      </c>
    </row>
    <row r="204" spans="1:81" ht="15" customHeight="1" x14ac:dyDescent="0.3">
      <c r="A204" s="2">
        <f t="shared" si="104"/>
        <v>203</v>
      </c>
      <c r="B204" s="3" t="s">
        <v>234</v>
      </c>
      <c r="C204" s="3" t="s">
        <v>300</v>
      </c>
      <c r="D204" s="3" t="s">
        <v>319</v>
      </c>
      <c r="E204" s="3"/>
      <c r="F204" s="4">
        <v>9.5</v>
      </c>
      <c r="G204" s="5">
        <v>0.51</v>
      </c>
      <c r="H204" s="5">
        <v>613</v>
      </c>
      <c r="I204" s="5">
        <v>8.1</v>
      </c>
      <c r="J204" s="5">
        <v>0</v>
      </c>
      <c r="K204" s="5">
        <v>18</v>
      </c>
      <c r="L204" s="5">
        <v>12.5</v>
      </c>
      <c r="M204" s="5">
        <v>4.9000000000000004</v>
      </c>
      <c r="N204" s="5">
        <v>7.6</v>
      </c>
      <c r="O204" s="5">
        <v>0</v>
      </c>
      <c r="P204" s="5">
        <v>8.5</v>
      </c>
      <c r="Q204" s="5">
        <v>52.7</v>
      </c>
      <c r="R204" s="5">
        <v>6.7</v>
      </c>
      <c r="S204" s="5">
        <v>35.700000000000003</v>
      </c>
      <c r="T204" s="5">
        <v>8.1</v>
      </c>
      <c r="U204" s="5">
        <v>0</v>
      </c>
      <c r="V204" s="5">
        <v>13</v>
      </c>
      <c r="W204" s="5">
        <v>0</v>
      </c>
      <c r="X204" s="5">
        <v>0</v>
      </c>
      <c r="Y204" s="5">
        <v>0</v>
      </c>
      <c r="Z204" s="5">
        <v>5.2</v>
      </c>
      <c r="AA204" s="5">
        <v>13.2</v>
      </c>
      <c r="AB204" s="5">
        <v>0.59</v>
      </c>
      <c r="AC204" s="5">
        <v>0.2</v>
      </c>
      <c r="AD204" s="5">
        <v>5.3</v>
      </c>
      <c r="AE204" s="5">
        <v>0.26</v>
      </c>
      <c r="AF204" s="5">
        <v>50</v>
      </c>
      <c r="AG204" s="5">
        <v>0</v>
      </c>
      <c r="AH204" s="5">
        <v>0.51</v>
      </c>
      <c r="AI204" s="5">
        <v>0</v>
      </c>
      <c r="AJ204" s="5">
        <v>0</v>
      </c>
      <c r="AK204" s="5">
        <v>135</v>
      </c>
      <c r="AL204" s="5">
        <v>500</v>
      </c>
      <c r="AM204" s="5">
        <v>7</v>
      </c>
      <c r="AN204" s="5">
        <v>0</v>
      </c>
      <c r="AO204" s="5">
        <v>1.2</v>
      </c>
      <c r="AP204" s="5">
        <v>158</v>
      </c>
      <c r="AQ204" s="5">
        <v>650</v>
      </c>
      <c r="AR204" s="5">
        <v>1050</v>
      </c>
      <c r="AS204" s="5">
        <v>1.3</v>
      </c>
      <c r="AT204" s="5">
        <v>1.3</v>
      </c>
      <c r="AU204" s="5">
        <v>8</v>
      </c>
      <c r="AV204" s="5">
        <f>IFERROR(VLOOKUP(IFERROR(VLOOKUP(D204,Mapa_Similitud!$A$2:$B$2000,2,FALSE()),D204),Hoja1!$A$2:$K$1000,2,FALSE()),IFERROR(VLOOKUP(IFERROR(VLOOKUP(D204,Mapa_Similitud!$A$2:$B$2000,2,FALSE()),D204),Omega3_Referencia!$A$2:$E$100,3,FALSE()),0))</f>
        <v>0.08</v>
      </c>
      <c r="AW204" s="3" t="str">
        <f>IFERROR(VLOOKUP(IFERROR(VLOOKUP(D204,Mapa_Similitud!$A$2:$B$2000,2,FALSE()),D204),Hoja1!$A$2:$K$1000,3,FALSE()),IFERROR(VLOOKUP(IFERROR(VLOOKUP(D204,Mapa_Similitud!$A$2:$B$2000,2,FALSE()),D204),Omega3_Referencia!$A$2:$E$100,4,FALSE()),"N/A"))</f>
        <v>ALA</v>
      </c>
      <c r="AX204" s="5">
        <f>IFERROR(VLOOKUP(IFERROR(VLOOKUP(D204,Mapa_Similitud!$A$2:$B$2000,2,FALSE()),D204),Hoja1!$A$2:$K$1000,5,FALSE()),0)</f>
        <v>0</v>
      </c>
      <c r="AY204" s="5">
        <f>IFERROR(VLOOKUP(IFERROR(VLOOKUP(D204,Mapa_Similitud!$A$2:$B$2000,2,FALSE()),D204),Hoja1!$A$2:$K$1000,7,FALSE()),0)</f>
        <v>120</v>
      </c>
      <c r="AZ204" s="5">
        <f>IFERROR(VLOOKUP(IFERROR(VLOOKUP(D204,Mapa_Similitud!$A$2:$B$2000,2,FALSE()),D204),Hoja1!$A$2:$K$1000,9,FALSE()),0)</f>
        <v>0</v>
      </c>
      <c r="BA204" s="25">
        <f t="shared" si="87"/>
        <v>2.936378466557912E-2</v>
      </c>
      <c r="BB204" s="25">
        <f t="shared" si="88"/>
        <v>1.3866231647634585E-2</v>
      </c>
      <c r="BC204" s="25">
        <f t="shared" si="89"/>
        <v>0.22022838499184338</v>
      </c>
      <c r="BD204" s="25">
        <f t="shared" si="90"/>
        <v>1.1419249592169658E-2</v>
      </c>
      <c r="BE204" s="25">
        <f t="shared" si="91"/>
        <v>1.0603588907014683</v>
      </c>
      <c r="BF204" s="25">
        <f t="shared" si="92"/>
        <v>1.208955223880597</v>
      </c>
      <c r="BG204" s="25">
        <f t="shared" si="93"/>
        <v>0.27</v>
      </c>
      <c r="BH204" s="25">
        <f t="shared" si="94"/>
        <v>0.12713472485768501</v>
      </c>
      <c r="BI204" s="25">
        <f t="shared" si="95"/>
        <v>0.61904761904761907</v>
      </c>
      <c r="BJ204" s="25">
        <f t="shared" si="96"/>
        <v>0.60799999999999998</v>
      </c>
      <c r="BK204" s="25">
        <f t="shared" si="97"/>
        <v>0.68</v>
      </c>
      <c r="BL204" s="25">
        <f t="shared" si="98"/>
        <v>0.77373572593800977</v>
      </c>
      <c r="BM204" s="25">
        <f t="shared" si="99"/>
        <v>0.25774877650897227</v>
      </c>
      <c r="BN204" s="18" t="str">
        <f t="shared" si="105"/>
        <v>Baja fuente de proteína</v>
      </c>
      <c r="BO204" s="18" t="str">
        <f t="shared" si="106"/>
        <v>Baja fuente de fibra</v>
      </c>
      <c r="BP204" s="18" t="str">
        <f t="shared" si="107"/>
        <v>Baja fuente de calcio</v>
      </c>
      <c r="BQ204" s="18" t="str">
        <f t="shared" si="108"/>
        <v>Media fuente de hierro</v>
      </c>
      <c r="BR204" s="18" t="str">
        <f t="shared" si="109"/>
        <v>Alto en sodio</v>
      </c>
      <c r="BS204" s="6" t="str">
        <f t="shared" si="100"/>
        <v>Ligeramente antiinflamatorio</v>
      </c>
      <c r="BT204" s="6" t="str">
        <f t="shared" si="101"/>
        <v>Muy alto en grasas</v>
      </c>
      <c r="BU204" s="18" t="str">
        <f t="shared" si="110"/>
        <v>Riesgo moderado de retención</v>
      </c>
      <c r="BV204" s="18" t="str">
        <f t="shared" si="111"/>
        <v>Media fuente de magnesio</v>
      </c>
      <c r="BW204" s="18" t="str">
        <f t="shared" si="112"/>
        <v>Sin aporte de Omega 3</v>
      </c>
      <c r="BX204" s="18" t="str">
        <f t="shared" si="113"/>
        <v>Libre de grasas trans</v>
      </c>
      <c r="BY204" s="18" t="str">
        <f t="shared" si="114"/>
        <v>Alto poder antioxidante</v>
      </c>
      <c r="BZ204" s="6" t="str">
        <f t="shared" si="102"/>
        <v>Sin probióticos</v>
      </c>
      <c r="CA204" s="18" t="str">
        <f t="shared" si="115"/>
        <v>Antiinflamatorio</v>
      </c>
      <c r="CB204" s="18" t="str">
        <f>IF(ISNUMBER(SEARCH("miel", D204)), "No irritante (Uso condicionado SII)", IF(OR(J204&gt;0, ISNUMBER(SEARCH("cacao", D204)), ISNUMBER(SEARCH("chocolate puro", D204))), "Altamente irritante", IF(OR(AND(O204&gt;15, BI204&gt;1), ISNUMBER(SEARCH("chocolate", D204))), "Moderadamente irritante", "No irritante")))</f>
        <v>No irritante</v>
      </c>
      <c r="CC204" s="6" t="str">
        <f t="shared" si="103"/>
        <v>Exceso relativo de Omega 6</v>
      </c>
    </row>
    <row r="205" spans="1:81" ht="15" customHeight="1" x14ac:dyDescent="0.3">
      <c r="A205" s="2">
        <f t="shared" si="104"/>
        <v>204</v>
      </c>
      <c r="B205" s="3" t="s">
        <v>234</v>
      </c>
      <c r="C205" s="3" t="s">
        <v>320</v>
      </c>
      <c r="D205" s="3" t="s">
        <v>321</v>
      </c>
      <c r="E205" s="3"/>
      <c r="F205" s="4">
        <v>1.5</v>
      </c>
      <c r="G205" s="5">
        <v>1</v>
      </c>
      <c r="H205" s="5">
        <v>33.1</v>
      </c>
      <c r="I205" s="5">
        <v>92.5</v>
      </c>
      <c r="J205" s="5">
        <v>0</v>
      </c>
      <c r="K205" s="5">
        <v>0.4</v>
      </c>
      <c r="L205" s="5">
        <v>6.1</v>
      </c>
      <c r="M205" s="5">
        <v>0</v>
      </c>
      <c r="N205" s="5">
        <v>2.4</v>
      </c>
      <c r="O205" s="5">
        <v>0</v>
      </c>
      <c r="P205" s="5">
        <v>0.4</v>
      </c>
      <c r="Q205" s="5">
        <v>0.28999999999999998</v>
      </c>
      <c r="R205" s="5">
        <v>3.7999999999999999E-2</v>
      </c>
      <c r="S205" s="5">
        <v>1.0999999999999999E-2</v>
      </c>
      <c r="T205" s="5">
        <v>8.5000000000000006E-2</v>
      </c>
      <c r="U205" s="5">
        <v>0</v>
      </c>
      <c r="V205" s="5">
        <v>0.5</v>
      </c>
      <c r="W205" s="5">
        <v>0</v>
      </c>
      <c r="X205" s="5">
        <v>3</v>
      </c>
      <c r="Y205" s="5">
        <v>0</v>
      </c>
      <c r="Z205" s="5">
        <v>0.15</v>
      </c>
      <c r="AA205" s="5">
        <v>0.1</v>
      </c>
      <c r="AB205" s="5">
        <v>4.1000000000000002E-2</v>
      </c>
      <c r="AC205" s="5">
        <v>8.9999999999999993E-3</v>
      </c>
      <c r="AD205" s="5">
        <v>0.2</v>
      </c>
      <c r="AE205" s="5">
        <v>4.2999999999999997E-2</v>
      </c>
      <c r="AF205" s="5">
        <v>0</v>
      </c>
      <c r="AG205" s="5">
        <v>0</v>
      </c>
      <c r="AH205" s="5">
        <v>9.0999999999999998E-2</v>
      </c>
      <c r="AI205" s="5">
        <v>1</v>
      </c>
      <c r="AJ205" s="5">
        <v>24.8</v>
      </c>
      <c r="AK205" s="5">
        <v>11</v>
      </c>
      <c r="AL205" s="5">
        <v>9</v>
      </c>
      <c r="AM205" s="5">
        <v>0.13</v>
      </c>
      <c r="AN205" s="5">
        <v>1</v>
      </c>
      <c r="AO205" s="5">
        <v>0.06</v>
      </c>
      <c r="AP205" s="5">
        <v>8</v>
      </c>
      <c r="AQ205" s="5">
        <v>21.2</v>
      </c>
      <c r="AR205" s="5">
        <v>102</v>
      </c>
      <c r="AS205" s="5">
        <v>0.02</v>
      </c>
      <c r="AT205" s="5">
        <v>3.6999999999999998E-2</v>
      </c>
      <c r="AU205" s="5">
        <v>1</v>
      </c>
      <c r="AV205" s="5">
        <f>IFERROR(VLOOKUP(IFERROR(VLOOKUP(D205,Mapa_Similitud!$A$2:$B$2000,2,FALSE()),D205),Hoja1!$A$2:$K$1000,2,FALSE()),IFERROR(VLOOKUP(IFERROR(VLOOKUP(D205,Mapa_Similitud!$A$2:$B$2000,2,FALSE()),D205),Omega3_Referencia!$A$2:$E$100,3,FALSE()),0))</f>
        <v>0</v>
      </c>
      <c r="AW205" s="3" t="str">
        <f>IFERROR(VLOOKUP(IFERROR(VLOOKUP(D205,Mapa_Similitud!$A$2:$B$2000,2,FALSE()),D205),Hoja1!$A$2:$K$1000,3,FALSE()),IFERROR(VLOOKUP(IFERROR(VLOOKUP(D205,Mapa_Similitud!$A$2:$B$2000,2,FALSE()),D205),Omega3_Referencia!$A$2:$E$100,4,FALSE()),"N/A"))</f>
        <v>N/A</v>
      </c>
      <c r="AX205" s="5">
        <f>IFERROR(VLOOKUP(IFERROR(VLOOKUP(D205,Mapa_Similitud!$A$2:$B$2000,2,FALSE()),D205),Hoja1!$A$2:$K$1000,5,FALSE()),0)</f>
        <v>0</v>
      </c>
      <c r="AY205" s="5">
        <f>IFERROR(VLOOKUP(IFERROR(VLOOKUP(D205,Mapa_Similitud!$A$2:$B$2000,2,FALSE()),D205),Hoja1!$A$2:$K$1000,7,FALSE()),0)</f>
        <v>0</v>
      </c>
      <c r="AZ205" s="5">
        <f>IFERROR(VLOOKUP(IFERROR(VLOOKUP(D205,Mapa_Similitud!$A$2:$B$2000,2,FALSE()),D205),Hoja1!$A$2:$K$1000,9,FALSE()),0)</f>
        <v>0</v>
      </c>
      <c r="BA205" s="25">
        <f t="shared" si="87"/>
        <v>1.2084592145015106E-2</v>
      </c>
      <c r="BB205" s="25">
        <f t="shared" si="88"/>
        <v>1.2084592145015106E-2</v>
      </c>
      <c r="BC205" s="25">
        <f t="shared" si="89"/>
        <v>0.33232628398791542</v>
      </c>
      <c r="BD205" s="25">
        <f t="shared" si="90"/>
        <v>3.9274924471299089E-3</v>
      </c>
      <c r="BE205" s="25">
        <f t="shared" si="91"/>
        <v>0.6404833836858006</v>
      </c>
      <c r="BF205" s="25">
        <f t="shared" si="92"/>
        <v>2.236842105263158</v>
      </c>
      <c r="BG205" s="25">
        <f t="shared" si="93"/>
        <v>1.2222222222222223</v>
      </c>
      <c r="BH205" s="25">
        <f t="shared" si="94"/>
        <v>0.1310344827586207</v>
      </c>
      <c r="BI205" s="25">
        <f t="shared" si="95"/>
        <v>0.20784313725490194</v>
      </c>
      <c r="BJ205" s="25">
        <f t="shared" si="96"/>
        <v>0.39344262295081966</v>
      </c>
      <c r="BK205" s="25">
        <f t="shared" si="97"/>
        <v>6.5573770491803282E-2</v>
      </c>
      <c r="BL205" s="25">
        <f t="shared" si="98"/>
        <v>7.8851963746223552E-2</v>
      </c>
      <c r="BM205" s="25">
        <f t="shared" si="99"/>
        <v>0.2416918429003021</v>
      </c>
      <c r="BN205" s="18" t="str">
        <f t="shared" si="105"/>
        <v>Baja fuente de proteína</v>
      </c>
      <c r="BO205" s="18" t="str">
        <f t="shared" si="106"/>
        <v>Baja fuente de fibra</v>
      </c>
      <c r="BP205" s="18" t="str">
        <f t="shared" si="107"/>
        <v>Baja fuente de calcio</v>
      </c>
      <c r="BQ205" s="18" t="str">
        <f t="shared" si="108"/>
        <v>Baja fuente de hierro</v>
      </c>
      <c r="BR205" s="18" t="str">
        <f t="shared" si="109"/>
        <v>Moderado en sodio</v>
      </c>
      <c r="BS205" s="6" t="str">
        <f t="shared" si="100"/>
        <v>Altamente antiinflamatorio</v>
      </c>
      <c r="BT205" s="6" t="str">
        <f t="shared" si="101"/>
        <v>Bajo en grasas</v>
      </c>
      <c r="BU205" s="18" t="str">
        <f t="shared" si="110"/>
        <v>Equilibrio de líquidos ideal</v>
      </c>
      <c r="BV205" s="18" t="str">
        <f t="shared" si="111"/>
        <v>Media fuente de magnesio</v>
      </c>
      <c r="BW205" s="18" t="str">
        <f t="shared" si="112"/>
        <v>Sin aporte de Omega 3</v>
      </c>
      <c r="BX205" s="18" t="str">
        <f t="shared" si="113"/>
        <v>Libre de grasas trans</v>
      </c>
      <c r="BY205" s="18" t="str">
        <f t="shared" si="114"/>
        <v>Bajo poder antioxidante</v>
      </c>
      <c r="BZ205" s="6" t="str">
        <f t="shared" si="102"/>
        <v>Sin probióticos</v>
      </c>
      <c r="CA205" s="18" t="str">
        <f t="shared" si="115"/>
        <v>Poco inflamatorio</v>
      </c>
      <c r="CB205" s="18" t="str">
        <f>IF(ISNUMBER(SEARCH("miel", D205)), "No irritante (Uso condicionado SII)", IF(OR(J205&gt;0, ISNUMBER(SEARCH("cacao", D205)), ISNUMBER(SEARCH("chocolate puro", D205))), "Altamente irritante", IF(OR(AND(O205&gt;15, BI205&gt;1), ISNUMBER(SEARCH("chocolate", D205))), "Moderadamente irritante", "No irritante")))</f>
        <v>No irritante</v>
      </c>
      <c r="CC205" s="6" t="str">
        <f t="shared" si="103"/>
        <v>Sin Omega 3 para evaluar</v>
      </c>
    </row>
    <row r="206" spans="1:81" ht="15" customHeight="1" x14ac:dyDescent="0.3">
      <c r="A206" s="2">
        <f t="shared" si="104"/>
        <v>205</v>
      </c>
      <c r="B206" s="3" t="s">
        <v>234</v>
      </c>
      <c r="C206" s="3" t="s">
        <v>320</v>
      </c>
      <c r="D206" s="3" t="s">
        <v>322</v>
      </c>
      <c r="E206" s="3"/>
      <c r="F206" s="4">
        <v>1.2</v>
      </c>
      <c r="G206" s="5">
        <v>1</v>
      </c>
      <c r="H206" s="5">
        <v>43.6</v>
      </c>
      <c r="I206" s="5">
        <v>89</v>
      </c>
      <c r="J206" s="5">
        <v>0</v>
      </c>
      <c r="K206" s="5">
        <v>0.69</v>
      </c>
      <c r="L206" s="5">
        <v>9.4</v>
      </c>
      <c r="M206" s="5">
        <v>0</v>
      </c>
      <c r="N206" s="5">
        <v>9.4</v>
      </c>
      <c r="O206" s="5">
        <v>0</v>
      </c>
      <c r="P206" s="5">
        <v>0.7</v>
      </c>
      <c r="Q206" s="5">
        <v>0.2</v>
      </c>
      <c r="R206" s="5">
        <v>2.4E-2</v>
      </c>
      <c r="S206" s="5">
        <v>3.6999999999999998E-2</v>
      </c>
      <c r="T206" s="5">
        <v>0.04</v>
      </c>
      <c r="U206" s="5">
        <v>0</v>
      </c>
      <c r="V206" s="5">
        <v>2.6</v>
      </c>
      <c r="W206" s="5">
        <v>0</v>
      </c>
      <c r="X206" s="5">
        <v>15.5</v>
      </c>
      <c r="Y206" s="5">
        <v>0</v>
      </c>
      <c r="Z206" s="5">
        <v>0.25</v>
      </c>
      <c r="AA206" s="5">
        <v>0.1</v>
      </c>
      <c r="AB206" s="5">
        <v>7.1999999999999995E-2</v>
      </c>
      <c r="AC206" s="5">
        <v>1.6E-2</v>
      </c>
      <c r="AD206" s="5">
        <v>0.27</v>
      </c>
      <c r="AE206" s="5">
        <v>0.05</v>
      </c>
      <c r="AF206" s="5">
        <v>18.600000000000001</v>
      </c>
      <c r="AG206" s="5">
        <v>0</v>
      </c>
      <c r="AH206" s="5">
        <v>0.23</v>
      </c>
      <c r="AI206" s="5">
        <v>1</v>
      </c>
      <c r="AJ206" s="5">
        <v>39</v>
      </c>
      <c r="AK206" s="5">
        <v>10.8</v>
      </c>
      <c r="AL206" s="5">
        <v>15</v>
      </c>
      <c r="AM206" s="5">
        <v>0.15</v>
      </c>
      <c r="AN206" s="5">
        <v>1</v>
      </c>
      <c r="AO206" s="5">
        <v>0.11</v>
      </c>
      <c r="AP206" s="5">
        <v>10.9</v>
      </c>
      <c r="AQ206" s="5">
        <v>1</v>
      </c>
      <c r="AR206" s="5">
        <v>143</v>
      </c>
      <c r="AS206" s="5">
        <v>0.03</v>
      </c>
      <c r="AT206" s="5">
        <v>0.08</v>
      </c>
      <c r="AU206" s="5">
        <v>1</v>
      </c>
      <c r="AV206" s="5">
        <f>IFERROR(VLOOKUP(IFERROR(VLOOKUP(D206,Mapa_Similitud!$A$2:$B$2000,2,FALSE()),D206),Hoja1!$A$2:$K$1000,2,FALSE()),IFERROR(VLOOKUP(IFERROR(VLOOKUP(D206,Mapa_Similitud!$A$2:$B$2000,2,FALSE()),D206),Omega3_Referencia!$A$2:$E$100,3,FALSE()),0))</f>
        <v>0</v>
      </c>
      <c r="AW206" s="3" t="str">
        <f>IFERROR(VLOOKUP(IFERROR(VLOOKUP(D206,Mapa_Similitud!$A$2:$B$2000,2,FALSE()),D206),Hoja1!$A$2:$K$1000,3,FALSE()),IFERROR(VLOOKUP(IFERROR(VLOOKUP(D206,Mapa_Similitud!$A$2:$B$2000,2,FALSE()),D206),Omega3_Referencia!$A$2:$E$100,4,FALSE()),"N/A"))</f>
        <v>N/A</v>
      </c>
      <c r="AX206" s="5">
        <f>IFERROR(VLOOKUP(IFERROR(VLOOKUP(D206,Mapa_Similitud!$A$2:$B$2000,2,FALSE()),D206),Hoja1!$A$2:$K$1000,5,FALSE()),0)</f>
        <v>0</v>
      </c>
      <c r="AY206" s="5">
        <f>IFERROR(VLOOKUP(IFERROR(VLOOKUP(D206,Mapa_Similitud!$A$2:$B$2000,2,FALSE()),D206),Hoja1!$A$2:$K$1000,7,FALSE()),0)</f>
        <v>0</v>
      </c>
      <c r="AZ206" s="5">
        <f>IFERROR(VLOOKUP(IFERROR(VLOOKUP(D206,Mapa_Similitud!$A$2:$B$2000,2,FALSE()),D206),Hoja1!$A$2:$K$1000,9,FALSE()),0)</f>
        <v>0</v>
      </c>
      <c r="BA206" s="25">
        <f t="shared" si="87"/>
        <v>1.5825688073394493E-2</v>
      </c>
      <c r="BB206" s="25">
        <f t="shared" si="88"/>
        <v>1.605504587155963E-2</v>
      </c>
      <c r="BC206" s="25">
        <f t="shared" si="89"/>
        <v>0.24770642201834864</v>
      </c>
      <c r="BD206" s="25">
        <f t="shared" si="90"/>
        <v>3.440366972477064E-3</v>
      </c>
      <c r="BE206" s="25">
        <f t="shared" si="91"/>
        <v>2.2935779816513759E-2</v>
      </c>
      <c r="BF206" s="25">
        <f t="shared" si="92"/>
        <v>1.6666666666666667</v>
      </c>
      <c r="BG206" s="25">
        <f t="shared" si="93"/>
        <v>0.72000000000000008</v>
      </c>
      <c r="BH206" s="25">
        <f t="shared" si="94"/>
        <v>0.12</v>
      </c>
      <c r="BI206" s="25">
        <f t="shared" si="95"/>
        <v>6.993006993006993E-3</v>
      </c>
      <c r="BJ206" s="25">
        <f t="shared" si="96"/>
        <v>1</v>
      </c>
      <c r="BK206" s="25">
        <f t="shared" si="97"/>
        <v>7.4468085106382975E-2</v>
      </c>
      <c r="BL206" s="25">
        <f t="shared" si="98"/>
        <v>4.1284403669724773E-2</v>
      </c>
      <c r="BM206" s="25">
        <f t="shared" si="99"/>
        <v>0.25</v>
      </c>
      <c r="BN206" s="18" t="str">
        <f t="shared" si="105"/>
        <v>Baja fuente de proteína</v>
      </c>
      <c r="BO206" s="18" t="str">
        <f t="shared" si="106"/>
        <v>Media fuente de fibra</v>
      </c>
      <c r="BP206" s="18" t="str">
        <f t="shared" si="107"/>
        <v>Baja fuente de calcio</v>
      </c>
      <c r="BQ206" s="18" t="str">
        <f t="shared" si="108"/>
        <v>Baja fuente de hierro</v>
      </c>
      <c r="BR206" s="18" t="str">
        <f t="shared" si="109"/>
        <v>Bajo en sodio</v>
      </c>
      <c r="BS206" s="6" t="str">
        <f t="shared" si="100"/>
        <v>Ligeramente antiinflamatorio</v>
      </c>
      <c r="BT206" s="6" t="str">
        <f t="shared" si="101"/>
        <v>Bajo en grasas</v>
      </c>
      <c r="BU206" s="18" t="str">
        <f t="shared" si="110"/>
        <v>Equilibrio de líquidos ideal</v>
      </c>
      <c r="BV206" s="18" t="str">
        <f t="shared" si="111"/>
        <v>Media fuente de magnesio</v>
      </c>
      <c r="BW206" s="18" t="str">
        <f t="shared" si="112"/>
        <v>Sin aporte de Omega 3</v>
      </c>
      <c r="BX206" s="18" t="str">
        <f t="shared" si="113"/>
        <v>Libre de grasas trans</v>
      </c>
      <c r="BY206" s="18" t="str">
        <f t="shared" si="114"/>
        <v>Bajo poder antioxidante</v>
      </c>
      <c r="BZ206" s="6" t="str">
        <f t="shared" si="102"/>
        <v>Sin probióticos</v>
      </c>
      <c r="CA206" s="18" t="str">
        <f t="shared" si="115"/>
        <v>Poco inflamatorio</v>
      </c>
      <c r="CB206" s="18" t="str">
        <f>IF(ISNUMBER(SEARCH("miel", D206)), "No irritante (Uso condicionado SII)", IF(OR(J206&gt;0, ISNUMBER(SEARCH("cacao", D206)), ISNUMBER(SEARCH("chocolate puro", D206))), "Altamente irritante", IF(OR(AND(O206&gt;15, BI206&gt;1), ISNUMBER(SEARCH("chocolate", D206))), "Moderadamente irritante", "No irritante")))</f>
        <v>No irritante</v>
      </c>
      <c r="CC206" s="6" t="str">
        <f t="shared" si="103"/>
        <v>Sin Omega 3 para evaluar</v>
      </c>
    </row>
    <row r="207" spans="1:81" ht="15" customHeight="1" x14ac:dyDescent="0.3">
      <c r="A207" s="2">
        <f t="shared" si="104"/>
        <v>206</v>
      </c>
      <c r="B207" s="3" t="s">
        <v>323</v>
      </c>
      <c r="C207" s="3" t="s">
        <v>324</v>
      </c>
      <c r="D207" s="3" t="s">
        <v>325</v>
      </c>
      <c r="E207" s="3"/>
      <c r="F207" s="4">
        <v>3</v>
      </c>
      <c r="G207" s="5">
        <v>1</v>
      </c>
      <c r="H207" s="5">
        <v>132</v>
      </c>
      <c r="I207" s="5">
        <v>76.599999999999994</v>
      </c>
      <c r="J207" s="5">
        <v>0</v>
      </c>
      <c r="K207" s="5">
        <v>6.5</v>
      </c>
      <c r="L207" s="5">
        <v>9.3000000000000007</v>
      </c>
      <c r="M207" s="5">
        <v>0</v>
      </c>
      <c r="N207" s="5">
        <v>9.3000000000000007</v>
      </c>
      <c r="O207" s="5">
        <v>0</v>
      </c>
      <c r="P207" s="5">
        <v>0</v>
      </c>
      <c r="Q207" s="5">
        <v>7.6</v>
      </c>
      <c r="R207" s="5">
        <v>4.2</v>
      </c>
      <c r="S207" s="5">
        <v>2.4</v>
      </c>
      <c r="T207" s="5">
        <v>0.21</v>
      </c>
      <c r="U207" s="5">
        <v>25</v>
      </c>
      <c r="V207" s="5">
        <v>53.7</v>
      </c>
      <c r="W207" s="5">
        <v>48</v>
      </c>
      <c r="X207" s="5">
        <v>34</v>
      </c>
      <c r="Y207" s="5">
        <v>0.1</v>
      </c>
      <c r="Z207" s="5">
        <v>0.17</v>
      </c>
      <c r="AA207" s="5">
        <v>1.5</v>
      </c>
      <c r="AB207" s="5">
        <v>6.7000000000000004E-2</v>
      </c>
      <c r="AC207" s="5">
        <v>0.37</v>
      </c>
      <c r="AD207" s="5">
        <v>2</v>
      </c>
      <c r="AE207" s="5">
        <v>5.8999999999999997E-2</v>
      </c>
      <c r="AF207" s="5">
        <v>6</v>
      </c>
      <c r="AG207" s="5">
        <v>0.41</v>
      </c>
      <c r="AH207" s="5">
        <v>0.64</v>
      </c>
      <c r="AI207" s="5">
        <v>6.3</v>
      </c>
      <c r="AJ207" s="5">
        <v>2.1</v>
      </c>
      <c r="AK207" s="5">
        <v>242</v>
      </c>
      <c r="AL207" s="5">
        <v>189</v>
      </c>
      <c r="AM207" s="5">
        <v>9.4E-2</v>
      </c>
      <c r="AN207" s="5">
        <v>6.7</v>
      </c>
      <c r="AO207" s="5">
        <v>0.78</v>
      </c>
      <c r="AP207" s="5">
        <v>27</v>
      </c>
      <c r="AQ207" s="5">
        <v>98</v>
      </c>
      <c r="AR207" s="5">
        <v>322</v>
      </c>
      <c r="AS207" s="5">
        <v>5.1000000000000004E-3</v>
      </c>
      <c r="AT207" s="5">
        <v>2.1000000000000001E-2</v>
      </c>
      <c r="AU207" s="5">
        <v>1.2</v>
      </c>
      <c r="AV207" s="5">
        <f>IFERROR(VLOOKUP(IFERROR(VLOOKUP(D207,Mapa_Similitud!$A$2:$B$2000,2,FALSE()),D207),Hoja1!$A$2:$K$1000,2,FALSE()),IFERROR(VLOOKUP(IFERROR(VLOOKUP(D207,Mapa_Similitud!$A$2:$B$2000,2,FALSE()),D207),Omega3_Referencia!$A$2:$E$100,3,FALSE()),0))</f>
        <v>0.15</v>
      </c>
      <c r="AW207" s="3" t="str">
        <f>IFERROR(VLOOKUP(IFERROR(VLOOKUP(D207,Mapa_Similitud!$A$2:$B$2000,2,FALSE()),D207),Hoja1!$A$2:$K$1000,3,FALSE()),IFERROR(VLOOKUP(IFERROR(VLOOKUP(D207,Mapa_Similitud!$A$2:$B$2000,2,FALSE()),D207),Omega3_Referencia!$A$2:$E$100,4,FALSE()),"N/A"))</f>
        <v>ALA/EPA</v>
      </c>
      <c r="AX207" s="5">
        <f>IFERROR(VLOOKUP(IFERROR(VLOOKUP(D207,Mapa_Similitud!$A$2:$B$2000,2,FALSE()),D207),Hoja1!$A$2:$K$1000,5,FALSE()),0)</f>
        <v>0.4</v>
      </c>
      <c r="AY207" s="5">
        <f>IFERROR(VLOOKUP(IFERROR(VLOOKUP(D207,Mapa_Similitud!$A$2:$B$2000,2,FALSE()),D207),Hoja1!$A$2:$K$1000,7,FALSE()),0)</f>
        <v>0</v>
      </c>
      <c r="AZ207" s="5">
        <f>IFERROR(VLOOKUP(IFERROR(VLOOKUP(D207,Mapa_Similitud!$A$2:$B$2000,2,FALSE()),D207),Hoja1!$A$2:$K$1000,9,FALSE()),0)</f>
        <v>0</v>
      </c>
      <c r="BA207" s="25">
        <f t="shared" si="87"/>
        <v>4.924242424242424E-2</v>
      </c>
      <c r="BB207" s="25">
        <f t="shared" si="88"/>
        <v>0</v>
      </c>
      <c r="BC207" s="25">
        <f t="shared" si="89"/>
        <v>1.8333333333333333</v>
      </c>
      <c r="BD207" s="25">
        <f t="shared" si="90"/>
        <v>7.1212121212121211E-4</v>
      </c>
      <c r="BE207" s="25">
        <f t="shared" si="91"/>
        <v>0.74242424242424243</v>
      </c>
      <c r="BF207" s="25">
        <f t="shared" si="92"/>
        <v>4.9999999999999996E-2</v>
      </c>
      <c r="BG207" s="25">
        <f t="shared" si="93"/>
        <v>1.2804232804232805</v>
      </c>
      <c r="BH207" s="25">
        <f t="shared" si="94"/>
        <v>0.55263157894736847</v>
      </c>
      <c r="BI207" s="25">
        <f t="shared" si="95"/>
        <v>0.30434782608695654</v>
      </c>
      <c r="BJ207" s="25">
        <f t="shared" si="96"/>
        <v>1</v>
      </c>
      <c r="BK207" s="25">
        <f t="shared" si="97"/>
        <v>0</v>
      </c>
      <c r="BL207" s="25">
        <f t="shared" si="98"/>
        <v>0.51818181818181808</v>
      </c>
      <c r="BM207" s="25">
        <f t="shared" si="99"/>
        <v>0.20454545454545456</v>
      </c>
      <c r="BN207" s="18" t="str">
        <f t="shared" si="105"/>
        <v>Baja fuente de proteína</v>
      </c>
      <c r="BO207" s="18" t="str">
        <f t="shared" si="106"/>
        <v>Baja fuente de fibra</v>
      </c>
      <c r="BP207" s="18" t="str">
        <f t="shared" si="107"/>
        <v>Alta fuente de calcio</v>
      </c>
      <c r="BQ207" s="18" t="str">
        <f t="shared" si="108"/>
        <v>Baja fuente de hierro</v>
      </c>
      <c r="BR207" s="18" t="str">
        <f t="shared" si="109"/>
        <v>Moderado en sodio</v>
      </c>
      <c r="BS207" s="6" t="str">
        <f t="shared" si="100"/>
        <v>Proinflamatorio</v>
      </c>
      <c r="BT207" s="6" t="str">
        <f t="shared" si="101"/>
        <v>Muy alto en grasas</v>
      </c>
      <c r="BU207" s="18" t="str">
        <f t="shared" si="110"/>
        <v>Equilibrio de líquidos ideal</v>
      </c>
      <c r="BV207" s="18" t="str">
        <f t="shared" si="111"/>
        <v>Media fuente de magnesio</v>
      </c>
      <c r="BW207" s="18" t="str">
        <f t="shared" si="112"/>
        <v>Ligera fuente de Omega 3</v>
      </c>
      <c r="BX207" s="18" t="str">
        <f t="shared" si="113"/>
        <v>Contiene grasas trans</v>
      </c>
      <c r="BY207" s="18" t="str">
        <f t="shared" si="114"/>
        <v>Bajo poder antioxidante</v>
      </c>
      <c r="BZ207" s="6" t="str">
        <f t="shared" si="102"/>
        <v>Sin probióticos</v>
      </c>
      <c r="CA207" s="18" t="str">
        <f t="shared" si="115"/>
        <v>Moderadamente inflamatorio</v>
      </c>
      <c r="CB207" s="18" t="str">
        <f>IF(ISNUMBER(SEARCH("miel", D207)), "No irritante (Uso condicionado SII)", IF(OR(J207&gt;0, ISNUMBER(SEARCH("cacao", D207)), ISNUMBER(SEARCH("chocolate puro", D207))), "Altamente irritante", IF(OR(AND(O207&gt;15, BI207&gt;1), ISNUMBER(SEARCH("chocolate", D207))), "Moderadamente irritante", "No irritante")))</f>
        <v>No irritante</v>
      </c>
      <c r="CC207" s="6" t="str">
        <f t="shared" si="103"/>
        <v>Balance de omegas favorable</v>
      </c>
    </row>
    <row r="208" spans="1:81" ht="15" customHeight="1" x14ac:dyDescent="0.3">
      <c r="A208" s="2">
        <f t="shared" si="104"/>
        <v>207</v>
      </c>
      <c r="B208" s="3" t="s">
        <v>323</v>
      </c>
      <c r="C208" s="3" t="s">
        <v>324</v>
      </c>
      <c r="D208" s="3" t="s">
        <v>326</v>
      </c>
      <c r="E208" s="3"/>
      <c r="F208" s="4">
        <v>3</v>
      </c>
      <c r="G208" s="5">
        <v>1</v>
      </c>
      <c r="H208" s="5">
        <v>336</v>
      </c>
      <c r="I208" s="5">
        <v>28.6</v>
      </c>
      <c r="J208" s="5">
        <v>0</v>
      </c>
      <c r="K208" s="5">
        <v>8.5</v>
      </c>
      <c r="L208" s="5">
        <v>52.8</v>
      </c>
      <c r="M208" s="5">
        <v>0</v>
      </c>
      <c r="N208" s="5">
        <v>52.8</v>
      </c>
      <c r="O208" s="5">
        <v>22.7</v>
      </c>
      <c r="P208" s="5">
        <v>0</v>
      </c>
      <c r="Q208" s="5">
        <v>10.1</v>
      </c>
      <c r="R208" s="5">
        <v>6.3</v>
      </c>
      <c r="S208" s="5">
        <v>2.9</v>
      </c>
      <c r="T208" s="5">
        <v>0.31</v>
      </c>
      <c r="U208" s="5">
        <v>36</v>
      </c>
      <c r="V208" s="5">
        <v>122</v>
      </c>
      <c r="W208" s="5">
        <v>110</v>
      </c>
      <c r="X208" s="5">
        <v>70</v>
      </c>
      <c r="Y208" s="5">
        <v>5.4</v>
      </c>
      <c r="Z208" s="5">
        <v>0.19</v>
      </c>
      <c r="AA208" s="5">
        <v>2</v>
      </c>
      <c r="AB208" s="5">
        <v>0.09</v>
      </c>
      <c r="AC208" s="5">
        <v>0.46</v>
      </c>
      <c r="AD208" s="5">
        <v>2.4</v>
      </c>
      <c r="AE208" s="5">
        <v>7.0000000000000007E-2</v>
      </c>
      <c r="AF208" s="5">
        <v>15</v>
      </c>
      <c r="AG208" s="5">
        <v>0.7</v>
      </c>
      <c r="AH208" s="5">
        <v>0.85</v>
      </c>
      <c r="AI208" s="5">
        <v>3.9</v>
      </c>
      <c r="AJ208" s="5">
        <v>4</v>
      </c>
      <c r="AK208" s="5">
        <v>290</v>
      </c>
      <c r="AL208" s="5">
        <v>240</v>
      </c>
      <c r="AM208" s="5">
        <v>0.23</v>
      </c>
      <c r="AN208" s="5">
        <v>74</v>
      </c>
      <c r="AO208" s="5">
        <v>1</v>
      </c>
      <c r="AP208" s="5">
        <v>29</v>
      </c>
      <c r="AQ208" s="5">
        <v>140</v>
      </c>
      <c r="AR208" s="5">
        <v>360</v>
      </c>
      <c r="AS208" s="5">
        <v>0</v>
      </c>
      <c r="AT208" s="5">
        <v>0</v>
      </c>
      <c r="AU208" s="5">
        <v>3</v>
      </c>
      <c r="AV208" s="5">
        <f>IFERROR(VLOOKUP(IFERROR(VLOOKUP(D208,Mapa_Similitud!$A$2:$B$2000,2,FALSE()),D208),Hoja1!$A$2:$K$1000,2,FALSE()),IFERROR(VLOOKUP(IFERROR(VLOOKUP(D208,Mapa_Similitud!$A$2:$B$2000,2,FALSE()),D208),Omega3_Referencia!$A$2:$E$100,3,FALSE()),0))</f>
        <v>0.15</v>
      </c>
      <c r="AW208" s="3" t="str">
        <f>IFERROR(VLOOKUP(IFERROR(VLOOKUP(D208,Mapa_Similitud!$A$2:$B$2000,2,FALSE()),D208),Hoja1!$A$2:$K$1000,3,FALSE()),IFERROR(VLOOKUP(IFERROR(VLOOKUP(D208,Mapa_Similitud!$A$2:$B$2000,2,FALSE()),D208),Omega3_Referencia!$A$2:$E$100,4,FALSE()),"N/A"))</f>
        <v>ALA/EPA</v>
      </c>
      <c r="AX208" s="5">
        <f>IFERROR(VLOOKUP(IFERROR(VLOOKUP(D208,Mapa_Similitud!$A$2:$B$2000,2,FALSE()),D208),Hoja1!$A$2:$K$1000,5,FALSE()),0)</f>
        <v>0.4</v>
      </c>
      <c r="AY208" s="5">
        <f>IFERROR(VLOOKUP(IFERROR(VLOOKUP(D208,Mapa_Similitud!$A$2:$B$2000,2,FALSE()),D208),Hoja1!$A$2:$K$1000,7,FALSE()),0)</f>
        <v>0</v>
      </c>
      <c r="AZ208" s="5">
        <f>IFERROR(VLOOKUP(IFERROR(VLOOKUP(D208,Mapa_Similitud!$A$2:$B$2000,2,FALSE()),D208),Hoja1!$A$2:$K$1000,9,FALSE()),0)</f>
        <v>0</v>
      </c>
      <c r="BA208" s="25">
        <f t="shared" si="87"/>
        <v>2.5297619047619048E-2</v>
      </c>
      <c r="BB208" s="25">
        <f t="shared" si="88"/>
        <v>0</v>
      </c>
      <c r="BC208" s="25">
        <f t="shared" si="89"/>
        <v>0.86309523809523814</v>
      </c>
      <c r="BD208" s="25">
        <f t="shared" si="90"/>
        <v>6.8452380952380956E-4</v>
      </c>
      <c r="BE208" s="25">
        <f t="shared" si="91"/>
        <v>0.41666666666666669</v>
      </c>
      <c r="BF208" s="25">
        <f t="shared" si="92"/>
        <v>4.9206349206349205E-2</v>
      </c>
      <c r="BG208" s="25">
        <f t="shared" si="93"/>
        <v>1.2083333333333333</v>
      </c>
      <c r="BH208" s="25">
        <f t="shared" si="94"/>
        <v>0.62376237623762376</v>
      </c>
      <c r="BI208" s="25">
        <f t="shared" si="95"/>
        <v>0.3888888888888889</v>
      </c>
      <c r="BJ208" s="25">
        <f t="shared" si="96"/>
        <v>1</v>
      </c>
      <c r="BK208" s="25">
        <f t="shared" si="97"/>
        <v>0</v>
      </c>
      <c r="BL208" s="25">
        <f t="shared" si="98"/>
        <v>0.27053571428571427</v>
      </c>
      <c r="BM208" s="25">
        <f t="shared" si="99"/>
        <v>8.6309523809523808E-2</v>
      </c>
      <c r="BN208" s="18" t="str">
        <f t="shared" si="105"/>
        <v>Baja fuente de proteína</v>
      </c>
      <c r="BO208" s="18" t="str">
        <f t="shared" si="106"/>
        <v>Baja fuente de fibra</v>
      </c>
      <c r="BP208" s="18" t="str">
        <f t="shared" si="107"/>
        <v>Media fuente de calcio</v>
      </c>
      <c r="BQ208" s="18" t="str">
        <f t="shared" si="108"/>
        <v>Baja fuente de hierro</v>
      </c>
      <c r="BR208" s="18" t="str">
        <f t="shared" si="109"/>
        <v>Bajo en sodio</v>
      </c>
      <c r="BS208" s="6" t="str">
        <f t="shared" si="100"/>
        <v>Proinflamatorio</v>
      </c>
      <c r="BT208" s="6" t="str">
        <f t="shared" si="101"/>
        <v>Moderado en grasas</v>
      </c>
      <c r="BU208" s="18" t="str">
        <f t="shared" si="110"/>
        <v>Equilibrio de líquidos ideal</v>
      </c>
      <c r="BV208" s="18" t="str">
        <f t="shared" si="111"/>
        <v>Baja fuente de magnesio</v>
      </c>
      <c r="BW208" s="18" t="str">
        <f t="shared" si="112"/>
        <v>Ligera fuente de Omega 3</v>
      </c>
      <c r="BX208" s="18" t="str">
        <f t="shared" si="113"/>
        <v>Contiene grasas trans</v>
      </c>
      <c r="BY208" s="18" t="str">
        <f t="shared" si="114"/>
        <v>Bajo poder antioxidante</v>
      </c>
      <c r="BZ208" s="6" t="str">
        <f t="shared" si="102"/>
        <v>Sin probióticos</v>
      </c>
      <c r="CA208" s="18" t="str">
        <f t="shared" si="115"/>
        <v>Altamente inflamatorio</v>
      </c>
      <c r="CB208" s="18" t="str">
        <f>IF(ISNUMBER(SEARCH("miel", D208)), "No irritante (Uso condicionado SII)", IF(OR(J208&gt;0, ISNUMBER(SEARCH("cacao", D208)), ISNUMBER(SEARCH("chocolate puro", D208))), "Altamente irritante", IF(OR(AND(O208&gt;15, BI208&gt;1), ISNUMBER(SEARCH("chocolate", D208))), "Moderadamente irritante", "No irritante")))</f>
        <v>No irritante</v>
      </c>
      <c r="CC208" s="6" t="str">
        <f t="shared" si="103"/>
        <v>Balance de omegas favorable</v>
      </c>
    </row>
    <row r="209" spans="1:81" ht="15" customHeight="1" x14ac:dyDescent="0.3">
      <c r="A209" s="2">
        <f t="shared" si="104"/>
        <v>208</v>
      </c>
      <c r="B209" s="3" t="s">
        <v>323</v>
      </c>
      <c r="C209" s="3" t="s">
        <v>324</v>
      </c>
      <c r="D209" s="3" t="s">
        <v>327</v>
      </c>
      <c r="E209" s="3"/>
      <c r="F209" s="4">
        <v>3</v>
      </c>
      <c r="G209" s="5">
        <v>1</v>
      </c>
      <c r="H209" s="5">
        <v>282</v>
      </c>
      <c r="I209" s="5">
        <v>29.8</v>
      </c>
      <c r="J209" s="5">
        <v>0</v>
      </c>
      <c r="K209" s="5">
        <v>10</v>
      </c>
      <c r="L209" s="5">
        <v>60</v>
      </c>
      <c r="M209" s="5">
        <v>0</v>
      </c>
      <c r="N209" s="5">
        <v>60</v>
      </c>
      <c r="O209" s="5">
        <v>25.8</v>
      </c>
      <c r="P209" s="5">
        <v>0</v>
      </c>
      <c r="Q209" s="5">
        <v>0.2</v>
      </c>
      <c r="R209" s="5">
        <v>0.09</v>
      </c>
      <c r="S209" s="5">
        <v>0.09</v>
      </c>
      <c r="T209" s="5">
        <v>0</v>
      </c>
      <c r="U209" s="5">
        <v>1</v>
      </c>
      <c r="V209" s="5">
        <v>31.3</v>
      </c>
      <c r="W209" s="5">
        <v>28</v>
      </c>
      <c r="X209" s="5">
        <v>20</v>
      </c>
      <c r="Y209" s="5">
        <v>0.85</v>
      </c>
      <c r="Z209" s="5">
        <v>0.04</v>
      </c>
      <c r="AA209" s="5">
        <v>0.66</v>
      </c>
      <c r="AB209" s="5">
        <v>0.11</v>
      </c>
      <c r="AC209" s="5">
        <v>0.51</v>
      </c>
      <c r="AD209" s="5">
        <v>2.6</v>
      </c>
      <c r="AE209" s="5">
        <v>0.09</v>
      </c>
      <c r="AF209" s="5">
        <v>16</v>
      </c>
      <c r="AG209" s="5">
        <v>0.9</v>
      </c>
      <c r="AH209" s="5">
        <v>1</v>
      </c>
      <c r="AI209" s="5">
        <v>5.2</v>
      </c>
      <c r="AJ209" s="5">
        <v>5</v>
      </c>
      <c r="AK209" s="5">
        <v>330</v>
      </c>
      <c r="AL209" s="5">
        <v>270</v>
      </c>
      <c r="AM209" s="5">
        <v>0.33</v>
      </c>
      <c r="AN209" s="5">
        <v>89</v>
      </c>
      <c r="AO209" s="5">
        <v>1.2</v>
      </c>
      <c r="AP209" s="5">
        <v>33</v>
      </c>
      <c r="AQ209" s="5">
        <v>150</v>
      </c>
      <c r="AR209" s="5">
        <v>450</v>
      </c>
      <c r="AS209" s="5">
        <v>0</v>
      </c>
      <c r="AT209" s="5">
        <v>0</v>
      </c>
      <c r="AU209" s="5">
        <v>3</v>
      </c>
      <c r="AV209" s="5">
        <f>IFERROR(VLOOKUP(IFERROR(VLOOKUP(D209,Mapa_Similitud!$A$2:$B$2000,2,FALSE()),D209),Hoja1!$A$2:$K$1000,2,FALSE()),IFERROR(VLOOKUP(IFERROR(VLOOKUP(D209,Mapa_Similitud!$A$2:$B$2000,2,FALSE()),D209),Omega3_Referencia!$A$2:$E$100,3,FALSE()),0))</f>
        <v>0.05</v>
      </c>
      <c r="AW209" s="3" t="str">
        <f>IFERROR(VLOOKUP(IFERROR(VLOOKUP(D209,Mapa_Similitud!$A$2:$B$2000,2,FALSE()),D209),Hoja1!$A$2:$K$1000,3,FALSE()),IFERROR(VLOOKUP(IFERROR(VLOOKUP(D209,Mapa_Similitud!$A$2:$B$2000,2,FALSE()),D209),Omega3_Referencia!$A$2:$E$100,4,FALSE()),"N/A"))</f>
        <v>ALA/EPA</v>
      </c>
      <c r="AX209" s="5">
        <f>IFERROR(VLOOKUP(IFERROR(VLOOKUP(D209,Mapa_Similitud!$A$2:$B$2000,2,FALSE()),D209),Hoja1!$A$2:$K$1000,5,FALSE()),0)</f>
        <v>0.1</v>
      </c>
      <c r="AY209" s="5">
        <f>IFERROR(VLOOKUP(IFERROR(VLOOKUP(D209,Mapa_Similitud!$A$2:$B$2000,2,FALSE()),D209),Hoja1!$A$2:$K$1000,7,FALSE()),0)</f>
        <v>0</v>
      </c>
      <c r="AZ209" s="5">
        <f>IFERROR(VLOOKUP(IFERROR(VLOOKUP(D209,Mapa_Similitud!$A$2:$B$2000,2,FALSE()),D209),Hoja1!$A$2:$K$1000,9,FALSE()),0)</f>
        <v>0</v>
      </c>
      <c r="BA209" s="25">
        <f t="shared" si="87"/>
        <v>3.5460992907801421E-2</v>
      </c>
      <c r="BB209" s="25">
        <f t="shared" si="88"/>
        <v>0</v>
      </c>
      <c r="BC209" s="25">
        <f t="shared" si="89"/>
        <v>1.1702127659574468</v>
      </c>
      <c r="BD209" s="25">
        <f t="shared" si="90"/>
        <v>1.1702127659574469E-3</v>
      </c>
      <c r="BE209" s="25">
        <f t="shared" si="91"/>
        <v>0.53191489361702127</v>
      </c>
      <c r="BF209" s="25">
        <f t="shared" si="92"/>
        <v>0</v>
      </c>
      <c r="BG209" s="25">
        <f t="shared" si="93"/>
        <v>1.2222222222222223</v>
      </c>
      <c r="BH209" s="25">
        <f t="shared" si="94"/>
        <v>0.44999999999999996</v>
      </c>
      <c r="BI209" s="25">
        <f t="shared" si="95"/>
        <v>0.33333333333333331</v>
      </c>
      <c r="BJ209" s="25">
        <f t="shared" si="96"/>
        <v>1</v>
      </c>
      <c r="BK209" s="25">
        <f t="shared" si="97"/>
        <v>0</v>
      </c>
      <c r="BL209" s="25">
        <f t="shared" si="98"/>
        <v>6.3829787234042559E-3</v>
      </c>
      <c r="BM209" s="25">
        <f t="shared" si="99"/>
        <v>0.11702127659574468</v>
      </c>
      <c r="BN209" s="18" t="str">
        <f t="shared" si="105"/>
        <v>Baja fuente de proteína</v>
      </c>
      <c r="BO209" s="18" t="str">
        <f t="shared" si="106"/>
        <v>Baja fuente de fibra</v>
      </c>
      <c r="BP209" s="18" t="str">
        <f t="shared" si="107"/>
        <v>Media fuente de calcio</v>
      </c>
      <c r="BQ209" s="18" t="str">
        <f t="shared" si="108"/>
        <v>Baja fuente de hierro</v>
      </c>
      <c r="BR209" s="18" t="str">
        <f t="shared" si="109"/>
        <v>Moderado en sodio</v>
      </c>
      <c r="BS209" s="6" t="str">
        <f t="shared" si="100"/>
        <v>Proinflamatorio</v>
      </c>
      <c r="BT209" s="6" t="str">
        <f t="shared" si="101"/>
        <v>Bajo en grasas</v>
      </c>
      <c r="BU209" s="18" t="str">
        <f t="shared" si="110"/>
        <v>Equilibrio de líquidos ideal</v>
      </c>
      <c r="BV209" s="18" t="str">
        <f t="shared" si="111"/>
        <v>Baja fuente de magnesio</v>
      </c>
      <c r="BW209" s="18" t="str">
        <f t="shared" si="112"/>
        <v>Sin aporte de Omega 3</v>
      </c>
      <c r="BX209" s="18" t="str">
        <f t="shared" si="113"/>
        <v>Contiene grasas trans</v>
      </c>
      <c r="BY209" s="18" t="str">
        <f t="shared" si="114"/>
        <v>Bajo poder antioxidante</v>
      </c>
      <c r="BZ209" s="6" t="str">
        <f t="shared" si="102"/>
        <v>Sin probióticos</v>
      </c>
      <c r="CA209" s="18" t="str">
        <f t="shared" si="115"/>
        <v>Altamente inflamatorio</v>
      </c>
      <c r="CB209" s="18" t="str">
        <f>IF(ISNUMBER(SEARCH("miel", D209)), "No irritante (Uso condicionado SII)", IF(OR(J209&gt;0, ISNUMBER(SEARCH("cacao", D209)), ISNUMBER(SEARCH("chocolate puro", D209))), "Altamente irritante", IF(OR(AND(O209&gt;15, BI209&gt;1), ISNUMBER(SEARCH("chocolate", D209))), "Moderadamente irritante", "No irritante")))</f>
        <v>No irritante</v>
      </c>
      <c r="CC209" s="6" t="str">
        <f t="shared" si="103"/>
        <v>Balance de omegas favorable</v>
      </c>
    </row>
    <row r="210" spans="1:81" ht="15" customHeight="1" x14ac:dyDescent="0.3">
      <c r="A210" s="2">
        <f t="shared" si="104"/>
        <v>209</v>
      </c>
      <c r="B210" s="3" t="s">
        <v>323</v>
      </c>
      <c r="C210" s="3" t="s">
        <v>324</v>
      </c>
      <c r="D210" s="3" t="s">
        <v>328</v>
      </c>
      <c r="E210" s="3"/>
      <c r="F210" s="4">
        <v>2.5</v>
      </c>
      <c r="G210" s="5">
        <v>1</v>
      </c>
      <c r="H210" s="5">
        <v>66.7</v>
      </c>
      <c r="I210" s="5">
        <v>88.2</v>
      </c>
      <c r="J210" s="5">
        <v>0</v>
      </c>
      <c r="K210" s="5">
        <v>3.7</v>
      </c>
      <c r="L210" s="5">
        <v>4.2</v>
      </c>
      <c r="M210" s="5">
        <v>0</v>
      </c>
      <c r="N210" s="5">
        <v>4.2</v>
      </c>
      <c r="O210" s="5">
        <v>0</v>
      </c>
      <c r="P210" s="5">
        <v>0</v>
      </c>
      <c r="Q210" s="5">
        <v>3.9</v>
      </c>
      <c r="R210" s="5">
        <v>2.6</v>
      </c>
      <c r="S210" s="5">
        <v>0.94</v>
      </c>
      <c r="T210" s="5">
        <v>0.13</v>
      </c>
      <c r="U210" s="5">
        <v>11</v>
      </c>
      <c r="V210" s="5">
        <v>73.8</v>
      </c>
      <c r="W210" s="5">
        <v>68</v>
      </c>
      <c r="X210" s="5">
        <v>35</v>
      </c>
      <c r="Y210" s="5">
        <v>0.25</v>
      </c>
      <c r="Z210" s="5">
        <v>0.03</v>
      </c>
      <c r="AA210" s="5">
        <v>0.1</v>
      </c>
      <c r="AB210" s="5">
        <v>4.9000000000000002E-2</v>
      </c>
      <c r="AC210" s="5">
        <v>0.23</v>
      </c>
      <c r="AD210" s="5">
        <v>1</v>
      </c>
      <c r="AE210" s="5">
        <v>2.7E-2</v>
      </c>
      <c r="AF210" s="5">
        <v>0.8</v>
      </c>
      <c r="AG210" s="5">
        <v>7.0000000000000007E-2</v>
      </c>
      <c r="AH210" s="5">
        <v>0.31</v>
      </c>
      <c r="AI210" s="5">
        <v>3.9</v>
      </c>
      <c r="AJ210" s="5">
        <v>2</v>
      </c>
      <c r="AK210" s="5">
        <v>127</v>
      </c>
      <c r="AL210" s="5">
        <v>109</v>
      </c>
      <c r="AM210" s="5">
        <v>4.1000000000000002E-2</v>
      </c>
      <c r="AN210" s="5">
        <v>4.0999999999999996</v>
      </c>
      <c r="AO210" s="5">
        <v>0.25</v>
      </c>
      <c r="AP210" s="5">
        <v>11</v>
      </c>
      <c r="AQ210" s="5">
        <v>42</v>
      </c>
      <c r="AR210" s="5">
        <v>181</v>
      </c>
      <c r="AS210" s="5">
        <v>5.4999999999999997E-3</v>
      </c>
      <c r="AT210" s="5">
        <v>1.0999999999999999E-2</v>
      </c>
      <c r="AU210" s="5">
        <v>0.7</v>
      </c>
      <c r="AV210" s="5">
        <f>IFERROR(VLOOKUP(IFERROR(VLOOKUP(D210,Mapa_Similitud!$A$2:$B$2000,2,FALSE()),D210),Hoja1!$A$2:$K$1000,2,FALSE()),IFERROR(VLOOKUP(IFERROR(VLOOKUP(D210,Mapa_Similitud!$A$2:$B$2000,2,FALSE()),D210),Omega3_Referencia!$A$2:$E$100,3,FALSE()),0))</f>
        <v>0.05</v>
      </c>
      <c r="AW210" s="3" t="str">
        <f>IFERROR(VLOOKUP(IFERROR(VLOOKUP(D210,Mapa_Similitud!$A$2:$B$2000,2,FALSE()),D210),Hoja1!$A$2:$K$1000,3,FALSE()),IFERROR(VLOOKUP(IFERROR(VLOOKUP(D210,Mapa_Similitud!$A$2:$B$2000,2,FALSE()),D210),Omega3_Referencia!$A$2:$E$100,4,FALSE()),"N/A"))</f>
        <v>ALA/EPA</v>
      </c>
      <c r="AX210" s="5">
        <f>IFERROR(VLOOKUP(IFERROR(VLOOKUP(D210,Mapa_Similitud!$A$2:$B$2000,2,FALSE()),D210),Hoja1!$A$2:$K$1000,5,FALSE()),0)</f>
        <v>0.1</v>
      </c>
      <c r="AY210" s="5">
        <f>IFERROR(VLOOKUP(IFERROR(VLOOKUP(D210,Mapa_Similitud!$A$2:$B$2000,2,FALSE()),D210),Hoja1!$A$2:$K$1000,7,FALSE()),0)</f>
        <v>0</v>
      </c>
      <c r="AZ210" s="5">
        <f>IFERROR(VLOOKUP(IFERROR(VLOOKUP(D210,Mapa_Similitud!$A$2:$B$2000,2,FALSE()),D210),Hoja1!$A$2:$K$1000,9,FALSE()),0)</f>
        <v>0</v>
      </c>
      <c r="BA210" s="25">
        <f t="shared" si="87"/>
        <v>5.5472263868065967E-2</v>
      </c>
      <c r="BB210" s="25">
        <f t="shared" si="88"/>
        <v>0</v>
      </c>
      <c r="BC210" s="25">
        <f t="shared" si="89"/>
        <v>1.9040479760119939</v>
      </c>
      <c r="BD210" s="25">
        <f t="shared" si="90"/>
        <v>6.1469265367316347E-4</v>
      </c>
      <c r="BE210" s="25">
        <f t="shared" si="91"/>
        <v>0.62968515742128928</v>
      </c>
      <c r="BF210" s="25">
        <f t="shared" si="92"/>
        <v>0.05</v>
      </c>
      <c r="BG210" s="25">
        <f t="shared" si="93"/>
        <v>1.165137614678899</v>
      </c>
      <c r="BH210" s="25">
        <f t="shared" si="94"/>
        <v>0.66666666666666674</v>
      </c>
      <c r="BI210" s="25">
        <f t="shared" si="95"/>
        <v>0.23204419889502761</v>
      </c>
      <c r="BJ210" s="25">
        <f t="shared" si="96"/>
        <v>1</v>
      </c>
      <c r="BK210" s="25">
        <f t="shared" si="97"/>
        <v>0</v>
      </c>
      <c r="BL210" s="25">
        <f t="shared" si="98"/>
        <v>0.52623688155922044</v>
      </c>
      <c r="BM210" s="25">
        <f t="shared" si="99"/>
        <v>0.16491754122938529</v>
      </c>
      <c r="BN210" s="18" t="str">
        <f t="shared" si="105"/>
        <v>Baja fuente de proteína</v>
      </c>
      <c r="BO210" s="18" t="str">
        <f t="shared" si="106"/>
        <v>Baja fuente de fibra</v>
      </c>
      <c r="BP210" s="18" t="str">
        <f t="shared" si="107"/>
        <v>Alta fuente de calcio</v>
      </c>
      <c r="BQ210" s="18" t="str">
        <f t="shared" si="108"/>
        <v>Baja fuente de hierro</v>
      </c>
      <c r="BR210" s="18" t="str">
        <f t="shared" si="109"/>
        <v>Moderado en sodio</v>
      </c>
      <c r="BS210" s="6" t="str">
        <f t="shared" si="100"/>
        <v>Proinflamatorio</v>
      </c>
      <c r="BT210" s="6" t="str">
        <f t="shared" si="101"/>
        <v>Muy alto en grasas</v>
      </c>
      <c r="BU210" s="18" t="str">
        <f t="shared" si="110"/>
        <v>Equilibrio de líquidos ideal</v>
      </c>
      <c r="BV210" s="18" t="str">
        <f t="shared" si="111"/>
        <v>Baja fuente de magnesio</v>
      </c>
      <c r="BW210" s="18" t="str">
        <f t="shared" si="112"/>
        <v>Sin aporte de Omega 3</v>
      </c>
      <c r="BX210" s="18" t="str">
        <f t="shared" si="113"/>
        <v>Contiene grasas trans</v>
      </c>
      <c r="BY210" s="18" t="str">
        <f t="shared" si="114"/>
        <v>Bajo poder antioxidante</v>
      </c>
      <c r="BZ210" s="6" t="str">
        <f t="shared" si="102"/>
        <v>Sin probióticos</v>
      </c>
      <c r="CA210" s="18" t="str">
        <f t="shared" si="115"/>
        <v>Moderadamente inflamatorio</v>
      </c>
      <c r="CB210" s="18" t="str">
        <f>IF(ISNUMBER(SEARCH("miel", D210)), "No irritante (Uso condicionado SII)", IF(OR(J210&gt;0, ISNUMBER(SEARCH("cacao", D210)), ISNUMBER(SEARCH("chocolate puro", D210))), "Altamente irritante", IF(OR(AND(O210&gt;15, BI210&gt;1), ISNUMBER(SEARCH("chocolate", D210))), "Moderadamente irritante", "No irritante")))</f>
        <v>No irritante</v>
      </c>
      <c r="CC210" s="6" t="str">
        <f t="shared" si="103"/>
        <v>Balance de omegas favorable</v>
      </c>
    </row>
    <row r="211" spans="1:81" ht="15" customHeight="1" x14ac:dyDescent="0.3">
      <c r="A211" s="2">
        <f t="shared" si="104"/>
        <v>210</v>
      </c>
      <c r="B211" s="3" t="s">
        <v>323</v>
      </c>
      <c r="C211" s="3" t="s">
        <v>324</v>
      </c>
      <c r="D211" s="3" t="s">
        <v>329</v>
      </c>
      <c r="E211" s="3"/>
      <c r="F211" s="4">
        <v>3</v>
      </c>
      <c r="G211" s="5">
        <v>1</v>
      </c>
      <c r="H211" s="5">
        <v>96.7</v>
      </c>
      <c r="I211" s="5">
        <v>83.7</v>
      </c>
      <c r="J211" s="5">
        <v>0</v>
      </c>
      <c r="K211" s="5">
        <v>5.3</v>
      </c>
      <c r="L211" s="5">
        <v>4.7</v>
      </c>
      <c r="M211" s="5">
        <v>0</v>
      </c>
      <c r="N211" s="5">
        <v>4.7</v>
      </c>
      <c r="O211" s="5">
        <v>0</v>
      </c>
      <c r="P211" s="5">
        <v>0</v>
      </c>
      <c r="Q211" s="5">
        <v>6.3</v>
      </c>
      <c r="R211" s="5">
        <v>3.5</v>
      </c>
      <c r="S211" s="5">
        <v>1.6</v>
      </c>
      <c r="T211" s="5">
        <v>0.25</v>
      </c>
      <c r="U211" s="5">
        <v>11</v>
      </c>
      <c r="V211" s="5">
        <v>51</v>
      </c>
      <c r="W211" s="5">
        <v>50</v>
      </c>
      <c r="X211" s="5">
        <v>5</v>
      </c>
      <c r="Y211" s="5">
        <v>0.18</v>
      </c>
      <c r="Z211" s="5">
        <v>0.11</v>
      </c>
      <c r="AA211" s="5">
        <v>0.1</v>
      </c>
      <c r="AB211" s="5">
        <v>4.8000000000000001E-2</v>
      </c>
      <c r="AC211" s="5">
        <v>0.51</v>
      </c>
      <c r="AD211" s="5">
        <v>1.5</v>
      </c>
      <c r="AE211" s="5">
        <v>0.08</v>
      </c>
      <c r="AF211" s="5">
        <v>5</v>
      </c>
      <c r="AG211" s="5">
        <v>0.51</v>
      </c>
      <c r="AH211" s="5">
        <v>0.35</v>
      </c>
      <c r="AI211" s="5">
        <v>2.5</v>
      </c>
      <c r="AJ211" s="5">
        <v>4.3</v>
      </c>
      <c r="AK211" s="5">
        <v>183</v>
      </c>
      <c r="AL211" s="5">
        <v>115</v>
      </c>
      <c r="AM211" s="5">
        <v>7.0000000000000007E-2</v>
      </c>
      <c r="AN211" s="5">
        <v>5</v>
      </c>
      <c r="AO211" s="5">
        <v>0.43</v>
      </c>
      <c r="AP211" s="5">
        <v>11</v>
      </c>
      <c r="AQ211" s="5">
        <v>30</v>
      </c>
      <c r="AR211" s="5">
        <v>182</v>
      </c>
      <c r="AS211" s="5">
        <v>6.7999999999999996E-3</v>
      </c>
      <c r="AT211" s="5">
        <v>2.5999999999999999E-2</v>
      </c>
      <c r="AU211" s="5">
        <v>0.9</v>
      </c>
      <c r="AV211" s="5">
        <f>IFERROR(VLOOKUP(IFERROR(VLOOKUP(D211,Mapa_Similitud!$A$2:$B$2000,2,FALSE()),D211),Hoja1!$A$2:$K$1000,2,FALSE()),IFERROR(VLOOKUP(IFERROR(VLOOKUP(D211,Mapa_Similitud!$A$2:$B$2000,2,FALSE()),D211),Omega3_Referencia!$A$2:$E$100,3,FALSE()),0))</f>
        <v>0.08</v>
      </c>
      <c r="AW211" s="3" t="str">
        <f>IFERROR(VLOOKUP(IFERROR(VLOOKUP(D211,Mapa_Similitud!$A$2:$B$2000,2,FALSE()),D211),Hoja1!$A$2:$K$1000,3,FALSE()),IFERROR(VLOOKUP(IFERROR(VLOOKUP(D211,Mapa_Similitud!$A$2:$B$2000,2,FALSE()),D211),Omega3_Referencia!$A$2:$E$100,4,FALSE()),"N/A"))</f>
        <v>ALA/EPA</v>
      </c>
      <c r="AX211" s="5">
        <f>IFERROR(VLOOKUP(IFERROR(VLOOKUP(D211,Mapa_Similitud!$A$2:$B$2000,2,FALSE()),D211),Hoja1!$A$2:$K$1000,5,FALSE()),0)</f>
        <v>0.2</v>
      </c>
      <c r="AY211" s="5">
        <f>IFERROR(VLOOKUP(IFERROR(VLOOKUP(D211,Mapa_Similitud!$A$2:$B$2000,2,FALSE()),D211),Hoja1!$A$2:$K$1000,7,FALSE()),0)</f>
        <v>0</v>
      </c>
      <c r="AZ211" s="5">
        <f>IFERROR(VLOOKUP(IFERROR(VLOOKUP(D211,Mapa_Similitud!$A$2:$B$2000,2,FALSE()),D211),Hoja1!$A$2:$K$1000,9,FALSE()),0)</f>
        <v>0</v>
      </c>
      <c r="BA211" s="25">
        <f t="shared" si="87"/>
        <v>5.4808686659772489E-2</v>
      </c>
      <c r="BB211" s="25">
        <f t="shared" si="88"/>
        <v>0</v>
      </c>
      <c r="BC211" s="25">
        <f t="shared" si="89"/>
        <v>1.8924508790072387</v>
      </c>
      <c r="BD211" s="25">
        <f t="shared" si="90"/>
        <v>7.238883143743537E-4</v>
      </c>
      <c r="BE211" s="25">
        <f t="shared" si="91"/>
        <v>0.31023784901758011</v>
      </c>
      <c r="BF211" s="25">
        <f t="shared" si="92"/>
        <v>7.1428571428571425E-2</v>
      </c>
      <c r="BG211" s="25">
        <f t="shared" si="93"/>
        <v>1.5913043478260869</v>
      </c>
      <c r="BH211" s="25">
        <f t="shared" si="94"/>
        <v>0.55555555555555558</v>
      </c>
      <c r="BI211" s="25">
        <f t="shared" si="95"/>
        <v>0.16483516483516483</v>
      </c>
      <c r="BJ211" s="25">
        <f t="shared" si="96"/>
        <v>1</v>
      </c>
      <c r="BK211" s="25">
        <f t="shared" si="97"/>
        <v>0</v>
      </c>
      <c r="BL211" s="25">
        <f t="shared" si="98"/>
        <v>0.58634953464322637</v>
      </c>
      <c r="BM211" s="25">
        <f t="shared" si="99"/>
        <v>0.11375387797311272</v>
      </c>
      <c r="BN211" s="18" t="str">
        <f t="shared" si="105"/>
        <v>Baja fuente de proteína</v>
      </c>
      <c r="BO211" s="18" t="str">
        <f t="shared" si="106"/>
        <v>Baja fuente de fibra</v>
      </c>
      <c r="BP211" s="18" t="str">
        <f t="shared" si="107"/>
        <v>Alta fuente de calcio</v>
      </c>
      <c r="BQ211" s="18" t="str">
        <f t="shared" si="108"/>
        <v>Baja fuente de hierro</v>
      </c>
      <c r="BR211" s="18" t="str">
        <f t="shared" si="109"/>
        <v>Bajo en sodio</v>
      </c>
      <c r="BS211" s="6" t="str">
        <f t="shared" si="100"/>
        <v>Proinflamatorio</v>
      </c>
      <c r="BT211" s="6" t="str">
        <f t="shared" si="101"/>
        <v>Muy alto en grasas</v>
      </c>
      <c r="BU211" s="18" t="str">
        <f t="shared" si="110"/>
        <v>Equilibrio de líquidos ideal</v>
      </c>
      <c r="BV211" s="18" t="str">
        <f t="shared" si="111"/>
        <v>Baja fuente de magnesio</v>
      </c>
      <c r="BW211" s="18" t="str">
        <f t="shared" si="112"/>
        <v>Sin aporte de Omega 3</v>
      </c>
      <c r="BX211" s="18" t="str">
        <f t="shared" si="113"/>
        <v>Contiene grasas trans</v>
      </c>
      <c r="BY211" s="18" t="str">
        <f t="shared" si="114"/>
        <v>Bajo poder antioxidante</v>
      </c>
      <c r="BZ211" s="6" t="str">
        <f t="shared" si="102"/>
        <v>Sin probióticos</v>
      </c>
      <c r="CA211" s="18" t="str">
        <f t="shared" si="115"/>
        <v>Moderadamente inflamatorio</v>
      </c>
      <c r="CB211" s="18" t="str">
        <f>IF(ISNUMBER(SEARCH("miel", D211)), "No irritante (Uso condicionado SII)", IF(OR(J211&gt;0, ISNUMBER(SEARCH("cacao", D211)), ISNUMBER(SEARCH("chocolate puro", D211))), "Altamente irritante", IF(OR(AND(O211&gt;15, BI211&gt;1), ISNUMBER(SEARCH("chocolate", D211))), "Moderadamente irritante", "No irritante")))</f>
        <v>No irritante</v>
      </c>
      <c r="CC211" s="6" t="str">
        <f t="shared" si="103"/>
        <v>Balance de omegas favorable</v>
      </c>
    </row>
    <row r="212" spans="1:81" ht="15" customHeight="1" x14ac:dyDescent="0.3">
      <c r="A212" s="2">
        <f t="shared" si="104"/>
        <v>211</v>
      </c>
      <c r="B212" s="3" t="s">
        <v>323</v>
      </c>
      <c r="C212" s="3" t="s">
        <v>324</v>
      </c>
      <c r="D212" s="3" t="s">
        <v>330</v>
      </c>
      <c r="E212" s="3"/>
      <c r="F212" s="4">
        <v>0.9</v>
      </c>
      <c r="G212" s="5">
        <v>1</v>
      </c>
      <c r="H212" s="5">
        <v>37</v>
      </c>
      <c r="I212" s="5">
        <v>91</v>
      </c>
      <c r="J212" s="5">
        <v>0</v>
      </c>
      <c r="K212" s="5">
        <v>3.9</v>
      </c>
      <c r="L212" s="5">
        <v>4.9000000000000004</v>
      </c>
      <c r="M212" s="5">
        <v>0</v>
      </c>
      <c r="N212" s="5">
        <v>4.9000000000000004</v>
      </c>
      <c r="O212" s="5">
        <v>0</v>
      </c>
      <c r="P212" s="5">
        <v>0</v>
      </c>
      <c r="Q212" s="5">
        <v>0.2</v>
      </c>
      <c r="R212" s="5">
        <v>0.09</v>
      </c>
      <c r="S212" s="5">
        <v>0.06</v>
      </c>
      <c r="T212" s="5">
        <v>0.01</v>
      </c>
      <c r="U212" s="5">
        <v>2.6</v>
      </c>
      <c r="V212" s="5">
        <v>2.2000000000000002</v>
      </c>
      <c r="W212" s="5">
        <v>1</v>
      </c>
      <c r="X212" s="5">
        <v>7</v>
      </c>
      <c r="Y212" s="5">
        <v>0</v>
      </c>
      <c r="Z212" s="5">
        <v>0</v>
      </c>
      <c r="AA212" s="5">
        <v>0.1</v>
      </c>
      <c r="AB212" s="5">
        <v>0.04</v>
      </c>
      <c r="AC212" s="5">
        <v>0.17</v>
      </c>
      <c r="AD212" s="5">
        <v>0.9</v>
      </c>
      <c r="AE212" s="5">
        <v>0.04</v>
      </c>
      <c r="AF212" s="5">
        <v>5.3</v>
      </c>
      <c r="AG212" s="5">
        <v>0.3</v>
      </c>
      <c r="AH212" s="5">
        <v>0.32</v>
      </c>
      <c r="AI212" s="5">
        <v>1.5</v>
      </c>
      <c r="AJ212" s="5">
        <v>1.7</v>
      </c>
      <c r="AK212" s="5">
        <v>121</v>
      </c>
      <c r="AL212" s="5">
        <v>97</v>
      </c>
      <c r="AM212" s="5">
        <v>0.09</v>
      </c>
      <c r="AN212" s="5">
        <v>11.1</v>
      </c>
      <c r="AO212" s="5">
        <v>0.54</v>
      </c>
      <c r="AP212" s="5">
        <v>28.6</v>
      </c>
      <c r="AQ212" s="5">
        <v>53</v>
      </c>
      <c r="AR212" s="5">
        <v>150</v>
      </c>
      <c r="AS212" s="5">
        <v>0</v>
      </c>
      <c r="AT212" s="5">
        <v>2E-3</v>
      </c>
      <c r="AU212" s="5">
        <v>1.6</v>
      </c>
      <c r="AV212" s="5">
        <f>IFERROR(VLOOKUP(IFERROR(VLOOKUP(D212,Mapa_Similitud!$A$2:$B$2000,2,FALSE()),D212),Hoja1!$A$2:$K$1000,2,FALSE()),IFERROR(VLOOKUP(IFERROR(VLOOKUP(D212,Mapa_Similitud!$A$2:$B$2000,2,FALSE()),D212),Omega3_Referencia!$A$2:$E$100,3,FALSE()),0))</f>
        <v>0.01</v>
      </c>
      <c r="AW212" s="3" t="str">
        <f>IFERROR(VLOOKUP(IFERROR(VLOOKUP(D212,Mapa_Similitud!$A$2:$B$2000,2,FALSE()),D212),Hoja1!$A$2:$K$1000,3,FALSE()),IFERROR(VLOOKUP(IFERROR(VLOOKUP(D212,Mapa_Similitud!$A$2:$B$2000,2,FALSE()),D212),Omega3_Referencia!$A$2:$E$100,4,FALSE()),"N/A"))</f>
        <v>ALA/EPA</v>
      </c>
      <c r="AX212" s="5">
        <f>IFERROR(VLOOKUP(IFERROR(VLOOKUP(D212,Mapa_Similitud!$A$2:$B$2000,2,FALSE()),D212),Hoja1!$A$2:$K$1000,5,FALSE()),0)</f>
        <v>0</v>
      </c>
      <c r="AY212" s="5">
        <f>IFERROR(VLOOKUP(IFERROR(VLOOKUP(D212,Mapa_Similitud!$A$2:$B$2000,2,FALSE()),D212),Hoja1!$A$2:$K$1000,7,FALSE()),0)</f>
        <v>0</v>
      </c>
      <c r="AZ212" s="5">
        <f>IFERROR(VLOOKUP(IFERROR(VLOOKUP(D212,Mapa_Similitud!$A$2:$B$2000,2,FALSE()),D212),Hoja1!$A$2:$K$1000,9,FALSE()),0)</f>
        <v>0</v>
      </c>
      <c r="BA212" s="25">
        <f t="shared" si="87"/>
        <v>0.1054054054054054</v>
      </c>
      <c r="BB212" s="25">
        <f t="shared" si="88"/>
        <v>0</v>
      </c>
      <c r="BC212" s="25">
        <f t="shared" si="89"/>
        <v>3.2702702702702702</v>
      </c>
      <c r="BD212" s="25">
        <f t="shared" si="90"/>
        <v>2.4324324324324323E-3</v>
      </c>
      <c r="BE212" s="25">
        <f t="shared" si="91"/>
        <v>1.4324324324324325</v>
      </c>
      <c r="BF212" s="25">
        <f t="shared" si="92"/>
        <v>0.11111111111111112</v>
      </c>
      <c r="BG212" s="25">
        <f t="shared" si="93"/>
        <v>1.2474226804123711</v>
      </c>
      <c r="BH212" s="25">
        <f t="shared" si="94"/>
        <v>0.44999999999999996</v>
      </c>
      <c r="BI212" s="25">
        <f t="shared" si="95"/>
        <v>0.35333333333333333</v>
      </c>
      <c r="BJ212" s="25">
        <f t="shared" si="96"/>
        <v>1</v>
      </c>
      <c r="BK212" s="25">
        <f t="shared" si="97"/>
        <v>0</v>
      </c>
      <c r="BL212" s="25">
        <f t="shared" si="98"/>
        <v>4.8648648648648651E-2</v>
      </c>
      <c r="BM212" s="25">
        <f t="shared" si="99"/>
        <v>0.77297297297297296</v>
      </c>
      <c r="BN212" s="18" t="str">
        <f t="shared" si="105"/>
        <v>Media fuente de proteína</v>
      </c>
      <c r="BO212" s="18" t="str">
        <f t="shared" si="106"/>
        <v>Baja fuente de fibra</v>
      </c>
      <c r="BP212" s="18" t="str">
        <f t="shared" si="107"/>
        <v>Alta fuente de calcio</v>
      </c>
      <c r="BQ212" s="18" t="str">
        <f t="shared" si="108"/>
        <v>Baja fuente de hierro</v>
      </c>
      <c r="BR212" s="18" t="str">
        <f t="shared" si="109"/>
        <v>Alto en sodio</v>
      </c>
      <c r="BS212" s="6" t="str">
        <f t="shared" si="100"/>
        <v>Proinflamatorio</v>
      </c>
      <c r="BT212" s="6" t="str">
        <f t="shared" si="101"/>
        <v>Bajo en grasas</v>
      </c>
      <c r="BU212" s="18" t="str">
        <f t="shared" si="110"/>
        <v>Equilibrio de líquidos ideal</v>
      </c>
      <c r="BV212" s="18" t="str">
        <f t="shared" si="111"/>
        <v>Alta fuente de magnesio</v>
      </c>
      <c r="BW212" s="18" t="str">
        <f t="shared" si="112"/>
        <v>Sin aporte de Omega 3</v>
      </c>
      <c r="BX212" s="18" t="str">
        <f t="shared" si="113"/>
        <v>Libre de grasas trans</v>
      </c>
      <c r="BY212" s="18" t="str">
        <f t="shared" si="114"/>
        <v>Bajo poder antioxidante</v>
      </c>
      <c r="BZ212" s="6" t="str">
        <f t="shared" si="102"/>
        <v>Sin probióticos</v>
      </c>
      <c r="CA212" s="18" t="str">
        <f t="shared" si="115"/>
        <v>Poco inflamatorio</v>
      </c>
      <c r="CB212" s="18" t="str">
        <f>IF(ISNUMBER(SEARCH("miel", D212)), "No irritante (Uso condicionado SII)", IF(OR(J212&gt;0, ISNUMBER(SEARCH("cacao", D212)), ISNUMBER(SEARCH("chocolate puro", D212))), "Altamente irritante", IF(OR(AND(O212&gt;15, BI212&gt;1), ISNUMBER(SEARCH("chocolate", D212))), "Moderadamente irritante", "No irritante")))</f>
        <v>No irritante</v>
      </c>
      <c r="CC212" s="6" t="str">
        <f t="shared" si="103"/>
        <v>Balance de omegas favorable</v>
      </c>
    </row>
    <row r="213" spans="1:81" ht="15" customHeight="1" x14ac:dyDescent="0.3">
      <c r="A213" s="2">
        <f t="shared" si="104"/>
        <v>212</v>
      </c>
      <c r="B213" s="3" t="s">
        <v>323</v>
      </c>
      <c r="C213" s="3" t="s">
        <v>324</v>
      </c>
      <c r="D213" s="3" t="s">
        <v>331</v>
      </c>
      <c r="E213" s="3"/>
      <c r="F213" s="4">
        <v>0.85</v>
      </c>
      <c r="G213" s="5">
        <v>1</v>
      </c>
      <c r="H213" s="5">
        <v>65.400000000000006</v>
      </c>
      <c r="I213" s="5">
        <v>88.4</v>
      </c>
      <c r="J213" s="5">
        <v>0</v>
      </c>
      <c r="K213" s="5">
        <v>3.1</v>
      </c>
      <c r="L213" s="5">
        <v>4.7</v>
      </c>
      <c r="M213" s="5">
        <v>0</v>
      </c>
      <c r="N213" s="5">
        <v>4.7</v>
      </c>
      <c r="O213" s="5">
        <v>0</v>
      </c>
      <c r="P213" s="5">
        <v>0</v>
      </c>
      <c r="Q213" s="5">
        <v>3.8</v>
      </c>
      <c r="R213" s="5">
        <v>2.2999999999999998</v>
      </c>
      <c r="S213" s="5">
        <v>1.1000000000000001</v>
      </c>
      <c r="T213" s="5">
        <v>0.13</v>
      </c>
      <c r="U213" s="5">
        <v>14</v>
      </c>
      <c r="V213" s="5">
        <v>46</v>
      </c>
      <c r="W213" s="5">
        <v>41.3</v>
      </c>
      <c r="X213" s="5">
        <v>28</v>
      </c>
      <c r="Y213" s="5">
        <v>0.03</v>
      </c>
      <c r="Z213" s="5">
        <v>0.1</v>
      </c>
      <c r="AA213" s="5">
        <v>0.34</v>
      </c>
      <c r="AB213" s="5">
        <v>0.04</v>
      </c>
      <c r="AC213" s="5">
        <v>0.19</v>
      </c>
      <c r="AD213" s="5">
        <v>0.73</v>
      </c>
      <c r="AE213" s="5">
        <v>0.04</v>
      </c>
      <c r="AF213" s="5">
        <v>5.5</v>
      </c>
      <c r="AG213" s="5">
        <v>0.3</v>
      </c>
      <c r="AH213" s="5">
        <v>0.35</v>
      </c>
      <c r="AI213" s="5">
        <v>3.5</v>
      </c>
      <c r="AJ213" s="5">
        <v>1.4</v>
      </c>
      <c r="AK213" s="5">
        <v>124</v>
      </c>
      <c r="AL213" s="5">
        <v>92</v>
      </c>
      <c r="AM213" s="5">
        <v>0.09</v>
      </c>
      <c r="AN213" s="5">
        <v>9</v>
      </c>
      <c r="AO213" s="5">
        <v>0.38</v>
      </c>
      <c r="AP213" s="5">
        <v>11.6</v>
      </c>
      <c r="AQ213" s="5">
        <v>48</v>
      </c>
      <c r="AR213" s="5">
        <v>157</v>
      </c>
      <c r="AS213" s="5">
        <v>3.0000000000000001E-3</v>
      </c>
      <c r="AT213" s="5">
        <v>0.01</v>
      </c>
      <c r="AU213" s="5">
        <v>1.4</v>
      </c>
      <c r="AV213" s="5">
        <f>IFERROR(VLOOKUP(IFERROR(VLOOKUP(D213,Mapa_Similitud!$A$2:$B$2000,2,FALSE()),D213),Hoja1!$A$2:$K$1000,2,FALSE()),IFERROR(VLOOKUP(IFERROR(VLOOKUP(D213,Mapa_Similitud!$A$2:$B$2000,2,FALSE()),D213),Omega3_Referencia!$A$2:$E$100,3,FALSE()),0))</f>
        <v>0.04</v>
      </c>
      <c r="AW213" s="3" t="str">
        <f>IFERROR(VLOOKUP(IFERROR(VLOOKUP(D213,Mapa_Similitud!$A$2:$B$2000,2,FALSE()),D213),Hoja1!$A$2:$K$1000,3,FALSE()),IFERROR(VLOOKUP(IFERROR(VLOOKUP(D213,Mapa_Similitud!$A$2:$B$2000,2,FALSE()),D213),Omega3_Referencia!$A$2:$E$100,4,FALSE()),"N/A"))</f>
        <v>ALA/EPA</v>
      </c>
      <c r="AX213" s="5">
        <f>IFERROR(VLOOKUP(IFERROR(VLOOKUP(D213,Mapa_Similitud!$A$2:$B$2000,2,FALSE()),D213),Hoja1!$A$2:$K$1000,5,FALSE()),0)</f>
        <v>0.1</v>
      </c>
      <c r="AY213" s="5">
        <f>IFERROR(VLOOKUP(IFERROR(VLOOKUP(D213,Mapa_Similitud!$A$2:$B$2000,2,FALSE()),D213),Hoja1!$A$2:$K$1000,7,FALSE()),0)</f>
        <v>0</v>
      </c>
      <c r="AZ213" s="5">
        <f>IFERROR(VLOOKUP(IFERROR(VLOOKUP(D213,Mapa_Similitud!$A$2:$B$2000,2,FALSE()),D213),Hoja1!$A$2:$K$1000,9,FALSE()),0)</f>
        <v>0</v>
      </c>
      <c r="BA213" s="25">
        <f t="shared" si="87"/>
        <v>4.7400611620795105E-2</v>
      </c>
      <c r="BB213" s="25">
        <f t="shared" si="88"/>
        <v>0</v>
      </c>
      <c r="BC213" s="25">
        <f t="shared" si="89"/>
        <v>1.8960244648318041</v>
      </c>
      <c r="BD213" s="25">
        <f t="shared" si="90"/>
        <v>1.3761467889908255E-3</v>
      </c>
      <c r="BE213" s="25">
        <f t="shared" si="91"/>
        <v>0.7339449541284403</v>
      </c>
      <c r="BF213" s="25">
        <f t="shared" si="92"/>
        <v>5.6521739130434789E-2</v>
      </c>
      <c r="BG213" s="25">
        <f t="shared" si="93"/>
        <v>1.3478260869565217</v>
      </c>
      <c r="BH213" s="25">
        <f t="shared" si="94"/>
        <v>0.60526315789473684</v>
      </c>
      <c r="BI213" s="25">
        <f t="shared" si="95"/>
        <v>0.30573248407643311</v>
      </c>
      <c r="BJ213" s="25">
        <f t="shared" si="96"/>
        <v>1</v>
      </c>
      <c r="BK213" s="25">
        <f t="shared" si="97"/>
        <v>0</v>
      </c>
      <c r="BL213" s="25">
        <f t="shared" si="98"/>
        <v>0.52293577981651362</v>
      </c>
      <c r="BM213" s="25">
        <f t="shared" si="99"/>
        <v>0.17737003058103973</v>
      </c>
      <c r="BN213" s="18" t="str">
        <f t="shared" si="105"/>
        <v>Baja fuente de proteína</v>
      </c>
      <c r="BO213" s="18" t="str">
        <f t="shared" si="106"/>
        <v>Baja fuente de fibra</v>
      </c>
      <c r="BP213" s="18" t="str">
        <f t="shared" si="107"/>
        <v>Alta fuente de calcio</v>
      </c>
      <c r="BQ213" s="18" t="str">
        <f t="shared" si="108"/>
        <v>Baja fuente de hierro</v>
      </c>
      <c r="BR213" s="18" t="str">
        <f t="shared" si="109"/>
        <v>Moderado en sodio</v>
      </c>
      <c r="BS213" s="6" t="str">
        <f t="shared" si="100"/>
        <v>Proinflamatorio</v>
      </c>
      <c r="BT213" s="6" t="str">
        <f t="shared" si="101"/>
        <v>Muy alto en grasas</v>
      </c>
      <c r="BU213" s="18" t="str">
        <f t="shared" si="110"/>
        <v>Equilibrio de líquidos ideal</v>
      </c>
      <c r="BV213" s="18" t="str">
        <f t="shared" si="111"/>
        <v>Baja fuente de magnesio</v>
      </c>
      <c r="BW213" s="18" t="str">
        <f t="shared" si="112"/>
        <v>Sin aporte de Omega 3</v>
      </c>
      <c r="BX213" s="18" t="str">
        <f t="shared" si="113"/>
        <v>Contiene grasas trans</v>
      </c>
      <c r="BY213" s="18" t="str">
        <f t="shared" si="114"/>
        <v>Bajo poder antioxidante</v>
      </c>
      <c r="BZ213" s="6" t="str">
        <f t="shared" si="102"/>
        <v>Sin probióticos</v>
      </c>
      <c r="CA213" s="18" t="str">
        <f t="shared" si="115"/>
        <v>Moderadamente inflamatorio</v>
      </c>
      <c r="CB213" s="18" t="str">
        <f>IF(ISNUMBER(SEARCH("miel", D213)), "No irritante (Uso condicionado SII)", IF(OR(J213&gt;0, ISNUMBER(SEARCH("cacao", D213)), ISNUMBER(SEARCH("chocolate puro", D213))), "Altamente irritante", IF(OR(AND(O213&gt;15, BI213&gt;1), ISNUMBER(SEARCH("chocolate", D213))), "Moderadamente irritante", "No irritante")))</f>
        <v>No irritante</v>
      </c>
      <c r="CC213" s="6" t="str">
        <f t="shared" si="103"/>
        <v>Balance de omegas favorable</v>
      </c>
    </row>
    <row r="214" spans="1:81" ht="15" customHeight="1" x14ac:dyDescent="0.3">
      <c r="A214" s="2">
        <f t="shared" si="104"/>
        <v>213</v>
      </c>
      <c r="B214" s="3" t="s">
        <v>323</v>
      </c>
      <c r="C214" s="3" t="s">
        <v>324</v>
      </c>
      <c r="D214" s="3" t="s">
        <v>332</v>
      </c>
      <c r="E214" s="3"/>
      <c r="F214" s="4">
        <v>0.9</v>
      </c>
      <c r="G214" s="5">
        <v>1</v>
      </c>
      <c r="H214" s="5">
        <v>47.6</v>
      </c>
      <c r="I214" s="5">
        <v>90.1</v>
      </c>
      <c r="J214" s="5">
        <v>0</v>
      </c>
      <c r="K214" s="5">
        <v>3.5</v>
      </c>
      <c r="L214" s="5">
        <v>4.8</v>
      </c>
      <c r="M214" s="5">
        <v>0</v>
      </c>
      <c r="N214" s="5">
        <v>4.8</v>
      </c>
      <c r="O214" s="5">
        <v>0</v>
      </c>
      <c r="P214" s="5">
        <v>0</v>
      </c>
      <c r="Q214" s="5">
        <v>1.6</v>
      </c>
      <c r="R214" s="5">
        <v>1.1000000000000001</v>
      </c>
      <c r="S214" s="5">
        <v>0.45</v>
      </c>
      <c r="T214" s="5">
        <v>0.04</v>
      </c>
      <c r="U214" s="5">
        <v>6.3</v>
      </c>
      <c r="V214" s="5">
        <v>18.899999999999999</v>
      </c>
      <c r="W214" s="5">
        <v>17.600000000000001</v>
      </c>
      <c r="X214" s="5">
        <v>7.8</v>
      </c>
      <c r="Y214" s="5">
        <v>0.02</v>
      </c>
      <c r="Z214" s="5">
        <v>0.04</v>
      </c>
      <c r="AA214" s="5">
        <v>0.2</v>
      </c>
      <c r="AB214" s="5">
        <v>0.04</v>
      </c>
      <c r="AC214" s="5">
        <v>0.19</v>
      </c>
      <c r="AD214" s="5">
        <v>0.71</v>
      </c>
      <c r="AE214" s="5">
        <v>0.06</v>
      </c>
      <c r="AF214" s="5">
        <v>2.7</v>
      </c>
      <c r="AG214" s="5">
        <v>0.3</v>
      </c>
      <c r="AH214" s="5">
        <v>0.35</v>
      </c>
      <c r="AI214" s="5">
        <v>3.5</v>
      </c>
      <c r="AJ214" s="5">
        <v>0.52</v>
      </c>
      <c r="AK214" s="5">
        <v>125</v>
      </c>
      <c r="AL214" s="5">
        <v>91</v>
      </c>
      <c r="AM214" s="5">
        <v>0.09</v>
      </c>
      <c r="AN214" s="5">
        <v>8.6</v>
      </c>
      <c r="AO214" s="5">
        <v>0.52</v>
      </c>
      <c r="AP214" s="5">
        <v>11.9</v>
      </c>
      <c r="AQ214" s="5">
        <v>47</v>
      </c>
      <c r="AR214" s="5">
        <v>155</v>
      </c>
      <c r="AS214" s="5">
        <v>3.0000000000000001E-3</v>
      </c>
      <c r="AT214" s="5">
        <v>0.01</v>
      </c>
      <c r="AU214" s="5">
        <v>1.5</v>
      </c>
      <c r="AV214" s="5">
        <f>IFERROR(VLOOKUP(IFERROR(VLOOKUP(D214,Mapa_Similitud!$A$2:$B$2000,2,FALSE()),D214),Hoja1!$A$2:$K$1000,2,FALSE()),IFERROR(VLOOKUP(IFERROR(VLOOKUP(D214,Mapa_Similitud!$A$2:$B$2000,2,FALSE()),D214),Omega3_Referencia!$A$2:$E$100,3,FALSE()),0))</f>
        <v>0.02</v>
      </c>
      <c r="AW214" s="3" t="str">
        <f>IFERROR(VLOOKUP(IFERROR(VLOOKUP(D214,Mapa_Similitud!$A$2:$B$2000,2,FALSE()),D214),Hoja1!$A$2:$K$1000,3,FALSE()),IFERROR(VLOOKUP(IFERROR(VLOOKUP(D214,Mapa_Similitud!$A$2:$B$2000,2,FALSE()),D214),Omega3_Referencia!$A$2:$E$100,4,FALSE()),"N/A"))</f>
        <v>ALA/EPA</v>
      </c>
      <c r="AX214" s="5">
        <f>IFERROR(VLOOKUP(IFERROR(VLOOKUP(D214,Mapa_Similitud!$A$2:$B$2000,2,FALSE()),D214),Hoja1!$A$2:$K$1000,5,FALSE()),0)</f>
        <v>0</v>
      </c>
      <c r="AY214" s="5">
        <f>IFERROR(VLOOKUP(IFERROR(VLOOKUP(D214,Mapa_Similitud!$A$2:$B$2000,2,FALSE()),D214),Hoja1!$A$2:$K$1000,7,FALSE()),0)</f>
        <v>0</v>
      </c>
      <c r="AZ214" s="5">
        <f>IFERROR(VLOOKUP(IFERROR(VLOOKUP(D214,Mapa_Similitud!$A$2:$B$2000,2,FALSE()),D214),Hoja1!$A$2:$K$1000,9,FALSE()),0)</f>
        <v>0</v>
      </c>
      <c r="BA214" s="25">
        <f t="shared" si="87"/>
        <v>7.3529411764705885E-2</v>
      </c>
      <c r="BB214" s="25">
        <f t="shared" si="88"/>
        <v>0</v>
      </c>
      <c r="BC214" s="25">
        <f t="shared" si="89"/>
        <v>2.6260504201680672</v>
      </c>
      <c r="BD214" s="25">
        <f t="shared" si="90"/>
        <v>1.8907563025210082E-3</v>
      </c>
      <c r="BE214" s="25">
        <f t="shared" si="91"/>
        <v>0.98739495798319321</v>
      </c>
      <c r="BF214" s="25">
        <f t="shared" si="92"/>
        <v>3.6363636363636362E-2</v>
      </c>
      <c r="BG214" s="25">
        <f t="shared" si="93"/>
        <v>1.3736263736263736</v>
      </c>
      <c r="BH214" s="25">
        <f t="shared" si="94"/>
        <v>0.6875</v>
      </c>
      <c r="BI214" s="25">
        <f t="shared" si="95"/>
        <v>0.3032258064516129</v>
      </c>
      <c r="BJ214" s="25">
        <f t="shared" si="96"/>
        <v>1</v>
      </c>
      <c r="BK214" s="25">
        <f t="shared" si="97"/>
        <v>0</v>
      </c>
      <c r="BL214" s="25">
        <f t="shared" si="98"/>
        <v>0.30252100840336132</v>
      </c>
      <c r="BM214" s="25">
        <f t="shared" si="99"/>
        <v>0.25</v>
      </c>
      <c r="BN214" s="18" t="str">
        <f t="shared" si="105"/>
        <v>Baja fuente de proteína</v>
      </c>
      <c r="BO214" s="18" t="str">
        <f t="shared" si="106"/>
        <v>Baja fuente de fibra</v>
      </c>
      <c r="BP214" s="18" t="str">
        <f t="shared" si="107"/>
        <v>Alta fuente de calcio</v>
      </c>
      <c r="BQ214" s="18" t="str">
        <f t="shared" si="108"/>
        <v>Baja fuente de hierro</v>
      </c>
      <c r="BR214" s="18" t="str">
        <f t="shared" si="109"/>
        <v>Moderado en sodio</v>
      </c>
      <c r="BS214" s="6" t="str">
        <f t="shared" si="100"/>
        <v>Proinflamatorio</v>
      </c>
      <c r="BT214" s="6" t="str">
        <f t="shared" si="101"/>
        <v>Alto en grasas</v>
      </c>
      <c r="BU214" s="18" t="str">
        <f t="shared" si="110"/>
        <v>Equilibrio de líquidos ideal</v>
      </c>
      <c r="BV214" s="18" t="str">
        <f t="shared" si="111"/>
        <v>Media fuente de magnesio</v>
      </c>
      <c r="BW214" s="18" t="str">
        <f t="shared" si="112"/>
        <v>Sin aporte de Omega 3</v>
      </c>
      <c r="BX214" s="18" t="str">
        <f t="shared" si="113"/>
        <v>Libre de grasas trans</v>
      </c>
      <c r="BY214" s="18" t="str">
        <f t="shared" si="114"/>
        <v>Bajo poder antioxidante</v>
      </c>
      <c r="BZ214" s="6" t="str">
        <f t="shared" si="102"/>
        <v>Sin probióticos</v>
      </c>
      <c r="CA214" s="18" t="str">
        <f t="shared" si="115"/>
        <v>Poco inflamatorio</v>
      </c>
      <c r="CB214" s="18" t="str">
        <f>IF(ISNUMBER(SEARCH("miel", D214)), "No irritante (Uso condicionado SII)", IF(OR(J214&gt;0, ISNUMBER(SEARCH("cacao", D214)), ISNUMBER(SEARCH("chocolate puro", D214))), "Altamente irritante", IF(OR(AND(O214&gt;15, BI214&gt;1), ISNUMBER(SEARCH("chocolate", D214))), "Moderadamente irritante", "No irritante")))</f>
        <v>No irritante</v>
      </c>
      <c r="CC214" s="6" t="str">
        <f t="shared" si="103"/>
        <v>Balance de omegas favorable</v>
      </c>
    </row>
    <row r="215" spans="1:81" ht="15" customHeight="1" x14ac:dyDescent="0.3">
      <c r="A215" s="2">
        <f t="shared" si="104"/>
        <v>214</v>
      </c>
      <c r="B215" s="3" t="s">
        <v>323</v>
      </c>
      <c r="C215" s="3" t="s">
        <v>324</v>
      </c>
      <c r="D215" s="3" t="s">
        <v>333</v>
      </c>
      <c r="E215" s="3"/>
      <c r="F215" s="4">
        <v>1.1000000000000001</v>
      </c>
      <c r="G215" s="5">
        <v>1</v>
      </c>
      <c r="H215" s="5">
        <v>36.6</v>
      </c>
      <c r="I215" s="5">
        <v>91</v>
      </c>
      <c r="J215" s="5">
        <v>0</v>
      </c>
      <c r="K215" s="5">
        <v>3.9</v>
      </c>
      <c r="L215" s="5">
        <v>4.8</v>
      </c>
      <c r="M215" s="5">
        <v>0</v>
      </c>
      <c r="N215" s="5">
        <v>4.8</v>
      </c>
      <c r="O215" s="5">
        <v>0</v>
      </c>
      <c r="P215" s="5">
        <v>0</v>
      </c>
      <c r="Q215" s="5">
        <v>0.2</v>
      </c>
      <c r="R215" s="5">
        <v>0.09</v>
      </c>
      <c r="S215" s="5">
        <v>0.06</v>
      </c>
      <c r="T215" s="5">
        <v>0.01</v>
      </c>
      <c r="U215" s="5">
        <v>2.6</v>
      </c>
      <c r="V215" s="5">
        <v>2.2000000000000002</v>
      </c>
      <c r="W215" s="5">
        <v>1</v>
      </c>
      <c r="X215" s="5">
        <v>7</v>
      </c>
      <c r="Y215" s="5">
        <v>0</v>
      </c>
      <c r="Z215" s="5">
        <v>0</v>
      </c>
      <c r="AA215" s="5">
        <v>0.1</v>
      </c>
      <c r="AB215" s="5">
        <v>0.04</v>
      </c>
      <c r="AC215" s="5">
        <v>0.17</v>
      </c>
      <c r="AD215" s="5">
        <v>0.9</v>
      </c>
      <c r="AE215" s="5">
        <v>0.04</v>
      </c>
      <c r="AF215" s="5">
        <v>5.3</v>
      </c>
      <c r="AG215" s="5">
        <v>0.3</v>
      </c>
      <c r="AH215" s="5">
        <v>0.32</v>
      </c>
      <c r="AI215" s="5">
        <v>1.5</v>
      </c>
      <c r="AJ215" s="5">
        <v>1.7</v>
      </c>
      <c r="AK215" s="5">
        <v>121</v>
      </c>
      <c r="AL215" s="5">
        <v>97</v>
      </c>
      <c r="AM215" s="5">
        <v>0.09</v>
      </c>
      <c r="AN215" s="5">
        <v>11.1</v>
      </c>
      <c r="AO215" s="5">
        <v>0.54</v>
      </c>
      <c r="AP215" s="5">
        <v>28.6</v>
      </c>
      <c r="AQ215" s="5">
        <v>53</v>
      </c>
      <c r="AR215" s="5">
        <v>150</v>
      </c>
      <c r="AS215" s="5">
        <v>0</v>
      </c>
      <c r="AT215" s="5">
        <v>2E-3</v>
      </c>
      <c r="AU215" s="5">
        <v>1.6</v>
      </c>
      <c r="AV215" s="5">
        <f>IFERROR(VLOOKUP(IFERROR(VLOOKUP(D215,Mapa_Similitud!$A$2:$B$2000,2,FALSE()),D215),Hoja1!$A$2:$K$1000,2,FALSE()),IFERROR(VLOOKUP(IFERROR(VLOOKUP(D215,Mapa_Similitud!$A$2:$B$2000,2,FALSE()),D215),Omega3_Referencia!$A$2:$E$100,3,FALSE()),0))</f>
        <v>0.01</v>
      </c>
      <c r="AW215" s="3" t="str">
        <f>IFERROR(VLOOKUP(IFERROR(VLOOKUP(D215,Mapa_Similitud!$A$2:$B$2000,2,FALSE()),D215),Hoja1!$A$2:$K$1000,3,FALSE()),IFERROR(VLOOKUP(IFERROR(VLOOKUP(D215,Mapa_Similitud!$A$2:$B$2000,2,FALSE()),D215),Omega3_Referencia!$A$2:$E$100,4,FALSE()),"N/A"))</f>
        <v>ALA/EPA</v>
      </c>
      <c r="AX215" s="5">
        <f>IFERROR(VLOOKUP(IFERROR(VLOOKUP(D215,Mapa_Similitud!$A$2:$B$2000,2,FALSE()),D215),Hoja1!$A$2:$K$1000,5,FALSE()),0)</f>
        <v>0</v>
      </c>
      <c r="AY215" s="5">
        <f>IFERROR(VLOOKUP(IFERROR(VLOOKUP(D215,Mapa_Similitud!$A$2:$B$2000,2,FALSE()),D215),Hoja1!$A$2:$K$1000,7,FALSE()),0)</f>
        <v>0</v>
      </c>
      <c r="AZ215" s="5">
        <f>IFERROR(VLOOKUP(IFERROR(VLOOKUP(D215,Mapa_Similitud!$A$2:$B$2000,2,FALSE()),D215),Hoja1!$A$2:$K$1000,9,FALSE()),0)</f>
        <v>0</v>
      </c>
      <c r="BA215" s="25">
        <f t="shared" si="87"/>
        <v>0.10655737704918032</v>
      </c>
      <c r="BB215" s="25">
        <f t="shared" si="88"/>
        <v>0</v>
      </c>
      <c r="BC215" s="25">
        <f t="shared" si="89"/>
        <v>3.3060109289617485</v>
      </c>
      <c r="BD215" s="25">
        <f t="shared" si="90"/>
        <v>2.4590163934426227E-3</v>
      </c>
      <c r="BE215" s="25">
        <f t="shared" si="91"/>
        <v>1.4480874316939891</v>
      </c>
      <c r="BF215" s="25">
        <f t="shared" si="92"/>
        <v>0.11111111111111112</v>
      </c>
      <c r="BG215" s="25">
        <f t="shared" si="93"/>
        <v>1.2474226804123711</v>
      </c>
      <c r="BH215" s="25">
        <f t="shared" si="94"/>
        <v>0.44999999999999996</v>
      </c>
      <c r="BI215" s="25">
        <f t="shared" si="95"/>
        <v>0.35333333333333333</v>
      </c>
      <c r="BJ215" s="25">
        <f t="shared" si="96"/>
        <v>1</v>
      </c>
      <c r="BK215" s="25">
        <f t="shared" si="97"/>
        <v>0</v>
      </c>
      <c r="BL215" s="25">
        <f t="shared" si="98"/>
        <v>4.9180327868852458E-2</v>
      </c>
      <c r="BM215" s="25">
        <f t="shared" si="99"/>
        <v>0.78142076502732238</v>
      </c>
      <c r="BN215" s="18" t="str">
        <f t="shared" si="105"/>
        <v>Media fuente de proteína</v>
      </c>
      <c r="BO215" s="18" t="str">
        <f t="shared" si="106"/>
        <v>Baja fuente de fibra</v>
      </c>
      <c r="BP215" s="18" t="str">
        <f t="shared" si="107"/>
        <v>Alta fuente de calcio</v>
      </c>
      <c r="BQ215" s="18" t="str">
        <f t="shared" si="108"/>
        <v>Baja fuente de hierro</v>
      </c>
      <c r="BR215" s="18" t="str">
        <f t="shared" si="109"/>
        <v>Alto en sodio</v>
      </c>
      <c r="BS215" s="6" t="str">
        <f t="shared" si="100"/>
        <v>Proinflamatorio</v>
      </c>
      <c r="BT215" s="6" t="str">
        <f t="shared" si="101"/>
        <v>Bajo en grasas</v>
      </c>
      <c r="BU215" s="18" t="str">
        <f t="shared" si="110"/>
        <v>Equilibrio de líquidos ideal</v>
      </c>
      <c r="BV215" s="18" t="str">
        <f t="shared" si="111"/>
        <v>Alta fuente de magnesio</v>
      </c>
      <c r="BW215" s="18" t="str">
        <f t="shared" si="112"/>
        <v>Sin aporte de Omega 3</v>
      </c>
      <c r="BX215" s="18" t="str">
        <f t="shared" si="113"/>
        <v>Libre de grasas trans</v>
      </c>
      <c r="BY215" s="18" t="str">
        <f t="shared" si="114"/>
        <v>Bajo poder antioxidante</v>
      </c>
      <c r="BZ215" s="6" t="str">
        <f t="shared" si="102"/>
        <v>Sin probióticos</v>
      </c>
      <c r="CA215" s="18" t="str">
        <f t="shared" si="115"/>
        <v>Poco inflamatorio</v>
      </c>
      <c r="CB215" s="18" t="str">
        <f>IF(ISNUMBER(SEARCH("miel", D215)), "No irritante (Uso condicionado SII)", IF(OR(J215&gt;0, ISNUMBER(SEARCH("cacao", D215)), ISNUMBER(SEARCH("chocolate puro", D215))), "Altamente irritante", IF(OR(AND(O215&gt;15, BI215&gt;1), ISNUMBER(SEARCH("chocolate", D215))), "Moderadamente irritante", "No irritante")))</f>
        <v>No irritante</v>
      </c>
      <c r="CC215" s="6" t="str">
        <f t="shared" si="103"/>
        <v>Balance de omegas favorable</v>
      </c>
    </row>
    <row r="216" spans="1:81" ht="15" customHeight="1" x14ac:dyDescent="0.3">
      <c r="A216" s="2">
        <f t="shared" si="104"/>
        <v>215</v>
      </c>
      <c r="B216" s="3" t="s">
        <v>323</v>
      </c>
      <c r="C216" s="3" t="s">
        <v>324</v>
      </c>
      <c r="D216" s="3" t="s">
        <v>334</v>
      </c>
      <c r="E216" s="3"/>
      <c r="F216" s="4">
        <v>4.5</v>
      </c>
      <c r="G216" s="5">
        <v>1</v>
      </c>
      <c r="H216" s="5">
        <v>352</v>
      </c>
      <c r="I216" s="5">
        <v>4.9000000000000004</v>
      </c>
      <c r="J216" s="5">
        <v>0</v>
      </c>
      <c r="K216" s="5">
        <v>36.1</v>
      </c>
      <c r="L216" s="5">
        <v>50.4</v>
      </c>
      <c r="M216" s="5">
        <v>0</v>
      </c>
      <c r="N216" s="5">
        <v>50.4</v>
      </c>
      <c r="O216" s="5">
        <v>0</v>
      </c>
      <c r="P216" s="5">
        <v>0</v>
      </c>
      <c r="Q216" s="5">
        <v>0.64</v>
      </c>
      <c r="R216" s="5">
        <v>0.4</v>
      </c>
      <c r="S216" s="5">
        <v>0.2</v>
      </c>
      <c r="T216" s="5">
        <v>2.9000000000000001E-2</v>
      </c>
      <c r="U216" s="5">
        <v>12</v>
      </c>
      <c r="V216" s="5">
        <v>122</v>
      </c>
      <c r="W216" s="5">
        <v>110</v>
      </c>
      <c r="X216" s="5">
        <v>70</v>
      </c>
      <c r="Y216" s="5">
        <v>5.4</v>
      </c>
      <c r="Z216" s="5">
        <v>0.19</v>
      </c>
      <c r="AA216" s="5">
        <v>0.5</v>
      </c>
      <c r="AB216" s="5">
        <v>0.09</v>
      </c>
      <c r="AC216" s="5">
        <v>0.46</v>
      </c>
      <c r="AD216" s="5">
        <v>2.2999999999999998</v>
      </c>
      <c r="AE216" s="5">
        <v>7.0000000000000007E-2</v>
      </c>
      <c r="AF216" s="5">
        <v>15</v>
      </c>
      <c r="AG216" s="5">
        <v>0.7</v>
      </c>
      <c r="AH216" s="5">
        <v>3.2</v>
      </c>
      <c r="AI216" s="5">
        <v>3.9</v>
      </c>
      <c r="AJ216" s="5">
        <v>4</v>
      </c>
      <c r="AK216" s="5">
        <v>1280</v>
      </c>
      <c r="AL216" s="5">
        <v>970</v>
      </c>
      <c r="AM216" s="5">
        <v>0.27</v>
      </c>
      <c r="AN216" s="5">
        <v>150</v>
      </c>
      <c r="AO216" s="5">
        <v>4</v>
      </c>
      <c r="AP216" s="5">
        <v>130</v>
      </c>
      <c r="AQ216" s="5">
        <v>550</v>
      </c>
      <c r="AR216" s="5">
        <v>1590</v>
      </c>
      <c r="AS216" s="5">
        <v>0</v>
      </c>
      <c r="AT216" s="5">
        <v>0</v>
      </c>
      <c r="AU216" s="5">
        <v>11</v>
      </c>
      <c r="AV216" s="5">
        <f>IFERROR(VLOOKUP(IFERROR(VLOOKUP(D216,Mapa_Similitud!$A$2:$B$2000,2,FALSE()),D216),Hoja1!$A$2:$K$1000,2,FALSE()),IFERROR(VLOOKUP(IFERROR(VLOOKUP(D216,Mapa_Similitud!$A$2:$B$2000,2,FALSE()),D216),Omega3_Referencia!$A$2:$E$100,3,FALSE()),0))</f>
        <v>0.02</v>
      </c>
      <c r="AW216" s="3" t="str">
        <f>IFERROR(VLOOKUP(IFERROR(VLOOKUP(D216,Mapa_Similitud!$A$2:$B$2000,2,FALSE()),D216),Hoja1!$A$2:$K$1000,3,FALSE()),IFERROR(VLOOKUP(IFERROR(VLOOKUP(D216,Mapa_Similitud!$A$2:$B$2000,2,FALSE()),D216),Omega3_Referencia!$A$2:$E$100,4,FALSE()),"N/A"))</f>
        <v>ALA/EPA</v>
      </c>
      <c r="AX216" s="5">
        <f>IFERROR(VLOOKUP(IFERROR(VLOOKUP(D216,Mapa_Similitud!$A$2:$B$2000,2,FALSE()),D216),Hoja1!$A$2:$K$1000,5,FALSE()),0)</f>
        <v>0</v>
      </c>
      <c r="AY216" s="5">
        <f>IFERROR(VLOOKUP(IFERROR(VLOOKUP(D216,Mapa_Similitud!$A$2:$B$2000,2,FALSE()),D216),Hoja1!$A$2:$K$1000,7,FALSE()),0)</f>
        <v>0</v>
      </c>
      <c r="AZ216" s="5">
        <f>IFERROR(VLOOKUP(IFERROR(VLOOKUP(D216,Mapa_Similitud!$A$2:$B$2000,2,FALSE()),D216),Hoja1!$A$2:$K$1000,9,FALSE()),0)</f>
        <v>0</v>
      </c>
      <c r="BA216" s="25">
        <f t="shared" si="87"/>
        <v>0.10255681818181818</v>
      </c>
      <c r="BB216" s="25">
        <f t="shared" si="88"/>
        <v>0</v>
      </c>
      <c r="BC216" s="25">
        <f t="shared" si="89"/>
        <v>3.6363636363636362</v>
      </c>
      <c r="BD216" s="25">
        <f t="shared" si="90"/>
        <v>7.6704545454545461E-4</v>
      </c>
      <c r="BE216" s="25">
        <f t="shared" si="91"/>
        <v>1.5625</v>
      </c>
      <c r="BF216" s="25">
        <f t="shared" si="92"/>
        <v>7.2499999999999995E-2</v>
      </c>
      <c r="BG216" s="25">
        <f t="shared" si="93"/>
        <v>1.3195876288659794</v>
      </c>
      <c r="BH216" s="25">
        <f t="shared" si="94"/>
        <v>0.625</v>
      </c>
      <c r="BI216" s="25">
        <f t="shared" si="95"/>
        <v>0.34591194968553457</v>
      </c>
      <c r="BJ216" s="25">
        <f t="shared" si="96"/>
        <v>1</v>
      </c>
      <c r="BK216" s="25">
        <f t="shared" si="97"/>
        <v>0</v>
      </c>
      <c r="BL216" s="25">
        <f t="shared" si="98"/>
        <v>1.6363636363636361E-2</v>
      </c>
      <c r="BM216" s="25">
        <f t="shared" si="99"/>
        <v>0.36931818181818182</v>
      </c>
      <c r="BN216" s="18" t="str">
        <f t="shared" si="105"/>
        <v>Media fuente de proteína</v>
      </c>
      <c r="BO216" s="18" t="str">
        <f t="shared" si="106"/>
        <v>Baja fuente de fibra</v>
      </c>
      <c r="BP216" s="18" t="str">
        <f t="shared" si="107"/>
        <v>Alta fuente de calcio</v>
      </c>
      <c r="BQ216" s="18" t="str">
        <f t="shared" si="108"/>
        <v>Baja fuente de hierro</v>
      </c>
      <c r="BR216" s="18" t="str">
        <f t="shared" si="109"/>
        <v>Alto en sodio</v>
      </c>
      <c r="BS216" s="6" t="str">
        <f t="shared" si="100"/>
        <v>Proinflamatorio</v>
      </c>
      <c r="BT216" s="6" t="str">
        <f t="shared" si="101"/>
        <v>Bajo en grasas</v>
      </c>
      <c r="BU216" s="18" t="str">
        <f t="shared" si="110"/>
        <v>Equilibrio de líquidos ideal</v>
      </c>
      <c r="BV216" s="18" t="str">
        <f t="shared" si="111"/>
        <v>Media fuente de magnesio</v>
      </c>
      <c r="BW216" s="18" t="str">
        <f t="shared" si="112"/>
        <v>Sin aporte de Omega 3</v>
      </c>
      <c r="BX216" s="18" t="str">
        <f t="shared" si="113"/>
        <v>Libre de grasas trans</v>
      </c>
      <c r="BY216" s="18" t="str">
        <f t="shared" si="114"/>
        <v>Bajo poder antioxidante</v>
      </c>
      <c r="BZ216" s="6" t="str">
        <f t="shared" si="102"/>
        <v>Sin probióticos</v>
      </c>
      <c r="CA216" s="18" t="str">
        <f t="shared" si="115"/>
        <v>Poco inflamatorio</v>
      </c>
      <c r="CB216" s="18" t="str">
        <f>IF(ISNUMBER(SEARCH("miel", D216)), "No irritante (Uso condicionado SII)", IF(OR(J216&gt;0, ISNUMBER(SEARCH("cacao", D216)), ISNUMBER(SEARCH("chocolate puro", D216))), "Altamente irritante", IF(OR(AND(O216&gt;15, BI216&gt;1), ISNUMBER(SEARCH("chocolate", D216))), "Moderadamente irritante", "No irritante")))</f>
        <v>No irritante</v>
      </c>
      <c r="CC216" s="6" t="str">
        <f t="shared" si="103"/>
        <v>Balance de omegas favorable</v>
      </c>
    </row>
    <row r="217" spans="1:81" ht="15" customHeight="1" x14ac:dyDescent="0.3">
      <c r="A217" s="2">
        <f t="shared" si="104"/>
        <v>216</v>
      </c>
      <c r="B217" s="3" t="s">
        <v>323</v>
      </c>
      <c r="C217" s="3" t="s">
        <v>324</v>
      </c>
      <c r="D217" s="3" t="s">
        <v>335</v>
      </c>
      <c r="E217" s="3"/>
      <c r="F217" s="4">
        <v>4</v>
      </c>
      <c r="G217" s="5">
        <v>1</v>
      </c>
      <c r="H217" s="5">
        <v>477</v>
      </c>
      <c r="I217" s="5">
        <v>6.5</v>
      </c>
      <c r="J217" s="5">
        <v>0</v>
      </c>
      <c r="K217" s="5">
        <v>25.2</v>
      </c>
      <c r="L217" s="5">
        <v>35.1</v>
      </c>
      <c r="M217" s="5">
        <v>0</v>
      </c>
      <c r="N217" s="5">
        <v>35.1</v>
      </c>
      <c r="O217" s="5">
        <v>0</v>
      </c>
      <c r="P217" s="5">
        <v>0</v>
      </c>
      <c r="Q217" s="5">
        <v>26.2</v>
      </c>
      <c r="R217" s="5">
        <v>15.8</v>
      </c>
      <c r="S217" s="5">
        <v>8.4</v>
      </c>
      <c r="T217" s="5">
        <v>0.72</v>
      </c>
      <c r="U217" s="5">
        <v>97</v>
      </c>
      <c r="V217" s="5">
        <v>253</v>
      </c>
      <c r="W217" s="5">
        <v>230</v>
      </c>
      <c r="X217" s="5">
        <v>140</v>
      </c>
      <c r="Y217" s="5">
        <v>1.2</v>
      </c>
      <c r="Z217" s="5">
        <v>0.5</v>
      </c>
      <c r="AA217" s="5">
        <v>1.7</v>
      </c>
      <c r="AB217" s="5">
        <v>0.27</v>
      </c>
      <c r="AC217" s="5">
        <v>1.4</v>
      </c>
      <c r="AD217" s="5">
        <v>6.3</v>
      </c>
      <c r="AE217" s="5">
        <v>0.2</v>
      </c>
      <c r="AF217" s="5">
        <v>40</v>
      </c>
      <c r="AG217" s="5">
        <v>1.5</v>
      </c>
      <c r="AH217" s="5">
        <v>2.7</v>
      </c>
      <c r="AI217" s="5">
        <v>24</v>
      </c>
      <c r="AJ217" s="5">
        <v>11</v>
      </c>
      <c r="AK217" s="5">
        <v>1047</v>
      </c>
      <c r="AL217" s="5">
        <v>714</v>
      </c>
      <c r="AM217" s="5">
        <v>0.7</v>
      </c>
      <c r="AN217" s="5">
        <v>27</v>
      </c>
      <c r="AO217" s="5">
        <v>3.1</v>
      </c>
      <c r="AP217" s="5">
        <v>89</v>
      </c>
      <c r="AQ217" s="5">
        <v>371</v>
      </c>
      <c r="AR217" s="5">
        <v>1160</v>
      </c>
      <c r="AS217" s="5">
        <v>0.14000000000000001</v>
      </c>
      <c r="AT217" s="5">
        <v>0.17</v>
      </c>
      <c r="AU217" s="5">
        <v>7.4</v>
      </c>
      <c r="AV217" s="5">
        <f>IFERROR(VLOOKUP(IFERROR(VLOOKUP(D217,Mapa_Similitud!$A$2:$B$2000,2,FALSE()),D217),Hoja1!$A$2:$K$1000,2,FALSE()),IFERROR(VLOOKUP(IFERROR(VLOOKUP(D217,Mapa_Similitud!$A$2:$B$2000,2,FALSE()),D217),Omega3_Referencia!$A$2:$E$100,3,FALSE()),0))</f>
        <v>0.15</v>
      </c>
      <c r="AW217" s="3" t="str">
        <f>IFERROR(VLOOKUP(IFERROR(VLOOKUP(D217,Mapa_Similitud!$A$2:$B$2000,2,FALSE()),D217),Hoja1!$A$2:$K$1000,3,FALSE()),IFERROR(VLOOKUP(IFERROR(VLOOKUP(D217,Mapa_Similitud!$A$2:$B$2000,2,FALSE()),D217),Omega3_Referencia!$A$2:$E$100,4,FALSE()),"N/A"))</f>
        <v>ALA/EPA</v>
      </c>
      <c r="AX217" s="5">
        <f>IFERROR(VLOOKUP(IFERROR(VLOOKUP(D217,Mapa_Similitud!$A$2:$B$2000,2,FALSE()),D217),Hoja1!$A$2:$K$1000,5,FALSE()),0)</f>
        <v>0.4</v>
      </c>
      <c r="AY217" s="5">
        <f>IFERROR(VLOOKUP(IFERROR(VLOOKUP(D217,Mapa_Similitud!$A$2:$B$2000,2,FALSE()),D217),Hoja1!$A$2:$K$1000,7,FALSE()),0)</f>
        <v>0</v>
      </c>
      <c r="AZ217" s="5">
        <f>IFERROR(VLOOKUP(IFERROR(VLOOKUP(D217,Mapa_Similitud!$A$2:$B$2000,2,FALSE()),D217),Hoja1!$A$2:$K$1000,9,FALSE()),0)</f>
        <v>0</v>
      </c>
      <c r="BA217" s="25">
        <f t="shared" si="87"/>
        <v>5.2830188679245278E-2</v>
      </c>
      <c r="BB217" s="25">
        <f t="shared" si="88"/>
        <v>0</v>
      </c>
      <c r="BC217" s="25">
        <f t="shared" si="89"/>
        <v>2.1949685534591197</v>
      </c>
      <c r="BD217" s="25">
        <f t="shared" si="90"/>
        <v>1.4675052410901466E-3</v>
      </c>
      <c r="BE217" s="25">
        <f t="shared" si="91"/>
        <v>0.77777777777777779</v>
      </c>
      <c r="BF217" s="25">
        <f t="shared" si="92"/>
        <v>4.556962025316455E-2</v>
      </c>
      <c r="BG217" s="25">
        <f t="shared" si="93"/>
        <v>1.4663865546218486</v>
      </c>
      <c r="BH217" s="25">
        <f t="shared" si="94"/>
        <v>0.60305343511450382</v>
      </c>
      <c r="BI217" s="25">
        <f t="shared" si="95"/>
        <v>0.31982758620689655</v>
      </c>
      <c r="BJ217" s="25">
        <f t="shared" si="96"/>
        <v>1</v>
      </c>
      <c r="BK217" s="25">
        <f t="shared" si="97"/>
        <v>0</v>
      </c>
      <c r="BL217" s="25">
        <f t="shared" si="98"/>
        <v>0.49433962264150938</v>
      </c>
      <c r="BM217" s="25">
        <f t="shared" si="99"/>
        <v>0.18658280922431866</v>
      </c>
      <c r="BN217" s="18" t="str">
        <f t="shared" si="105"/>
        <v>Baja fuente de proteína</v>
      </c>
      <c r="BO217" s="18" t="str">
        <f t="shared" si="106"/>
        <v>Baja fuente de fibra</v>
      </c>
      <c r="BP217" s="18" t="str">
        <f t="shared" si="107"/>
        <v>Alta fuente de calcio</v>
      </c>
      <c r="BQ217" s="18" t="str">
        <f t="shared" si="108"/>
        <v>Baja fuente de hierro</v>
      </c>
      <c r="BR217" s="18" t="str">
        <f t="shared" si="109"/>
        <v>Moderado en sodio</v>
      </c>
      <c r="BS217" s="6" t="str">
        <f t="shared" si="100"/>
        <v>Proinflamatorio</v>
      </c>
      <c r="BT217" s="6" t="str">
        <f t="shared" si="101"/>
        <v>Muy alto en grasas</v>
      </c>
      <c r="BU217" s="18" t="str">
        <f t="shared" si="110"/>
        <v>Equilibrio de líquidos ideal</v>
      </c>
      <c r="BV217" s="18" t="str">
        <f t="shared" si="111"/>
        <v>Baja fuente de magnesio</v>
      </c>
      <c r="BW217" s="18" t="str">
        <f t="shared" si="112"/>
        <v>Ligera fuente de Omega 3</v>
      </c>
      <c r="BX217" s="18" t="str">
        <f t="shared" si="113"/>
        <v>Contiene grasas trans</v>
      </c>
      <c r="BY217" s="18" t="str">
        <f t="shared" si="114"/>
        <v>Bajo poder antioxidante</v>
      </c>
      <c r="BZ217" s="6" t="str">
        <f t="shared" si="102"/>
        <v>Sin probióticos</v>
      </c>
      <c r="CA217" s="18" t="str">
        <f t="shared" si="115"/>
        <v>Moderadamente inflamatorio</v>
      </c>
      <c r="CB217" s="18" t="str">
        <f>IF(ISNUMBER(SEARCH("miel", D217)), "No irritante (Uso condicionado SII)", IF(OR(J217&gt;0, ISNUMBER(SEARCH("cacao", D217)), ISNUMBER(SEARCH("chocolate puro", D217))), "Altamente irritante", IF(OR(AND(O217&gt;15, BI217&gt;1), ISNUMBER(SEARCH("chocolate", D217))), "Moderadamente irritante", "No irritante")))</f>
        <v>No irritante</v>
      </c>
      <c r="CC217" s="6" t="str">
        <f t="shared" si="103"/>
        <v>Balance de omegas favorable</v>
      </c>
    </row>
    <row r="218" spans="1:81" ht="15" customHeight="1" x14ac:dyDescent="0.3">
      <c r="A218" s="2">
        <f t="shared" si="104"/>
        <v>217</v>
      </c>
      <c r="B218" s="3" t="s">
        <v>323</v>
      </c>
      <c r="C218" s="3" t="s">
        <v>324</v>
      </c>
      <c r="D218" s="3" t="s">
        <v>336</v>
      </c>
      <c r="E218" s="3"/>
      <c r="F218" s="4">
        <v>4.2</v>
      </c>
      <c r="G218" s="5">
        <v>1</v>
      </c>
      <c r="H218" s="5">
        <v>442</v>
      </c>
      <c r="I218" s="5">
        <v>10</v>
      </c>
      <c r="J218" s="5">
        <v>0</v>
      </c>
      <c r="K218" s="5">
        <v>29.8</v>
      </c>
      <c r="L218" s="5">
        <v>43.9</v>
      </c>
      <c r="M218" s="5">
        <v>0</v>
      </c>
      <c r="N218" s="5">
        <v>43.9</v>
      </c>
      <c r="O218" s="5">
        <v>0</v>
      </c>
      <c r="P218" s="5">
        <v>0</v>
      </c>
      <c r="Q218" s="5">
        <v>16.3</v>
      </c>
      <c r="R218" s="5">
        <v>9.6999999999999993</v>
      </c>
      <c r="S218" s="5">
        <v>5.0999999999999996</v>
      </c>
      <c r="T218" s="5">
        <v>0.6</v>
      </c>
      <c r="U218" s="5">
        <v>60</v>
      </c>
      <c r="V218" s="5">
        <v>4</v>
      </c>
      <c r="W218" s="5">
        <v>4</v>
      </c>
      <c r="X218" s="5">
        <v>1</v>
      </c>
      <c r="Y218" s="5">
        <v>0.1</v>
      </c>
      <c r="Z218" s="5">
        <v>0.4</v>
      </c>
      <c r="AA218" s="5">
        <v>1</v>
      </c>
      <c r="AB218" s="5">
        <v>0.4</v>
      </c>
      <c r="AC218" s="5">
        <v>1.2</v>
      </c>
      <c r="AD218" s="5">
        <v>2.9</v>
      </c>
      <c r="AE218" s="5">
        <v>0.2</v>
      </c>
      <c r="AF218" s="5">
        <v>30</v>
      </c>
      <c r="AG218" s="5">
        <v>2.9</v>
      </c>
      <c r="AH218" s="5">
        <v>3</v>
      </c>
      <c r="AI218" s="5">
        <v>0</v>
      </c>
      <c r="AJ218" s="5">
        <v>4</v>
      </c>
      <c r="AK218" s="5">
        <v>1050</v>
      </c>
      <c r="AL218" s="5">
        <v>930</v>
      </c>
      <c r="AM218" s="5">
        <v>0.3</v>
      </c>
      <c r="AN218" s="5">
        <v>27</v>
      </c>
      <c r="AO218" s="5">
        <v>4.0999999999999996</v>
      </c>
      <c r="AP218" s="5">
        <v>105</v>
      </c>
      <c r="AQ218" s="5">
        <v>510</v>
      </c>
      <c r="AR218" s="5">
        <v>1280</v>
      </c>
      <c r="AS218" s="5">
        <v>0</v>
      </c>
      <c r="AT218" s="5">
        <v>0</v>
      </c>
      <c r="AU218" s="5">
        <v>7.4</v>
      </c>
      <c r="AV218" s="5">
        <f>IFERROR(VLOOKUP(IFERROR(VLOOKUP(D218,Mapa_Similitud!$A$2:$B$2000,2,FALSE()),D218),Hoja1!$A$2:$K$1000,2,FALSE()),IFERROR(VLOOKUP(IFERROR(VLOOKUP(D218,Mapa_Similitud!$A$2:$B$2000,2,FALSE()),D218),Omega3_Referencia!$A$2:$E$100,3,FALSE()),0))</f>
        <v>0.08</v>
      </c>
      <c r="AW218" s="3" t="str">
        <f>IFERROR(VLOOKUP(IFERROR(VLOOKUP(D218,Mapa_Similitud!$A$2:$B$2000,2,FALSE()),D218),Hoja1!$A$2:$K$1000,3,FALSE()),IFERROR(VLOOKUP(IFERROR(VLOOKUP(D218,Mapa_Similitud!$A$2:$B$2000,2,FALSE()),D218),Omega3_Referencia!$A$2:$E$100,4,FALSE()),"N/A"))</f>
        <v>ALA/EPA</v>
      </c>
      <c r="AX218" s="5">
        <f>IFERROR(VLOOKUP(IFERROR(VLOOKUP(D218,Mapa_Similitud!$A$2:$B$2000,2,FALSE()),D218),Hoja1!$A$2:$K$1000,5,FALSE()),0)</f>
        <v>0.2</v>
      </c>
      <c r="AY218" s="5">
        <f>IFERROR(VLOOKUP(IFERROR(VLOOKUP(D218,Mapa_Similitud!$A$2:$B$2000,2,FALSE()),D218),Hoja1!$A$2:$K$1000,7,FALSE()),0)</f>
        <v>0</v>
      </c>
      <c r="AZ218" s="5">
        <f>IFERROR(VLOOKUP(IFERROR(VLOOKUP(D218,Mapa_Similitud!$A$2:$B$2000,2,FALSE()),D218),Hoja1!$A$2:$K$1000,9,FALSE()),0)</f>
        <v>0</v>
      </c>
      <c r="BA218" s="25">
        <f t="shared" si="87"/>
        <v>6.7420814479638005E-2</v>
      </c>
      <c r="BB218" s="25">
        <f t="shared" si="88"/>
        <v>0</v>
      </c>
      <c r="BC218" s="25">
        <f t="shared" si="89"/>
        <v>2.3755656108597285</v>
      </c>
      <c r="BD218" s="25">
        <f t="shared" si="90"/>
        <v>6.7873303167420812E-4</v>
      </c>
      <c r="BE218" s="25">
        <f t="shared" si="91"/>
        <v>1.1538461538461537</v>
      </c>
      <c r="BF218" s="25">
        <f t="shared" si="92"/>
        <v>6.1855670103092786E-2</v>
      </c>
      <c r="BG218" s="25">
        <f t="shared" si="93"/>
        <v>1.1290322580645162</v>
      </c>
      <c r="BH218" s="25">
        <f t="shared" si="94"/>
        <v>0.5950920245398772</v>
      </c>
      <c r="BI218" s="25">
        <f t="shared" si="95"/>
        <v>0.3984375</v>
      </c>
      <c r="BJ218" s="25">
        <f t="shared" si="96"/>
        <v>1</v>
      </c>
      <c r="BK218" s="25">
        <f t="shared" si="97"/>
        <v>0</v>
      </c>
      <c r="BL218" s="25">
        <f t="shared" si="98"/>
        <v>0.33190045248868782</v>
      </c>
      <c r="BM218" s="25">
        <f t="shared" si="99"/>
        <v>0.23755656108597284</v>
      </c>
      <c r="BN218" s="18" t="str">
        <f t="shared" si="105"/>
        <v>Baja fuente de proteína</v>
      </c>
      <c r="BO218" s="18" t="str">
        <f t="shared" si="106"/>
        <v>Baja fuente de fibra</v>
      </c>
      <c r="BP218" s="18" t="str">
        <f t="shared" si="107"/>
        <v>Alta fuente de calcio</v>
      </c>
      <c r="BQ218" s="18" t="str">
        <f t="shared" si="108"/>
        <v>Baja fuente de hierro</v>
      </c>
      <c r="BR218" s="18" t="str">
        <f t="shared" si="109"/>
        <v>Alto en sodio</v>
      </c>
      <c r="BS218" s="6" t="str">
        <f t="shared" si="100"/>
        <v>Proinflamatorio</v>
      </c>
      <c r="BT218" s="6" t="str">
        <f t="shared" si="101"/>
        <v>Alto en grasas</v>
      </c>
      <c r="BU218" s="18" t="str">
        <f t="shared" si="110"/>
        <v>Equilibrio de líquidos ideal</v>
      </c>
      <c r="BV218" s="18" t="str">
        <f t="shared" si="111"/>
        <v>Media fuente de magnesio</v>
      </c>
      <c r="BW218" s="18" t="str">
        <f t="shared" si="112"/>
        <v>Sin aporte de Omega 3</v>
      </c>
      <c r="BX218" s="18" t="str">
        <f t="shared" si="113"/>
        <v>Contiene grasas trans</v>
      </c>
      <c r="BY218" s="18" t="str">
        <f t="shared" si="114"/>
        <v>Bajo poder antioxidante</v>
      </c>
      <c r="BZ218" s="6" t="str">
        <f t="shared" si="102"/>
        <v>Sin probióticos</v>
      </c>
      <c r="CA218" s="18" t="str">
        <f t="shared" si="115"/>
        <v>Moderadamente inflamatorio</v>
      </c>
      <c r="CB218" s="18" t="str">
        <f>IF(ISNUMBER(SEARCH("miel", D218)), "No irritante (Uso condicionado SII)", IF(OR(J218&gt;0, ISNUMBER(SEARCH("cacao", D218)), ISNUMBER(SEARCH("chocolate puro", D218))), "Altamente irritante", IF(OR(AND(O218&gt;15, BI218&gt;1), ISNUMBER(SEARCH("chocolate", D218))), "Moderadamente irritante", "No irritante")))</f>
        <v>No irritante</v>
      </c>
      <c r="CC218" s="6" t="str">
        <f t="shared" si="103"/>
        <v>Exceso relativo de Omega 6</v>
      </c>
    </row>
    <row r="219" spans="1:81" ht="15" customHeight="1" x14ac:dyDescent="0.3">
      <c r="A219" s="2">
        <f t="shared" si="104"/>
        <v>218</v>
      </c>
      <c r="B219" s="3" t="s">
        <v>323</v>
      </c>
      <c r="C219" s="3" t="s">
        <v>324</v>
      </c>
      <c r="D219" s="3" t="s">
        <v>337</v>
      </c>
      <c r="E219" s="3"/>
      <c r="F219" s="4">
        <v>1.1000000000000001</v>
      </c>
      <c r="G219" s="5">
        <v>1</v>
      </c>
      <c r="H219" s="5">
        <v>65.400000000000006</v>
      </c>
      <c r="I219" s="5">
        <v>88.4</v>
      </c>
      <c r="J219" s="5">
        <v>0</v>
      </c>
      <c r="K219" s="5">
        <v>3.1</v>
      </c>
      <c r="L219" s="5">
        <v>4.7</v>
      </c>
      <c r="M219" s="5">
        <v>0</v>
      </c>
      <c r="N219" s="5">
        <v>4.7</v>
      </c>
      <c r="O219" s="5">
        <v>0</v>
      </c>
      <c r="P219" s="5">
        <v>0</v>
      </c>
      <c r="Q219" s="5">
        <v>3.8</v>
      </c>
      <c r="R219" s="5">
        <v>2.2999999999999998</v>
      </c>
      <c r="S219" s="5">
        <v>1.1000000000000001</v>
      </c>
      <c r="T219" s="5">
        <v>0.13</v>
      </c>
      <c r="U219" s="5">
        <v>14</v>
      </c>
      <c r="V219" s="5">
        <v>46</v>
      </c>
      <c r="W219" s="5">
        <v>41.3</v>
      </c>
      <c r="X219" s="5">
        <v>28</v>
      </c>
      <c r="Y219" s="5">
        <v>0.03</v>
      </c>
      <c r="Z219" s="5">
        <v>0.1</v>
      </c>
      <c r="AA219" s="5">
        <v>0.34</v>
      </c>
      <c r="AB219" s="5">
        <v>0.04</v>
      </c>
      <c r="AC219" s="5">
        <v>0.19</v>
      </c>
      <c r="AD219" s="5">
        <v>0.73</v>
      </c>
      <c r="AE219" s="5">
        <v>0.04</v>
      </c>
      <c r="AF219" s="5">
        <v>5.5</v>
      </c>
      <c r="AG219" s="5">
        <v>0.3</v>
      </c>
      <c r="AH219" s="5">
        <v>0.35</v>
      </c>
      <c r="AI219" s="5">
        <v>3.5</v>
      </c>
      <c r="AJ219" s="5">
        <v>1.4</v>
      </c>
      <c r="AK219" s="5">
        <v>124</v>
      </c>
      <c r="AL219" s="5">
        <v>92</v>
      </c>
      <c r="AM219" s="5">
        <v>0.09</v>
      </c>
      <c r="AN219" s="5">
        <v>9</v>
      </c>
      <c r="AO219" s="5">
        <v>0.38</v>
      </c>
      <c r="AP219" s="5">
        <v>11.6</v>
      </c>
      <c r="AQ219" s="5">
        <v>48</v>
      </c>
      <c r="AR219" s="5">
        <v>157</v>
      </c>
      <c r="AS219" s="5">
        <v>3.0000000000000001E-3</v>
      </c>
      <c r="AT219" s="5">
        <v>0.01</v>
      </c>
      <c r="AU219" s="5">
        <v>1.4</v>
      </c>
      <c r="AV219" s="5">
        <f>IFERROR(VLOOKUP(IFERROR(VLOOKUP(D219,Mapa_Similitud!$A$2:$B$2000,2,FALSE()),D219),Hoja1!$A$2:$K$1000,2,FALSE()),IFERROR(VLOOKUP(IFERROR(VLOOKUP(D219,Mapa_Similitud!$A$2:$B$2000,2,FALSE()),D219),Omega3_Referencia!$A$2:$E$100,3,FALSE()),0))</f>
        <v>0.04</v>
      </c>
      <c r="AW219" s="3" t="str">
        <f>IFERROR(VLOOKUP(IFERROR(VLOOKUP(D219,Mapa_Similitud!$A$2:$B$2000,2,FALSE()),D219),Hoja1!$A$2:$K$1000,3,FALSE()),IFERROR(VLOOKUP(IFERROR(VLOOKUP(D219,Mapa_Similitud!$A$2:$B$2000,2,FALSE()),D219),Omega3_Referencia!$A$2:$E$100,4,FALSE()),"N/A"))</f>
        <v>ALA/EPA</v>
      </c>
      <c r="AX219" s="5">
        <f>IFERROR(VLOOKUP(IFERROR(VLOOKUP(D219,Mapa_Similitud!$A$2:$B$2000,2,FALSE()),D219),Hoja1!$A$2:$K$1000,5,FALSE()),0)</f>
        <v>0.1</v>
      </c>
      <c r="AY219" s="5">
        <f>IFERROR(VLOOKUP(IFERROR(VLOOKUP(D219,Mapa_Similitud!$A$2:$B$2000,2,FALSE()),D219),Hoja1!$A$2:$K$1000,7,FALSE()),0)</f>
        <v>0</v>
      </c>
      <c r="AZ219" s="5">
        <f>IFERROR(VLOOKUP(IFERROR(VLOOKUP(D219,Mapa_Similitud!$A$2:$B$2000,2,FALSE()),D219),Hoja1!$A$2:$K$1000,9,FALSE()),0)</f>
        <v>0</v>
      </c>
      <c r="BA219" s="25">
        <f t="shared" si="87"/>
        <v>4.7400611620795105E-2</v>
      </c>
      <c r="BB219" s="25">
        <f t="shared" si="88"/>
        <v>0</v>
      </c>
      <c r="BC219" s="25">
        <f t="shared" si="89"/>
        <v>1.8960244648318041</v>
      </c>
      <c r="BD219" s="25">
        <f t="shared" si="90"/>
        <v>1.3761467889908255E-3</v>
      </c>
      <c r="BE219" s="25">
        <f t="shared" si="91"/>
        <v>0.7339449541284403</v>
      </c>
      <c r="BF219" s="25">
        <f t="shared" si="92"/>
        <v>5.6521739130434789E-2</v>
      </c>
      <c r="BG219" s="25">
        <f t="shared" si="93"/>
        <v>1.3478260869565217</v>
      </c>
      <c r="BH219" s="25">
        <f t="shared" si="94"/>
        <v>0.60526315789473684</v>
      </c>
      <c r="BI219" s="25">
        <f t="shared" si="95"/>
        <v>0.30573248407643311</v>
      </c>
      <c r="BJ219" s="25">
        <f t="shared" si="96"/>
        <v>1</v>
      </c>
      <c r="BK219" s="25">
        <f t="shared" si="97"/>
        <v>0</v>
      </c>
      <c r="BL219" s="25">
        <f t="shared" si="98"/>
        <v>0.52293577981651362</v>
      </c>
      <c r="BM219" s="25">
        <f t="shared" si="99"/>
        <v>0.17737003058103973</v>
      </c>
      <c r="BN219" s="18" t="str">
        <f t="shared" si="105"/>
        <v>Baja fuente de proteína</v>
      </c>
      <c r="BO219" s="18" t="str">
        <f t="shared" si="106"/>
        <v>Baja fuente de fibra</v>
      </c>
      <c r="BP219" s="18" t="str">
        <f t="shared" si="107"/>
        <v>Alta fuente de calcio</v>
      </c>
      <c r="BQ219" s="18" t="str">
        <f t="shared" si="108"/>
        <v>Baja fuente de hierro</v>
      </c>
      <c r="BR219" s="18" t="str">
        <f t="shared" si="109"/>
        <v>Moderado en sodio</v>
      </c>
      <c r="BS219" s="6" t="str">
        <f t="shared" si="100"/>
        <v>Proinflamatorio</v>
      </c>
      <c r="BT219" s="6" t="str">
        <f t="shared" si="101"/>
        <v>Muy alto en grasas</v>
      </c>
      <c r="BU219" s="18" t="str">
        <f t="shared" si="110"/>
        <v>Equilibrio de líquidos ideal</v>
      </c>
      <c r="BV219" s="18" t="str">
        <f t="shared" si="111"/>
        <v>Baja fuente de magnesio</v>
      </c>
      <c r="BW219" s="18" t="str">
        <f t="shared" si="112"/>
        <v>Sin aporte de Omega 3</v>
      </c>
      <c r="BX219" s="18" t="str">
        <f t="shared" si="113"/>
        <v>Contiene grasas trans</v>
      </c>
      <c r="BY219" s="18" t="str">
        <f t="shared" si="114"/>
        <v>Bajo poder antioxidante</v>
      </c>
      <c r="BZ219" s="6" t="str">
        <f t="shared" si="102"/>
        <v>Sin probióticos</v>
      </c>
      <c r="CA219" s="18" t="str">
        <f t="shared" si="115"/>
        <v>Moderadamente inflamatorio</v>
      </c>
      <c r="CB219" s="18" t="str">
        <f>IF(ISNUMBER(SEARCH("miel", D219)), "No irritante (Uso condicionado SII)", IF(OR(J219&gt;0, ISNUMBER(SEARCH("cacao", D219)), ISNUMBER(SEARCH("chocolate puro", D219))), "Altamente irritante", IF(OR(AND(O219&gt;15, BI219&gt;1), ISNUMBER(SEARCH("chocolate", D219))), "Moderadamente irritante", "No irritante")))</f>
        <v>No irritante</v>
      </c>
      <c r="CC219" s="6" t="str">
        <f t="shared" si="103"/>
        <v>Balance de omegas favorable</v>
      </c>
    </row>
    <row r="220" spans="1:81" ht="15" customHeight="1" x14ac:dyDescent="0.3">
      <c r="A220" s="2">
        <f t="shared" si="104"/>
        <v>219</v>
      </c>
      <c r="B220" s="3" t="s">
        <v>323</v>
      </c>
      <c r="C220" s="3" t="s">
        <v>324</v>
      </c>
      <c r="D220" s="3" t="s">
        <v>338</v>
      </c>
      <c r="E220" s="3"/>
      <c r="F220" s="4">
        <v>2</v>
      </c>
      <c r="G220" s="5">
        <v>1</v>
      </c>
      <c r="H220" s="5">
        <v>151</v>
      </c>
      <c r="I220" s="5">
        <v>74.099999999999994</v>
      </c>
      <c r="J220" s="5">
        <v>0</v>
      </c>
      <c r="K220" s="5">
        <v>8.4</v>
      </c>
      <c r="L220" s="5">
        <v>8.1</v>
      </c>
      <c r="M220" s="5">
        <v>0</v>
      </c>
      <c r="N220" s="5">
        <v>8.1</v>
      </c>
      <c r="O220" s="5">
        <v>0</v>
      </c>
      <c r="P220" s="5">
        <v>0</v>
      </c>
      <c r="Q220" s="5">
        <v>9.4</v>
      </c>
      <c r="R220" s="5">
        <v>5.9</v>
      </c>
      <c r="S220" s="5">
        <v>2.7</v>
      </c>
      <c r="T220" s="5">
        <v>0.3</v>
      </c>
      <c r="U220" s="5">
        <v>34</v>
      </c>
      <c r="V220" s="5">
        <v>122</v>
      </c>
      <c r="W220" s="5">
        <v>105</v>
      </c>
      <c r="X220" s="5">
        <v>100</v>
      </c>
      <c r="Y220" s="5">
        <v>0.1</v>
      </c>
      <c r="Z220" s="5">
        <v>0.19</v>
      </c>
      <c r="AA220" s="5">
        <v>1.6</v>
      </c>
      <c r="AB220" s="5">
        <v>7.0000000000000007E-2</v>
      </c>
      <c r="AC220" s="5">
        <v>0.42</v>
      </c>
      <c r="AD220" s="5">
        <v>2.2000000000000002</v>
      </c>
      <c r="AE220" s="5">
        <v>7.0000000000000007E-2</v>
      </c>
      <c r="AF220" s="5">
        <v>11</v>
      </c>
      <c r="AG220" s="5">
        <v>0.1</v>
      </c>
      <c r="AH220" s="5">
        <v>0.75</v>
      </c>
      <c r="AI220" s="5">
        <v>4</v>
      </c>
      <c r="AJ220" s="5">
        <v>1</v>
      </c>
      <c r="AK220" s="5">
        <v>290</v>
      </c>
      <c r="AL220" s="5">
        <v>260</v>
      </c>
      <c r="AM220" s="5">
        <v>0.26</v>
      </c>
      <c r="AN220" s="5">
        <v>11</v>
      </c>
      <c r="AO220" s="5">
        <v>0.9</v>
      </c>
      <c r="AP220" s="5">
        <v>29</v>
      </c>
      <c r="AQ220" s="5">
        <v>180</v>
      </c>
      <c r="AR220" s="5">
        <v>360</v>
      </c>
      <c r="AS220" s="5">
        <v>6.0000000000000001E-3</v>
      </c>
      <c r="AT220" s="5">
        <v>0.02</v>
      </c>
      <c r="AU220" s="5">
        <v>3</v>
      </c>
      <c r="AV220" s="5">
        <f>IFERROR(VLOOKUP(IFERROR(VLOOKUP(D220,Mapa_Similitud!$A$2:$B$2000,2,FALSE()),D220),Hoja1!$A$2:$K$1000,2,FALSE()),IFERROR(VLOOKUP(IFERROR(VLOOKUP(D220,Mapa_Similitud!$A$2:$B$2000,2,FALSE()),D220),Omega3_Referencia!$A$2:$E$100,3,FALSE()),0))</f>
        <v>0.1</v>
      </c>
      <c r="AW220" s="3" t="str">
        <f>IFERROR(VLOOKUP(IFERROR(VLOOKUP(D220,Mapa_Similitud!$A$2:$B$2000,2,FALSE()),D220),Hoja1!$A$2:$K$1000,3,FALSE()),IFERROR(VLOOKUP(IFERROR(VLOOKUP(D220,Mapa_Similitud!$A$2:$B$2000,2,FALSE()),D220),Omega3_Referencia!$A$2:$E$100,4,FALSE()),"N/A"))</f>
        <v>ALA/EPA</v>
      </c>
      <c r="AX220" s="5">
        <f>IFERROR(VLOOKUP(IFERROR(VLOOKUP(D220,Mapa_Similitud!$A$2:$B$2000,2,FALSE()),D220),Hoja1!$A$2:$K$1000,5,FALSE()),0)</f>
        <v>0.3</v>
      </c>
      <c r="AY220" s="5">
        <f>IFERROR(VLOOKUP(IFERROR(VLOOKUP(D220,Mapa_Similitud!$A$2:$B$2000,2,FALSE()),D220),Hoja1!$A$2:$K$1000,7,FALSE()),0)</f>
        <v>0</v>
      </c>
      <c r="AZ220" s="5">
        <f>IFERROR(VLOOKUP(IFERROR(VLOOKUP(D220,Mapa_Similitud!$A$2:$B$2000,2,FALSE()),D220),Hoja1!$A$2:$K$1000,9,FALSE()),0)</f>
        <v>0</v>
      </c>
      <c r="BA220" s="25">
        <f t="shared" si="87"/>
        <v>5.5629139072847687E-2</v>
      </c>
      <c r="BB220" s="25">
        <f t="shared" si="88"/>
        <v>0</v>
      </c>
      <c r="BC220" s="25">
        <f t="shared" si="89"/>
        <v>1.9205298013245033</v>
      </c>
      <c r="BD220" s="25">
        <f t="shared" si="90"/>
        <v>1.7218543046357616E-3</v>
      </c>
      <c r="BE220" s="25">
        <f t="shared" si="91"/>
        <v>1.1920529801324504</v>
      </c>
      <c r="BF220" s="25">
        <f t="shared" si="92"/>
        <v>5.084745762711864E-2</v>
      </c>
      <c r="BG220" s="25">
        <f t="shared" si="93"/>
        <v>1.1153846153846154</v>
      </c>
      <c r="BH220" s="25">
        <f t="shared" si="94"/>
        <v>0.62765957446808507</v>
      </c>
      <c r="BI220" s="25">
        <f t="shared" si="95"/>
        <v>0.5</v>
      </c>
      <c r="BJ220" s="25">
        <f t="shared" si="96"/>
        <v>1</v>
      </c>
      <c r="BK220" s="25">
        <f t="shared" si="97"/>
        <v>0</v>
      </c>
      <c r="BL220" s="25">
        <f t="shared" si="98"/>
        <v>0.56026490066225176</v>
      </c>
      <c r="BM220" s="25">
        <f t="shared" si="99"/>
        <v>0.19205298013245034</v>
      </c>
      <c r="BN220" s="18" t="str">
        <f t="shared" si="105"/>
        <v>Baja fuente de proteína</v>
      </c>
      <c r="BO220" s="18" t="str">
        <f t="shared" si="106"/>
        <v>Baja fuente de fibra</v>
      </c>
      <c r="BP220" s="18" t="str">
        <f t="shared" si="107"/>
        <v>Alta fuente de calcio</v>
      </c>
      <c r="BQ220" s="18" t="str">
        <f t="shared" si="108"/>
        <v>Baja fuente de hierro</v>
      </c>
      <c r="BR220" s="18" t="str">
        <f t="shared" si="109"/>
        <v>Alto en sodio</v>
      </c>
      <c r="BS220" s="6" t="str">
        <f t="shared" si="100"/>
        <v>Proinflamatorio</v>
      </c>
      <c r="BT220" s="6" t="str">
        <f t="shared" si="101"/>
        <v>Muy alto en grasas</v>
      </c>
      <c r="BU220" s="18" t="str">
        <f t="shared" si="110"/>
        <v>Equilibrio de líquidos ideal</v>
      </c>
      <c r="BV220" s="18" t="str">
        <f t="shared" si="111"/>
        <v>Baja fuente de magnesio</v>
      </c>
      <c r="BW220" s="18" t="str">
        <f t="shared" si="112"/>
        <v>Sin aporte de Omega 3</v>
      </c>
      <c r="BX220" s="18" t="str">
        <f t="shared" si="113"/>
        <v>Contiene grasas trans</v>
      </c>
      <c r="BY220" s="18" t="str">
        <f t="shared" si="114"/>
        <v>Bajo poder antioxidante</v>
      </c>
      <c r="BZ220" s="6" t="str">
        <f t="shared" si="102"/>
        <v>Sin probióticos</v>
      </c>
      <c r="CA220" s="18" t="str">
        <f t="shared" si="115"/>
        <v>Moderadamente inflamatorio</v>
      </c>
      <c r="CB220" s="18" t="str">
        <f>IF(ISNUMBER(SEARCH("miel", D220)), "No irritante (Uso condicionado SII)", IF(OR(J220&gt;0, ISNUMBER(SEARCH("cacao", D220)), ISNUMBER(SEARCH("chocolate puro", D220))), "Altamente irritante", IF(OR(AND(O220&gt;15, BI220&gt;1), ISNUMBER(SEARCH("chocolate", D220))), "Moderadamente irritante", "No irritante")))</f>
        <v>No irritante</v>
      </c>
      <c r="CC220" s="6" t="str">
        <f t="shared" si="103"/>
        <v>Balance de omegas favorable</v>
      </c>
    </row>
    <row r="221" spans="1:81" ht="15" customHeight="1" x14ac:dyDescent="0.3">
      <c r="A221" s="2">
        <f t="shared" si="104"/>
        <v>220</v>
      </c>
      <c r="B221" s="3" t="s">
        <v>323</v>
      </c>
      <c r="C221" s="3" t="s">
        <v>324</v>
      </c>
      <c r="D221" s="3" t="s">
        <v>339</v>
      </c>
      <c r="E221" s="3"/>
      <c r="F221" s="4">
        <v>1.1000000000000001</v>
      </c>
      <c r="G221" s="5">
        <v>1</v>
      </c>
      <c r="H221" s="5">
        <v>47.6</v>
      </c>
      <c r="I221" s="5">
        <v>90.1</v>
      </c>
      <c r="J221" s="5">
        <v>0</v>
      </c>
      <c r="K221" s="5">
        <v>3.5</v>
      </c>
      <c r="L221" s="5">
        <v>4.8</v>
      </c>
      <c r="M221" s="5">
        <v>0</v>
      </c>
      <c r="N221" s="5">
        <v>4.8</v>
      </c>
      <c r="O221" s="5">
        <v>0</v>
      </c>
      <c r="P221" s="5">
        <v>0</v>
      </c>
      <c r="Q221" s="5">
        <v>1.6</v>
      </c>
      <c r="R221" s="5">
        <v>1.1000000000000001</v>
      </c>
      <c r="S221" s="5">
        <v>0.45</v>
      </c>
      <c r="T221" s="5">
        <v>0.04</v>
      </c>
      <c r="U221" s="5">
        <v>6.3</v>
      </c>
      <c r="V221" s="5">
        <v>18.899999999999999</v>
      </c>
      <c r="W221" s="5">
        <v>17.600000000000001</v>
      </c>
      <c r="X221" s="5">
        <v>7.8</v>
      </c>
      <c r="Y221" s="5">
        <v>0.02</v>
      </c>
      <c r="Z221" s="5">
        <v>0.04</v>
      </c>
      <c r="AA221" s="5">
        <v>0.2</v>
      </c>
      <c r="AB221" s="5">
        <v>0.04</v>
      </c>
      <c r="AC221" s="5">
        <v>0.19</v>
      </c>
      <c r="AD221" s="5">
        <v>0.71</v>
      </c>
      <c r="AE221" s="5">
        <v>0.06</v>
      </c>
      <c r="AF221" s="5">
        <v>2.7</v>
      </c>
      <c r="AG221" s="5">
        <v>0.3</v>
      </c>
      <c r="AH221" s="5">
        <v>0.35</v>
      </c>
      <c r="AI221" s="5">
        <v>3.5</v>
      </c>
      <c r="AJ221" s="5">
        <v>0.52</v>
      </c>
      <c r="AK221" s="5">
        <v>125</v>
      </c>
      <c r="AL221" s="5">
        <v>91</v>
      </c>
      <c r="AM221" s="5">
        <v>0.09</v>
      </c>
      <c r="AN221" s="5">
        <v>8.6</v>
      </c>
      <c r="AO221" s="5">
        <v>0.52</v>
      </c>
      <c r="AP221" s="5">
        <v>11.9</v>
      </c>
      <c r="AQ221" s="5">
        <v>47</v>
      </c>
      <c r="AR221" s="5">
        <v>155</v>
      </c>
      <c r="AS221" s="5">
        <v>3.0000000000000001E-3</v>
      </c>
      <c r="AT221" s="5">
        <v>0.01</v>
      </c>
      <c r="AU221" s="5">
        <v>1.5</v>
      </c>
      <c r="AV221" s="5">
        <f>IFERROR(VLOOKUP(IFERROR(VLOOKUP(D221,Mapa_Similitud!$A$2:$B$2000,2,FALSE()),D221),Hoja1!$A$2:$K$1000,2,FALSE()),IFERROR(VLOOKUP(IFERROR(VLOOKUP(D221,Mapa_Similitud!$A$2:$B$2000,2,FALSE()),D221),Omega3_Referencia!$A$2:$E$100,3,FALSE()),0))</f>
        <v>0.02</v>
      </c>
      <c r="AW221" s="3" t="str">
        <f>IFERROR(VLOOKUP(IFERROR(VLOOKUP(D221,Mapa_Similitud!$A$2:$B$2000,2,FALSE()),D221),Hoja1!$A$2:$K$1000,3,FALSE()),IFERROR(VLOOKUP(IFERROR(VLOOKUP(D221,Mapa_Similitud!$A$2:$B$2000,2,FALSE()),D221),Omega3_Referencia!$A$2:$E$100,4,FALSE()),"N/A"))</f>
        <v>ALA/EPA</v>
      </c>
      <c r="AX221" s="5">
        <f>IFERROR(VLOOKUP(IFERROR(VLOOKUP(D221,Mapa_Similitud!$A$2:$B$2000,2,FALSE()),D221),Hoja1!$A$2:$K$1000,5,FALSE()),0)</f>
        <v>0</v>
      </c>
      <c r="AY221" s="5">
        <f>IFERROR(VLOOKUP(IFERROR(VLOOKUP(D221,Mapa_Similitud!$A$2:$B$2000,2,FALSE()),D221),Hoja1!$A$2:$K$1000,7,FALSE()),0)</f>
        <v>0</v>
      </c>
      <c r="AZ221" s="5">
        <f>IFERROR(VLOOKUP(IFERROR(VLOOKUP(D221,Mapa_Similitud!$A$2:$B$2000,2,FALSE()),D221),Hoja1!$A$2:$K$1000,9,FALSE()),0)</f>
        <v>0</v>
      </c>
      <c r="BA221" s="25">
        <f t="shared" si="87"/>
        <v>7.3529411764705885E-2</v>
      </c>
      <c r="BB221" s="25">
        <f t="shared" si="88"/>
        <v>0</v>
      </c>
      <c r="BC221" s="25">
        <f t="shared" si="89"/>
        <v>2.6260504201680672</v>
      </c>
      <c r="BD221" s="25">
        <f t="shared" si="90"/>
        <v>1.8907563025210082E-3</v>
      </c>
      <c r="BE221" s="25">
        <f t="shared" si="91"/>
        <v>0.98739495798319321</v>
      </c>
      <c r="BF221" s="25">
        <f t="shared" si="92"/>
        <v>3.6363636363636362E-2</v>
      </c>
      <c r="BG221" s="25">
        <f t="shared" si="93"/>
        <v>1.3736263736263736</v>
      </c>
      <c r="BH221" s="25">
        <f t="shared" si="94"/>
        <v>0.6875</v>
      </c>
      <c r="BI221" s="25">
        <f t="shared" si="95"/>
        <v>0.3032258064516129</v>
      </c>
      <c r="BJ221" s="25">
        <f t="shared" si="96"/>
        <v>1</v>
      </c>
      <c r="BK221" s="25">
        <f t="shared" si="97"/>
        <v>0</v>
      </c>
      <c r="BL221" s="25">
        <f t="shared" si="98"/>
        <v>0.30252100840336132</v>
      </c>
      <c r="BM221" s="25">
        <f t="shared" si="99"/>
        <v>0.25</v>
      </c>
      <c r="BN221" s="18" t="str">
        <f t="shared" si="105"/>
        <v>Baja fuente de proteína</v>
      </c>
      <c r="BO221" s="18" t="str">
        <f t="shared" si="106"/>
        <v>Baja fuente de fibra</v>
      </c>
      <c r="BP221" s="18" t="str">
        <f t="shared" si="107"/>
        <v>Alta fuente de calcio</v>
      </c>
      <c r="BQ221" s="18" t="str">
        <f t="shared" si="108"/>
        <v>Baja fuente de hierro</v>
      </c>
      <c r="BR221" s="18" t="str">
        <f t="shared" si="109"/>
        <v>Moderado en sodio</v>
      </c>
      <c r="BS221" s="6" t="str">
        <f t="shared" si="100"/>
        <v>Proinflamatorio</v>
      </c>
      <c r="BT221" s="6" t="str">
        <f t="shared" si="101"/>
        <v>Alto en grasas</v>
      </c>
      <c r="BU221" s="18" t="str">
        <f t="shared" si="110"/>
        <v>Equilibrio de líquidos ideal</v>
      </c>
      <c r="BV221" s="18" t="str">
        <f t="shared" si="111"/>
        <v>Media fuente de magnesio</v>
      </c>
      <c r="BW221" s="18" t="str">
        <f t="shared" si="112"/>
        <v>Sin aporte de Omega 3</v>
      </c>
      <c r="BX221" s="18" t="str">
        <f t="shared" si="113"/>
        <v>Libre de grasas trans</v>
      </c>
      <c r="BY221" s="18" t="str">
        <f t="shared" si="114"/>
        <v>Bajo poder antioxidante</v>
      </c>
      <c r="BZ221" s="6" t="str">
        <f t="shared" si="102"/>
        <v>Sin probióticos</v>
      </c>
      <c r="CA221" s="18" t="str">
        <f t="shared" si="115"/>
        <v>Poco inflamatorio</v>
      </c>
      <c r="CB221" s="18" t="str">
        <f>IF(ISNUMBER(SEARCH("miel", D221)), "No irritante (Uso condicionado SII)", IF(OR(J221&gt;0, ISNUMBER(SEARCH("cacao", D221)), ISNUMBER(SEARCH("chocolate puro", D221))), "Altamente irritante", IF(OR(AND(O221&gt;15, BI221&gt;1), ISNUMBER(SEARCH("chocolate", D221))), "Moderadamente irritante", "No irritante")))</f>
        <v>No irritante</v>
      </c>
      <c r="CC221" s="6" t="str">
        <f t="shared" si="103"/>
        <v>Balance de omegas favorable</v>
      </c>
    </row>
    <row r="222" spans="1:81" ht="15" customHeight="1" x14ac:dyDescent="0.3">
      <c r="A222" s="2">
        <f t="shared" si="104"/>
        <v>221</v>
      </c>
      <c r="B222" s="3" t="s">
        <v>323</v>
      </c>
      <c r="C222" s="3" t="s">
        <v>340</v>
      </c>
      <c r="D222" s="3" t="s">
        <v>341</v>
      </c>
      <c r="E222" s="3"/>
      <c r="F222" s="4">
        <v>2</v>
      </c>
      <c r="G222" s="5">
        <v>1</v>
      </c>
      <c r="H222" s="5">
        <v>125</v>
      </c>
      <c r="I222" s="5">
        <v>81.900000000000006</v>
      </c>
      <c r="J222" s="5">
        <v>0</v>
      </c>
      <c r="K222" s="5">
        <v>3.1</v>
      </c>
      <c r="L222" s="5">
        <v>4.5</v>
      </c>
      <c r="M222" s="5">
        <v>0</v>
      </c>
      <c r="N222" s="5">
        <v>4.5</v>
      </c>
      <c r="O222" s="5">
        <v>0</v>
      </c>
      <c r="P222" s="5">
        <v>0</v>
      </c>
      <c r="Q222" s="5">
        <v>10.5</v>
      </c>
      <c r="R222" s="5">
        <v>5.9</v>
      </c>
      <c r="S222" s="5">
        <v>3</v>
      </c>
      <c r="T222" s="5">
        <v>1.2</v>
      </c>
      <c r="U222" s="5">
        <v>34</v>
      </c>
      <c r="V222" s="5">
        <v>91.5</v>
      </c>
      <c r="W222" s="5">
        <v>88</v>
      </c>
      <c r="X222" s="5">
        <v>21</v>
      </c>
      <c r="Y222" s="5">
        <v>0.82</v>
      </c>
      <c r="Z222" s="5">
        <v>0.25</v>
      </c>
      <c r="AA222" s="5">
        <v>1</v>
      </c>
      <c r="AB222" s="5">
        <v>0.03</v>
      </c>
      <c r="AC222" s="5">
        <v>0.16</v>
      </c>
      <c r="AD222" s="5">
        <v>0.78</v>
      </c>
      <c r="AE222" s="5">
        <v>3.5000000000000003E-2</v>
      </c>
      <c r="AF222" s="5">
        <v>6</v>
      </c>
      <c r="AG222" s="5">
        <v>0.4</v>
      </c>
      <c r="AH222" s="5">
        <v>0.8</v>
      </c>
      <c r="AI222" s="5">
        <v>3.4</v>
      </c>
      <c r="AJ222" s="5">
        <v>1</v>
      </c>
      <c r="AK222" s="5">
        <v>101</v>
      </c>
      <c r="AL222" s="5">
        <v>85</v>
      </c>
      <c r="AM222" s="5">
        <v>0.11</v>
      </c>
      <c r="AN222" s="5">
        <v>2.9</v>
      </c>
      <c r="AO222" s="5">
        <v>0.3</v>
      </c>
      <c r="AP222" s="5">
        <v>11</v>
      </c>
      <c r="AQ222" s="5">
        <v>40</v>
      </c>
      <c r="AR222" s="5">
        <v>132</v>
      </c>
      <c r="AS222" s="5">
        <v>2.6</v>
      </c>
      <c r="AT222" s="5">
        <v>2.1999999999999999E-2</v>
      </c>
      <c r="AU222" s="5">
        <v>0</v>
      </c>
      <c r="AV222" s="5">
        <f>IFERROR(VLOOKUP(IFERROR(VLOOKUP(D222,Mapa_Similitud!$A$2:$B$2000,2,FALSE()),D222),Hoja1!$A$2:$K$1000,2,FALSE()),IFERROR(VLOOKUP(IFERROR(VLOOKUP(D222,Mapa_Similitud!$A$2:$B$2000,2,FALSE()),D222),Omega3_Referencia!$A$2:$E$100,3,FALSE()),0))</f>
        <v>0.1</v>
      </c>
      <c r="AW222" s="3" t="str">
        <f>IFERROR(VLOOKUP(IFERROR(VLOOKUP(D222,Mapa_Similitud!$A$2:$B$2000,2,FALSE()),D222),Hoja1!$A$2:$K$1000,3,FALSE()),IFERROR(VLOOKUP(IFERROR(VLOOKUP(D222,Mapa_Similitud!$A$2:$B$2000,2,FALSE()),D222),Omega3_Referencia!$A$2:$E$100,4,FALSE()),"N/A"))</f>
        <v>ALA/EPA</v>
      </c>
      <c r="AX222" s="5">
        <f>IFERROR(VLOOKUP(IFERROR(VLOOKUP(D222,Mapa_Similitud!$A$2:$B$2000,2,FALSE()),D222),Hoja1!$A$2:$K$1000,5,FALSE()),0)</f>
        <v>0.3</v>
      </c>
      <c r="AY222" s="5">
        <f>IFERROR(VLOOKUP(IFERROR(VLOOKUP(D222,Mapa_Similitud!$A$2:$B$2000,2,FALSE()),D222),Hoja1!$A$2:$K$1000,7,FALSE()),0)</f>
        <v>0</v>
      </c>
      <c r="AZ222" s="5">
        <f>IFERROR(VLOOKUP(IFERROR(VLOOKUP(D222,Mapa_Similitud!$A$2:$B$2000,2,FALSE()),D222),Hoja1!$A$2:$K$1000,9,FALSE()),0)</f>
        <v>0</v>
      </c>
      <c r="BA222" s="25">
        <f t="shared" si="87"/>
        <v>2.4799999999999999E-2</v>
      </c>
      <c r="BB222" s="25">
        <f t="shared" si="88"/>
        <v>0</v>
      </c>
      <c r="BC222" s="25">
        <f t="shared" si="89"/>
        <v>0.80800000000000005</v>
      </c>
      <c r="BD222" s="25">
        <f t="shared" si="90"/>
        <v>8.8000000000000003E-4</v>
      </c>
      <c r="BE222" s="25">
        <f t="shared" si="91"/>
        <v>0.32</v>
      </c>
      <c r="BF222" s="25">
        <f t="shared" si="92"/>
        <v>0.20338983050847456</v>
      </c>
      <c r="BG222" s="25">
        <f t="shared" si="93"/>
        <v>1.1882352941176471</v>
      </c>
      <c r="BH222" s="25">
        <f t="shared" si="94"/>
        <v>0.56190476190476191</v>
      </c>
      <c r="BI222" s="25">
        <f t="shared" si="95"/>
        <v>0.30303030303030304</v>
      </c>
      <c r="BJ222" s="25">
        <f t="shared" si="96"/>
        <v>1</v>
      </c>
      <c r="BK222" s="25">
        <f t="shared" si="97"/>
        <v>0</v>
      </c>
      <c r="BL222" s="25">
        <f t="shared" si="98"/>
        <v>0.75600000000000001</v>
      </c>
      <c r="BM222" s="25">
        <f t="shared" si="99"/>
        <v>8.7999999999999995E-2</v>
      </c>
      <c r="BN222" s="18" t="str">
        <f t="shared" si="105"/>
        <v>Baja fuente de proteína</v>
      </c>
      <c r="BO222" s="18" t="str">
        <f t="shared" si="106"/>
        <v>Baja fuente de fibra</v>
      </c>
      <c r="BP222" s="18" t="str">
        <f t="shared" si="107"/>
        <v>Media fuente de calcio</v>
      </c>
      <c r="BQ222" s="18" t="str">
        <f t="shared" si="108"/>
        <v>Baja fuente de hierro</v>
      </c>
      <c r="BR222" s="18" t="str">
        <f t="shared" si="109"/>
        <v>Bajo en sodio</v>
      </c>
      <c r="BS222" s="6" t="str">
        <f t="shared" si="100"/>
        <v>Proinflamatorio</v>
      </c>
      <c r="BT222" s="6" t="str">
        <f t="shared" si="101"/>
        <v>Muy alto en grasas</v>
      </c>
      <c r="BU222" s="18" t="str">
        <f t="shared" si="110"/>
        <v>Equilibrio de líquidos ideal</v>
      </c>
      <c r="BV222" s="18" t="str">
        <f t="shared" si="111"/>
        <v>Baja fuente de magnesio</v>
      </c>
      <c r="BW222" s="18" t="str">
        <f t="shared" si="112"/>
        <v>Sin aporte de Omega 3</v>
      </c>
      <c r="BX222" s="18" t="str">
        <f t="shared" si="113"/>
        <v>Contiene grasas trans</v>
      </c>
      <c r="BY222" s="18" t="str">
        <f t="shared" si="114"/>
        <v>Bajo poder antioxidante</v>
      </c>
      <c r="BZ222" s="6" t="str">
        <f t="shared" si="102"/>
        <v>Sin probióticos</v>
      </c>
      <c r="CA222" s="18" t="str">
        <f t="shared" si="115"/>
        <v>Moderadamente inflamatorio</v>
      </c>
      <c r="CB222" s="18" t="str">
        <f>IF(ISNUMBER(SEARCH("miel", D222)), "No irritante (Uso condicionado SII)", IF(OR(J222&gt;0, ISNUMBER(SEARCH("cacao", D222)), ISNUMBER(SEARCH("chocolate puro", D222))), "Altamente irritante", IF(OR(AND(O222&gt;15, BI222&gt;1), ISNUMBER(SEARCH("chocolate", D222))), "Moderadamente irritante", "No irritante")))</f>
        <v>No irritante</v>
      </c>
      <c r="CC222" s="6" t="str">
        <f t="shared" si="103"/>
        <v>Exceso relativo de Omega 6</v>
      </c>
    </row>
    <row r="223" spans="1:81" ht="15" customHeight="1" x14ac:dyDescent="0.3">
      <c r="A223" s="2">
        <f t="shared" si="104"/>
        <v>222</v>
      </c>
      <c r="B223" s="3" t="s">
        <v>323</v>
      </c>
      <c r="C223" s="3" t="s">
        <v>342</v>
      </c>
      <c r="D223" s="3" t="s">
        <v>343</v>
      </c>
      <c r="E223" s="3" t="s">
        <v>344</v>
      </c>
      <c r="F223" s="4">
        <v>3.5</v>
      </c>
      <c r="G223" s="5">
        <v>1</v>
      </c>
      <c r="H223" s="5">
        <v>375</v>
      </c>
      <c r="I223" s="5">
        <v>33</v>
      </c>
      <c r="J223" s="5">
        <v>0</v>
      </c>
      <c r="K223" s="5">
        <v>35.6</v>
      </c>
      <c r="L223" s="5">
        <v>0.06</v>
      </c>
      <c r="M223" s="5">
        <v>0</v>
      </c>
      <c r="N223" s="5">
        <v>5.6000000000000001E-2</v>
      </c>
      <c r="O223" s="5">
        <v>0</v>
      </c>
      <c r="P223" s="5">
        <v>0</v>
      </c>
      <c r="Q223" s="5">
        <v>25.8</v>
      </c>
      <c r="R223" s="5">
        <v>15.8</v>
      </c>
      <c r="S223" s="5">
        <v>6.8</v>
      </c>
      <c r="T223" s="5">
        <v>0.56000000000000005</v>
      </c>
      <c r="U223" s="5">
        <v>68</v>
      </c>
      <c r="V223" s="5">
        <v>360</v>
      </c>
      <c r="W223" s="5">
        <v>340</v>
      </c>
      <c r="X223" s="5">
        <v>116</v>
      </c>
      <c r="Y223" s="5">
        <v>0.65</v>
      </c>
      <c r="Z223" s="5">
        <v>0.9</v>
      </c>
      <c r="AA223" s="5">
        <v>3</v>
      </c>
      <c r="AB223" s="5">
        <v>0.02</v>
      </c>
      <c r="AC223" s="5">
        <v>0.62</v>
      </c>
      <c r="AD223" s="5">
        <v>7.7</v>
      </c>
      <c r="AE223" s="5">
        <v>9.6000000000000002E-2</v>
      </c>
      <c r="AF223" s="5">
        <v>20</v>
      </c>
      <c r="AG223" s="5">
        <v>1.5</v>
      </c>
      <c r="AH223" s="5">
        <v>0.53</v>
      </c>
      <c r="AI223" s="5">
        <v>3</v>
      </c>
      <c r="AJ223" s="5">
        <v>0</v>
      </c>
      <c r="AK223" s="5">
        <v>1178</v>
      </c>
      <c r="AL223" s="5">
        <v>743</v>
      </c>
      <c r="AM223" s="5">
        <v>1</v>
      </c>
      <c r="AN223" s="5">
        <v>2</v>
      </c>
      <c r="AO223" s="5">
        <v>3</v>
      </c>
      <c r="AP223" s="5">
        <v>41</v>
      </c>
      <c r="AQ223" s="5">
        <v>704</v>
      </c>
      <c r="AR223" s="5">
        <v>131</v>
      </c>
      <c r="AS223" s="5">
        <v>2.3E-2</v>
      </c>
      <c r="AT223" s="5">
        <v>0.36</v>
      </c>
      <c r="AU223" s="5">
        <v>23.9</v>
      </c>
      <c r="AV223" s="5">
        <f>IFERROR(VLOOKUP(IFERROR(VLOOKUP(D223,Mapa_Similitud!$A$2:$B$2000,2,FALSE()),D223),Hoja1!$A$2:$K$1000,2,FALSE()),IFERROR(VLOOKUP(IFERROR(VLOOKUP(D223,Mapa_Similitud!$A$2:$B$2000,2,FALSE()),D223),Omega3_Referencia!$A$2:$E$100,3,FALSE()),0))</f>
        <v>0.06</v>
      </c>
      <c r="AW223" s="3" t="str">
        <f>IFERROR(VLOOKUP(IFERROR(VLOOKUP(D223,Mapa_Similitud!$A$2:$B$2000,2,FALSE()),D223),Hoja1!$A$2:$K$1000,3,FALSE()),IFERROR(VLOOKUP(IFERROR(VLOOKUP(D223,Mapa_Similitud!$A$2:$B$2000,2,FALSE()),D223),Omega3_Referencia!$A$2:$E$100,4,FALSE()),"N/A"))</f>
        <v>ALA/EPA</v>
      </c>
      <c r="AX223" s="5">
        <f>IFERROR(VLOOKUP(IFERROR(VLOOKUP(D223,Mapa_Similitud!$A$2:$B$2000,2,FALSE()),D223),Hoja1!$A$2:$K$1000,5,FALSE()),0)</f>
        <v>0.1</v>
      </c>
      <c r="AY223" s="5">
        <f>IFERROR(VLOOKUP(IFERROR(VLOOKUP(D223,Mapa_Similitud!$A$2:$B$2000,2,FALSE()),D223),Hoja1!$A$2:$K$1000,7,FALSE()),0)</f>
        <v>0</v>
      </c>
      <c r="AZ223" s="5">
        <f>IFERROR(VLOOKUP(IFERROR(VLOOKUP(D223,Mapa_Similitud!$A$2:$B$2000,2,FALSE()),D223),Hoja1!$A$2:$K$1000,9,FALSE()),0)</f>
        <v>0</v>
      </c>
      <c r="BA223" s="25">
        <f t="shared" si="87"/>
        <v>9.4933333333333342E-2</v>
      </c>
      <c r="BB223" s="25">
        <f t="shared" si="88"/>
        <v>0</v>
      </c>
      <c r="BC223" s="25">
        <f t="shared" si="89"/>
        <v>3.1413333333333333</v>
      </c>
      <c r="BD223" s="25">
        <f t="shared" si="90"/>
        <v>2.6666666666666666E-3</v>
      </c>
      <c r="BE223" s="25">
        <f t="shared" si="91"/>
        <v>1.8773333333333333</v>
      </c>
      <c r="BF223" s="25">
        <f t="shared" si="92"/>
        <v>3.5443037974683546E-2</v>
      </c>
      <c r="BG223" s="25">
        <f t="shared" si="93"/>
        <v>1.5854643337819649</v>
      </c>
      <c r="BH223" s="25">
        <f t="shared" si="94"/>
        <v>0.61240310077519378</v>
      </c>
      <c r="BI223" s="25">
        <f t="shared" si="95"/>
        <v>5.3740458015267176</v>
      </c>
      <c r="BJ223" s="25">
        <f t="shared" si="96"/>
        <v>0.93333333333333335</v>
      </c>
      <c r="BK223" s="25">
        <f t="shared" si="97"/>
        <v>0</v>
      </c>
      <c r="BL223" s="25">
        <f t="shared" si="98"/>
        <v>0.61920000000000008</v>
      </c>
      <c r="BM223" s="25">
        <f t="shared" si="99"/>
        <v>0.10933333333333334</v>
      </c>
      <c r="BN223" s="18" t="str">
        <f t="shared" si="105"/>
        <v>Baja fuente de proteína</v>
      </c>
      <c r="BO223" s="18" t="str">
        <f t="shared" si="106"/>
        <v>Baja fuente de fibra</v>
      </c>
      <c r="BP223" s="18" t="str">
        <f t="shared" si="107"/>
        <v>Alta fuente de calcio</v>
      </c>
      <c r="BQ223" s="18" t="str">
        <f t="shared" si="108"/>
        <v>Baja fuente de hierro</v>
      </c>
      <c r="BR223" s="18" t="str">
        <f t="shared" si="109"/>
        <v>Alto en sodio</v>
      </c>
      <c r="BS223" s="6" t="str">
        <f t="shared" si="100"/>
        <v>Proinflamatorio</v>
      </c>
      <c r="BT223" s="6" t="str">
        <f t="shared" si="101"/>
        <v>Muy alto en grasas</v>
      </c>
      <c r="BU223" s="18" t="str">
        <f t="shared" si="110"/>
        <v>Alto riesgo de retención de líquidos</v>
      </c>
      <c r="BV223" s="18" t="str">
        <f t="shared" si="111"/>
        <v>Baja fuente de magnesio</v>
      </c>
      <c r="BW223" s="18" t="str">
        <f t="shared" si="112"/>
        <v>Sin aporte de Omega 3</v>
      </c>
      <c r="BX223" s="18" t="str">
        <f t="shared" si="113"/>
        <v>Contiene grasas trans</v>
      </c>
      <c r="BY223" s="18" t="str">
        <f t="shared" si="114"/>
        <v>Bajo poder antioxidante</v>
      </c>
      <c r="BZ223" s="6" t="str">
        <f t="shared" si="102"/>
        <v>Sin probióticos</v>
      </c>
      <c r="CA223" s="18" t="str">
        <f t="shared" si="115"/>
        <v>Moderadamente inflamatorio</v>
      </c>
      <c r="CB223" s="18" t="str">
        <f>IF(ISNUMBER(SEARCH("miel", D223)), "No irritante (Uso condicionado SII)", IF(OR(J223&gt;0, ISNUMBER(SEARCH("cacao", D223)), ISNUMBER(SEARCH("chocolate puro", D223))), "Altamente irritante", IF(OR(AND(O223&gt;15, BI223&gt;1), ISNUMBER(SEARCH("chocolate", D223))), "Moderadamente irritante", "No irritante")))</f>
        <v>No irritante</v>
      </c>
      <c r="CC223" s="6" t="str">
        <f t="shared" si="103"/>
        <v>Exceso relativo de Omega 6</v>
      </c>
    </row>
    <row r="224" spans="1:81" ht="15" customHeight="1" x14ac:dyDescent="0.3">
      <c r="A224" s="2">
        <f t="shared" si="104"/>
        <v>223</v>
      </c>
      <c r="B224" s="3" t="s">
        <v>323</v>
      </c>
      <c r="C224" s="3" t="s">
        <v>342</v>
      </c>
      <c r="D224" s="3" t="s">
        <v>345</v>
      </c>
      <c r="E224" s="3"/>
      <c r="F224" s="4">
        <v>10</v>
      </c>
      <c r="G224" s="5">
        <v>1</v>
      </c>
      <c r="H224" s="5">
        <v>353</v>
      </c>
      <c r="I224" s="5">
        <v>43.6</v>
      </c>
      <c r="J224" s="5">
        <v>0</v>
      </c>
      <c r="K224" s="5">
        <v>21.1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29.8</v>
      </c>
      <c r="R224" s="5">
        <v>17.600000000000001</v>
      </c>
      <c r="S224" s="5">
        <v>8.1999999999999993</v>
      </c>
      <c r="T224" s="5">
        <v>0.77</v>
      </c>
      <c r="U224" s="5">
        <v>88</v>
      </c>
      <c r="V224" s="5">
        <v>290</v>
      </c>
      <c r="W224" s="5">
        <v>260</v>
      </c>
      <c r="X224" s="5">
        <v>180</v>
      </c>
      <c r="Y224" s="5">
        <v>0.23</v>
      </c>
      <c r="Z224" s="5">
        <v>0.77</v>
      </c>
      <c r="AA224" s="5">
        <v>2.5</v>
      </c>
      <c r="AB224" s="5">
        <v>4.2999999999999997E-2</v>
      </c>
      <c r="AC224" s="5">
        <v>0.5</v>
      </c>
      <c r="AD224" s="5">
        <v>3.5</v>
      </c>
      <c r="AE224" s="5">
        <v>0.18</v>
      </c>
      <c r="AF224" s="5">
        <v>40</v>
      </c>
      <c r="AG224" s="5">
        <v>0.59</v>
      </c>
      <c r="AH224" s="5">
        <v>2</v>
      </c>
      <c r="AI224" s="5">
        <v>3</v>
      </c>
      <c r="AJ224" s="5">
        <v>0</v>
      </c>
      <c r="AK224" s="5">
        <v>526</v>
      </c>
      <c r="AL224" s="5">
        <v>362</v>
      </c>
      <c r="AM224" s="5">
        <v>0.18</v>
      </c>
      <c r="AN224" s="5">
        <v>9</v>
      </c>
      <c r="AO224" s="5">
        <v>4.0999999999999996</v>
      </c>
      <c r="AP224" s="5">
        <v>39</v>
      </c>
      <c r="AQ224" s="5">
        <v>936</v>
      </c>
      <c r="AR224" s="5">
        <v>128</v>
      </c>
      <c r="AS224" s="5">
        <v>0.19</v>
      </c>
      <c r="AT224" s="5">
        <v>0.14000000000000001</v>
      </c>
      <c r="AU224" s="5">
        <v>2</v>
      </c>
      <c r="AV224" s="5">
        <f>IFERROR(VLOOKUP(IFERROR(VLOOKUP(D224,Mapa_Similitud!$A$2:$B$2000,2,FALSE()),D224),Hoja1!$A$2:$K$1000,2,FALSE()),IFERROR(VLOOKUP(IFERROR(VLOOKUP(D224,Mapa_Similitud!$A$2:$B$2000,2,FALSE()),D224),Omega3_Referencia!$A$2:$E$100,3,FALSE()),0))</f>
        <v>0.1</v>
      </c>
      <c r="AW224" s="3" t="str">
        <f>IFERROR(VLOOKUP(IFERROR(VLOOKUP(D224,Mapa_Similitud!$A$2:$B$2000,2,FALSE()),D224),Hoja1!$A$2:$K$1000,3,FALSE()),IFERROR(VLOOKUP(IFERROR(VLOOKUP(D224,Mapa_Similitud!$A$2:$B$2000,2,FALSE()),D224),Omega3_Referencia!$A$2:$E$100,4,FALSE()),"N/A"))</f>
        <v>ALA/EPA</v>
      </c>
      <c r="AX224" s="5">
        <f>IFERROR(VLOOKUP(IFERROR(VLOOKUP(D224,Mapa_Similitud!$A$2:$B$2000,2,FALSE()),D224),Hoja1!$A$2:$K$1000,5,FALSE()),0)</f>
        <v>0.3</v>
      </c>
      <c r="AY224" s="5">
        <f>IFERROR(VLOOKUP(IFERROR(VLOOKUP(D224,Mapa_Similitud!$A$2:$B$2000,2,FALSE()),D224),Hoja1!$A$2:$K$1000,7,FALSE()),0)</f>
        <v>0</v>
      </c>
      <c r="AZ224" s="5">
        <f>IFERROR(VLOOKUP(IFERROR(VLOOKUP(D224,Mapa_Similitud!$A$2:$B$2000,2,FALSE()),D224),Hoja1!$A$2:$K$1000,9,FALSE()),0)</f>
        <v>0</v>
      </c>
      <c r="BA224" s="25">
        <f t="shared" si="87"/>
        <v>5.977337110481587E-2</v>
      </c>
      <c r="BB224" s="25">
        <f t="shared" si="88"/>
        <v>0</v>
      </c>
      <c r="BC224" s="25">
        <f t="shared" si="89"/>
        <v>1.4900849858356942</v>
      </c>
      <c r="BD224" s="25">
        <f t="shared" si="90"/>
        <v>5.099150141643059E-4</v>
      </c>
      <c r="BE224" s="25">
        <f t="shared" si="91"/>
        <v>2.6515580736543911</v>
      </c>
      <c r="BF224" s="25">
        <f t="shared" si="92"/>
        <v>4.3749999999999997E-2</v>
      </c>
      <c r="BG224" s="25">
        <f t="shared" si="93"/>
        <v>1.4530386740331491</v>
      </c>
      <c r="BH224" s="25">
        <f t="shared" si="94"/>
        <v>0.59060402684563762</v>
      </c>
      <c r="BI224" s="25">
        <f t="shared" si="95"/>
        <v>7.3125</v>
      </c>
      <c r="BJ224" s="25">
        <f t="shared" si="96"/>
        <v>0</v>
      </c>
      <c r="BK224" s="25">
        <f t="shared" si="97"/>
        <v>0</v>
      </c>
      <c r="BL224" s="25">
        <f t="shared" si="98"/>
        <v>0.7597733711048158</v>
      </c>
      <c r="BM224" s="25">
        <f t="shared" si="99"/>
        <v>0.11048158640226628</v>
      </c>
      <c r="BN224" s="18" t="str">
        <f t="shared" si="105"/>
        <v>Baja fuente de proteína</v>
      </c>
      <c r="BO224" s="18" t="str">
        <f t="shared" si="106"/>
        <v>Baja fuente de fibra</v>
      </c>
      <c r="BP224" s="18" t="str">
        <f t="shared" si="107"/>
        <v>Media fuente de calcio</v>
      </c>
      <c r="BQ224" s="18" t="str">
        <f t="shared" si="108"/>
        <v>Baja fuente de hierro</v>
      </c>
      <c r="BR224" s="18" t="str">
        <f t="shared" si="109"/>
        <v>Muy alto en sodio</v>
      </c>
      <c r="BS224" s="6" t="str">
        <f t="shared" si="100"/>
        <v>Proinflamatorio</v>
      </c>
      <c r="BT224" s="6" t="str">
        <f t="shared" si="101"/>
        <v>Muy alto en grasas</v>
      </c>
      <c r="BU224" s="18" t="str">
        <f t="shared" si="110"/>
        <v>Alto riesgo de retención de líquidos</v>
      </c>
      <c r="BV224" s="18" t="str">
        <f t="shared" si="111"/>
        <v>Baja fuente de magnesio</v>
      </c>
      <c r="BW224" s="18" t="str">
        <f t="shared" si="112"/>
        <v>Sin aporte de Omega 3</v>
      </c>
      <c r="BX224" s="18" t="str">
        <f t="shared" si="113"/>
        <v>Contiene grasas trans</v>
      </c>
      <c r="BY224" s="18" t="str">
        <f t="shared" si="114"/>
        <v>Bajo poder antioxidante</v>
      </c>
      <c r="BZ224" s="6" t="str">
        <f t="shared" si="102"/>
        <v>Sin probióticos</v>
      </c>
      <c r="CA224" s="18" t="str">
        <f t="shared" si="115"/>
        <v>Moderadamente inflamatorio</v>
      </c>
      <c r="CB224" s="18" t="str">
        <f>IF(ISNUMBER(SEARCH("miel", D224)), "No irritante (Uso condicionado SII)", IF(OR(J224&gt;0, ISNUMBER(SEARCH("cacao", D224)), ISNUMBER(SEARCH("chocolate puro", D224))), "Altamente irritante", IF(OR(AND(O224&gt;15, BI224&gt;1), ISNUMBER(SEARCH("chocolate", D224))), "Moderadamente irritante", "No irritante")))</f>
        <v>No irritante</v>
      </c>
      <c r="CC224" s="6" t="str">
        <f t="shared" si="103"/>
        <v>Exceso relativo de Omega 6</v>
      </c>
    </row>
    <row r="225" spans="1:81" ht="15" customHeight="1" x14ac:dyDescent="0.3">
      <c r="A225" s="2">
        <f t="shared" si="104"/>
        <v>224</v>
      </c>
      <c r="B225" s="3" t="s">
        <v>323</v>
      </c>
      <c r="C225" s="3" t="s">
        <v>342</v>
      </c>
      <c r="D225" s="3" t="s">
        <v>346</v>
      </c>
      <c r="E225" s="3"/>
      <c r="F225" s="4">
        <v>6</v>
      </c>
      <c r="G225" s="5">
        <v>1</v>
      </c>
      <c r="H225" s="5">
        <v>393</v>
      </c>
      <c r="I225" s="5">
        <v>37.700000000000003</v>
      </c>
      <c r="J225" s="5">
        <v>0</v>
      </c>
      <c r="K225" s="5">
        <v>25.4</v>
      </c>
      <c r="L225" s="5">
        <v>0.36</v>
      </c>
      <c r="M225" s="5">
        <v>0</v>
      </c>
      <c r="N225" s="5">
        <v>0.36</v>
      </c>
      <c r="O225" s="5">
        <v>0</v>
      </c>
      <c r="P225" s="5">
        <v>0</v>
      </c>
      <c r="Q225" s="5">
        <v>32.200000000000003</v>
      </c>
      <c r="R225" s="5">
        <v>19.600000000000001</v>
      </c>
      <c r="S225" s="5">
        <v>8.1</v>
      </c>
      <c r="T225" s="5">
        <v>0.74</v>
      </c>
      <c r="U225" s="5">
        <v>84</v>
      </c>
      <c r="V225" s="5">
        <v>440</v>
      </c>
      <c r="W225" s="5">
        <v>390</v>
      </c>
      <c r="X225" s="5">
        <v>300</v>
      </c>
      <c r="Y225" s="5">
        <v>0.34</v>
      </c>
      <c r="Z225" s="5">
        <v>1</v>
      </c>
      <c r="AA225" s="5">
        <v>2.2999999999999998</v>
      </c>
      <c r="AB225" s="5">
        <v>3.6999999999999998E-2</v>
      </c>
      <c r="AC225" s="5">
        <v>0.44</v>
      </c>
      <c r="AD225" s="5">
        <v>4.3</v>
      </c>
      <c r="AE225" s="5">
        <v>5.5E-2</v>
      </c>
      <c r="AF225" s="5">
        <v>19</v>
      </c>
      <c r="AG225" s="5">
        <v>0.96</v>
      </c>
      <c r="AH225" s="5">
        <v>0.28999999999999998</v>
      </c>
      <c r="AI225" s="5">
        <v>1.9</v>
      </c>
      <c r="AJ225" s="5">
        <v>0</v>
      </c>
      <c r="AK225" s="5">
        <v>752</v>
      </c>
      <c r="AL225" s="5">
        <v>489</v>
      </c>
      <c r="AM225" s="5">
        <v>0.59</v>
      </c>
      <c r="AN225" s="5">
        <v>39</v>
      </c>
      <c r="AO225" s="5">
        <v>3.9</v>
      </c>
      <c r="AP225" s="5">
        <v>30</v>
      </c>
      <c r="AQ225" s="5">
        <v>675</v>
      </c>
      <c r="AR225" s="5">
        <v>102</v>
      </c>
      <c r="AS225" s="5">
        <v>1.7000000000000001E-2</v>
      </c>
      <c r="AT225" s="5">
        <v>0.08</v>
      </c>
      <c r="AU225" s="5">
        <v>11</v>
      </c>
      <c r="AV225" s="5">
        <f>IFERROR(VLOOKUP(IFERROR(VLOOKUP(D225,Mapa_Similitud!$A$2:$B$2000,2,FALSE()),D225),Hoja1!$A$2:$K$1000,2,FALSE()),IFERROR(VLOOKUP(IFERROR(VLOOKUP(D225,Mapa_Similitud!$A$2:$B$2000,2,FALSE()),D225),Omega3_Referencia!$A$2:$E$100,3,FALSE()),0))</f>
        <v>0.1</v>
      </c>
      <c r="AW225" s="3" t="str">
        <f>IFERROR(VLOOKUP(IFERROR(VLOOKUP(D225,Mapa_Similitud!$A$2:$B$2000,2,FALSE()),D225),Hoja1!$A$2:$K$1000,3,FALSE()),IFERROR(VLOOKUP(IFERROR(VLOOKUP(D225,Mapa_Similitud!$A$2:$B$2000,2,FALSE()),D225),Omega3_Referencia!$A$2:$E$100,4,FALSE()),"N/A"))</f>
        <v>ALA/EPA</v>
      </c>
      <c r="AX225" s="5">
        <f>IFERROR(VLOOKUP(IFERROR(VLOOKUP(D225,Mapa_Similitud!$A$2:$B$2000,2,FALSE()),D225),Hoja1!$A$2:$K$1000,5,FALSE()),0)</f>
        <v>0.3</v>
      </c>
      <c r="AY225" s="5">
        <f>IFERROR(VLOOKUP(IFERROR(VLOOKUP(D225,Mapa_Similitud!$A$2:$B$2000,2,FALSE()),D225),Hoja1!$A$2:$K$1000,7,FALSE()),0)</f>
        <v>0</v>
      </c>
      <c r="AZ225" s="5">
        <f>IFERROR(VLOOKUP(IFERROR(VLOOKUP(D225,Mapa_Similitud!$A$2:$B$2000,2,FALSE()),D225),Hoja1!$A$2:$K$1000,9,FALSE()),0)</f>
        <v>0</v>
      </c>
      <c r="BA225" s="25">
        <f t="shared" si="87"/>
        <v>6.463104325699745E-2</v>
      </c>
      <c r="BB225" s="25">
        <f t="shared" si="88"/>
        <v>0</v>
      </c>
      <c r="BC225" s="25">
        <f t="shared" si="89"/>
        <v>1.9134860050890585</v>
      </c>
      <c r="BD225" s="25">
        <f t="shared" si="90"/>
        <v>1.5012722646310431E-3</v>
      </c>
      <c r="BE225" s="25">
        <f t="shared" si="91"/>
        <v>1.717557251908397</v>
      </c>
      <c r="BF225" s="25">
        <f t="shared" si="92"/>
        <v>3.7755102040816321E-2</v>
      </c>
      <c r="BG225" s="25">
        <f t="shared" si="93"/>
        <v>1.5378323108384457</v>
      </c>
      <c r="BH225" s="25">
        <f t="shared" si="94"/>
        <v>0.60869565217391308</v>
      </c>
      <c r="BI225" s="25">
        <f t="shared" si="95"/>
        <v>6.617647058823529</v>
      </c>
      <c r="BJ225" s="25">
        <f t="shared" si="96"/>
        <v>1</v>
      </c>
      <c r="BK225" s="25">
        <f t="shared" si="97"/>
        <v>0</v>
      </c>
      <c r="BL225" s="25">
        <f t="shared" si="98"/>
        <v>0.73740458015267174</v>
      </c>
      <c r="BM225" s="25">
        <f t="shared" si="99"/>
        <v>7.6335877862595422E-2</v>
      </c>
      <c r="BN225" s="18" t="str">
        <f t="shared" si="105"/>
        <v>Baja fuente de proteína</v>
      </c>
      <c r="BO225" s="18" t="str">
        <f t="shared" si="106"/>
        <v>Baja fuente de fibra</v>
      </c>
      <c r="BP225" s="18" t="str">
        <f t="shared" si="107"/>
        <v>Alta fuente de calcio</v>
      </c>
      <c r="BQ225" s="18" t="str">
        <f t="shared" si="108"/>
        <v>Baja fuente de hierro</v>
      </c>
      <c r="BR225" s="18" t="str">
        <f t="shared" si="109"/>
        <v>Alto en sodio</v>
      </c>
      <c r="BS225" s="6" t="str">
        <f t="shared" si="100"/>
        <v>Proinflamatorio</v>
      </c>
      <c r="BT225" s="6" t="str">
        <f t="shared" si="101"/>
        <v>Muy alto en grasas</v>
      </c>
      <c r="BU225" s="18" t="str">
        <f t="shared" si="110"/>
        <v>Alto riesgo de retención de líquidos</v>
      </c>
      <c r="BV225" s="18" t="str">
        <f t="shared" si="111"/>
        <v>Baja fuente de magnesio</v>
      </c>
      <c r="BW225" s="18" t="str">
        <f t="shared" si="112"/>
        <v>Sin aporte de Omega 3</v>
      </c>
      <c r="BX225" s="18" t="str">
        <f t="shared" si="113"/>
        <v>Contiene grasas trans</v>
      </c>
      <c r="BY225" s="18" t="str">
        <f t="shared" si="114"/>
        <v>Bajo poder antioxidante</v>
      </c>
      <c r="BZ225" s="6" t="str">
        <f t="shared" si="102"/>
        <v>Sin probióticos</v>
      </c>
      <c r="CA225" s="18" t="str">
        <f t="shared" si="115"/>
        <v>Moderadamente inflamatorio</v>
      </c>
      <c r="CB225" s="18" t="str">
        <f>IF(ISNUMBER(SEARCH("miel", D225)), "No irritante (Uso condicionado SII)", IF(OR(J225&gt;0, ISNUMBER(SEARCH("cacao", D225)), ISNUMBER(SEARCH("chocolate puro", D225))), "Altamente irritante", IF(OR(AND(O225&gt;15, BI225&gt;1), ISNUMBER(SEARCH("chocolate", D225))), "Moderadamente irritante", "No irritante")))</f>
        <v>No irritante</v>
      </c>
      <c r="CC225" s="6" t="str">
        <f t="shared" si="103"/>
        <v>Exceso relativo de Omega 6</v>
      </c>
    </row>
    <row r="226" spans="1:81" ht="15" customHeight="1" x14ac:dyDescent="0.3">
      <c r="A226" s="2">
        <f t="shared" si="104"/>
        <v>225</v>
      </c>
      <c r="B226" s="3" t="s">
        <v>323</v>
      </c>
      <c r="C226" s="3" t="s">
        <v>342</v>
      </c>
      <c r="D226" s="3" t="s">
        <v>347</v>
      </c>
      <c r="E226" s="3" t="s">
        <v>348</v>
      </c>
      <c r="F226" s="4">
        <v>2.8</v>
      </c>
      <c r="G226" s="5">
        <v>1</v>
      </c>
      <c r="H226" s="5">
        <v>375</v>
      </c>
      <c r="I226" s="5">
        <v>33</v>
      </c>
      <c r="J226" s="5">
        <v>0</v>
      </c>
      <c r="K226" s="5">
        <v>35.6</v>
      </c>
      <c r="L226" s="5">
        <v>0.06</v>
      </c>
      <c r="M226" s="5">
        <v>0</v>
      </c>
      <c r="N226" s="5">
        <v>5.6000000000000001E-2</v>
      </c>
      <c r="O226" s="5">
        <v>0</v>
      </c>
      <c r="P226" s="5">
        <v>0</v>
      </c>
      <c r="Q226" s="5">
        <v>25.8</v>
      </c>
      <c r="R226" s="5">
        <v>15.8</v>
      </c>
      <c r="S226" s="5">
        <v>6.8</v>
      </c>
      <c r="T226" s="5">
        <v>0.56000000000000005</v>
      </c>
      <c r="U226" s="5">
        <v>68</v>
      </c>
      <c r="V226" s="5">
        <v>360</v>
      </c>
      <c r="W226" s="5">
        <v>340</v>
      </c>
      <c r="X226" s="5">
        <v>116</v>
      </c>
      <c r="Y226" s="5">
        <v>0.65</v>
      </c>
      <c r="Z226" s="5">
        <v>0.9</v>
      </c>
      <c r="AA226" s="5">
        <v>3</v>
      </c>
      <c r="AB226" s="5">
        <v>0.02</v>
      </c>
      <c r="AC226" s="5">
        <v>0.62</v>
      </c>
      <c r="AD226" s="5">
        <v>7.7</v>
      </c>
      <c r="AE226" s="5">
        <v>9.6000000000000002E-2</v>
      </c>
      <c r="AF226" s="5">
        <v>20</v>
      </c>
      <c r="AG226" s="5">
        <v>1.5</v>
      </c>
      <c r="AH226" s="5">
        <v>0.53</v>
      </c>
      <c r="AI226" s="5">
        <v>3</v>
      </c>
      <c r="AJ226" s="5">
        <v>0</v>
      </c>
      <c r="AK226" s="5">
        <v>1178</v>
      </c>
      <c r="AL226" s="5">
        <v>743</v>
      </c>
      <c r="AM226" s="5">
        <v>1</v>
      </c>
      <c r="AN226" s="5">
        <v>2</v>
      </c>
      <c r="AO226" s="5">
        <v>3</v>
      </c>
      <c r="AP226" s="5">
        <v>41</v>
      </c>
      <c r="AQ226" s="5">
        <v>704</v>
      </c>
      <c r="AR226" s="5">
        <v>131</v>
      </c>
      <c r="AS226" s="5">
        <v>2.3E-2</v>
      </c>
      <c r="AT226" s="5">
        <v>0.36</v>
      </c>
      <c r="AU226" s="5">
        <v>23.9</v>
      </c>
      <c r="AV226" s="5">
        <f>IFERROR(VLOOKUP(IFERROR(VLOOKUP(D226,Mapa_Similitud!$A$2:$B$2000,2,FALSE()),D226),Hoja1!$A$2:$K$1000,2,FALSE()),IFERROR(VLOOKUP(IFERROR(VLOOKUP(D226,Mapa_Similitud!$A$2:$B$2000,2,FALSE()),D226),Omega3_Referencia!$A$2:$E$100,3,FALSE()),0))</f>
        <v>0.06</v>
      </c>
      <c r="AW226" s="3" t="str">
        <f>IFERROR(VLOOKUP(IFERROR(VLOOKUP(D226,Mapa_Similitud!$A$2:$B$2000,2,FALSE()),D226),Hoja1!$A$2:$K$1000,3,FALSE()),IFERROR(VLOOKUP(IFERROR(VLOOKUP(D226,Mapa_Similitud!$A$2:$B$2000,2,FALSE()),D226),Omega3_Referencia!$A$2:$E$100,4,FALSE()),"N/A"))</f>
        <v>ALA/EPA</v>
      </c>
      <c r="AX226" s="5">
        <f>IFERROR(VLOOKUP(IFERROR(VLOOKUP(D226,Mapa_Similitud!$A$2:$B$2000,2,FALSE()),D226),Hoja1!$A$2:$K$1000,5,FALSE()),0)</f>
        <v>0.2</v>
      </c>
      <c r="AY226" s="5">
        <f>IFERROR(VLOOKUP(IFERROR(VLOOKUP(D226,Mapa_Similitud!$A$2:$B$2000,2,FALSE()),D226),Hoja1!$A$2:$K$1000,7,FALSE()),0)</f>
        <v>0</v>
      </c>
      <c r="AZ226" s="5">
        <f>IFERROR(VLOOKUP(IFERROR(VLOOKUP(D226,Mapa_Similitud!$A$2:$B$2000,2,FALSE()),D226),Hoja1!$A$2:$K$1000,9,FALSE()),0)</f>
        <v>0</v>
      </c>
      <c r="BA226" s="25">
        <f t="shared" si="87"/>
        <v>9.4933333333333342E-2</v>
      </c>
      <c r="BB226" s="25">
        <f t="shared" si="88"/>
        <v>0</v>
      </c>
      <c r="BC226" s="25">
        <f t="shared" si="89"/>
        <v>3.1413333333333333</v>
      </c>
      <c r="BD226" s="25">
        <f t="shared" si="90"/>
        <v>2.6666666666666666E-3</v>
      </c>
      <c r="BE226" s="25">
        <f t="shared" si="91"/>
        <v>1.8773333333333333</v>
      </c>
      <c r="BF226" s="25">
        <f t="shared" si="92"/>
        <v>3.5443037974683546E-2</v>
      </c>
      <c r="BG226" s="25">
        <f t="shared" si="93"/>
        <v>1.5854643337819649</v>
      </c>
      <c r="BH226" s="25">
        <f t="shared" si="94"/>
        <v>0.61240310077519378</v>
      </c>
      <c r="BI226" s="25">
        <f t="shared" si="95"/>
        <v>5.3740458015267176</v>
      </c>
      <c r="BJ226" s="25">
        <f t="shared" si="96"/>
        <v>0.93333333333333335</v>
      </c>
      <c r="BK226" s="25">
        <f t="shared" si="97"/>
        <v>0</v>
      </c>
      <c r="BL226" s="25">
        <f t="shared" si="98"/>
        <v>0.61920000000000008</v>
      </c>
      <c r="BM226" s="25">
        <f t="shared" si="99"/>
        <v>0.10933333333333334</v>
      </c>
      <c r="BN226" s="18" t="str">
        <f t="shared" si="105"/>
        <v>Baja fuente de proteína</v>
      </c>
      <c r="BO226" s="18" t="str">
        <f t="shared" si="106"/>
        <v>Baja fuente de fibra</v>
      </c>
      <c r="BP226" s="18" t="str">
        <f t="shared" si="107"/>
        <v>Alta fuente de calcio</v>
      </c>
      <c r="BQ226" s="18" t="str">
        <f t="shared" si="108"/>
        <v>Baja fuente de hierro</v>
      </c>
      <c r="BR226" s="18" t="str">
        <f t="shared" si="109"/>
        <v>Alto en sodio</v>
      </c>
      <c r="BS226" s="6" t="str">
        <f t="shared" si="100"/>
        <v>Proinflamatorio</v>
      </c>
      <c r="BT226" s="6" t="str">
        <f t="shared" si="101"/>
        <v>Muy alto en grasas</v>
      </c>
      <c r="BU226" s="18" t="str">
        <f t="shared" si="110"/>
        <v>Alto riesgo de retención de líquidos</v>
      </c>
      <c r="BV226" s="18" t="str">
        <f t="shared" si="111"/>
        <v>Baja fuente de magnesio</v>
      </c>
      <c r="BW226" s="18" t="str">
        <f t="shared" si="112"/>
        <v>Sin aporte de Omega 3</v>
      </c>
      <c r="BX226" s="18" t="str">
        <f t="shared" si="113"/>
        <v>Contiene grasas trans</v>
      </c>
      <c r="BY226" s="18" t="str">
        <f t="shared" si="114"/>
        <v>Bajo poder antioxidante</v>
      </c>
      <c r="BZ226" s="6" t="str">
        <f t="shared" si="102"/>
        <v>Sin probióticos</v>
      </c>
      <c r="CA226" s="18" t="str">
        <f t="shared" si="115"/>
        <v>Moderadamente inflamatorio</v>
      </c>
      <c r="CB226" s="18" t="str">
        <f>IF(ISNUMBER(SEARCH("miel", D226)), "No irritante (Uso condicionado SII)", IF(OR(J226&gt;0, ISNUMBER(SEARCH("cacao", D226)), ISNUMBER(SEARCH("chocolate puro", D226))), "Altamente irritante", IF(OR(AND(O226&gt;15, BI226&gt;1), ISNUMBER(SEARCH("chocolate", D226))), "Moderadamente irritante", "No irritante")))</f>
        <v>No irritante</v>
      </c>
      <c r="CC226" s="6" t="str">
        <f t="shared" si="103"/>
        <v>Exceso relativo de Omega 6</v>
      </c>
    </row>
    <row r="227" spans="1:81" ht="15" customHeight="1" x14ac:dyDescent="0.3">
      <c r="A227" s="2">
        <f t="shared" si="104"/>
        <v>226</v>
      </c>
      <c r="B227" s="3" t="s">
        <v>323</v>
      </c>
      <c r="C227" s="3" t="s">
        <v>342</v>
      </c>
      <c r="D227" s="3" t="s">
        <v>349</v>
      </c>
      <c r="E227" s="3"/>
      <c r="F227" s="4">
        <v>10</v>
      </c>
      <c r="G227" s="5">
        <v>1</v>
      </c>
      <c r="H227" s="5">
        <v>467</v>
      </c>
      <c r="I227" s="5">
        <v>29.1</v>
      </c>
      <c r="J227" s="5">
        <v>0</v>
      </c>
      <c r="K227" s="5">
        <v>27.6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39.6</v>
      </c>
      <c r="R227" s="5">
        <v>25.4</v>
      </c>
      <c r="S227" s="5">
        <v>10.6</v>
      </c>
      <c r="T227" s="5">
        <v>2.4</v>
      </c>
      <c r="U227" s="5">
        <v>100</v>
      </c>
      <c r="V227" s="5">
        <v>486</v>
      </c>
      <c r="W227" s="5">
        <v>478</v>
      </c>
      <c r="X227" s="5">
        <v>0</v>
      </c>
      <c r="Y227" s="5">
        <v>0.2</v>
      </c>
      <c r="Z227" s="5">
        <v>0.9</v>
      </c>
      <c r="AA227" s="5">
        <v>2.2999999999999998</v>
      </c>
      <c r="AB227" s="5">
        <v>0.14000000000000001</v>
      </c>
      <c r="AC227" s="5">
        <v>1.2</v>
      </c>
      <c r="AD227" s="5">
        <v>7.2</v>
      </c>
      <c r="AE227" s="5">
        <v>0.1</v>
      </c>
      <c r="AF227" s="5">
        <v>53</v>
      </c>
      <c r="AG227" s="5">
        <v>1.5</v>
      </c>
      <c r="AH227" s="5">
        <v>0.41</v>
      </c>
      <c r="AI227" s="5">
        <v>0</v>
      </c>
      <c r="AJ227" s="5">
        <v>0</v>
      </c>
      <c r="AK227" s="5">
        <v>190</v>
      </c>
      <c r="AL227" s="5">
        <v>796</v>
      </c>
      <c r="AM227" s="5">
        <v>1.1000000000000001</v>
      </c>
      <c r="AN227" s="5">
        <v>2</v>
      </c>
      <c r="AO227" s="5">
        <v>2.9</v>
      </c>
      <c r="AP227" s="5">
        <v>26</v>
      </c>
      <c r="AQ227" s="5">
        <v>790</v>
      </c>
      <c r="AR227" s="5">
        <v>114</v>
      </c>
      <c r="AS227" s="5">
        <v>0.09</v>
      </c>
      <c r="AT227" s="5">
        <v>0.63</v>
      </c>
      <c r="AU227" s="5">
        <v>5.5</v>
      </c>
      <c r="AV227" s="5">
        <f>IFERROR(VLOOKUP(IFERROR(VLOOKUP(D227,Mapa_Similitud!$A$2:$B$2000,2,FALSE()),D227),Hoja1!$A$2:$K$1000,2,FALSE()),IFERROR(VLOOKUP(IFERROR(VLOOKUP(D227,Mapa_Similitud!$A$2:$B$2000,2,FALSE()),D227),Omega3_Referencia!$A$2:$E$100,3,FALSE()),0))</f>
        <v>0.12</v>
      </c>
      <c r="AW227" s="3" t="str">
        <f>IFERROR(VLOOKUP(IFERROR(VLOOKUP(D227,Mapa_Similitud!$A$2:$B$2000,2,FALSE()),D227),Hoja1!$A$2:$K$1000,3,FALSE()),IFERROR(VLOOKUP(IFERROR(VLOOKUP(D227,Mapa_Similitud!$A$2:$B$2000,2,FALSE()),D227),Omega3_Referencia!$A$2:$E$100,4,FALSE()),"N/A"))</f>
        <v>ALA/EPA</v>
      </c>
      <c r="AX227" s="5">
        <f>IFERROR(VLOOKUP(IFERROR(VLOOKUP(D227,Mapa_Similitud!$A$2:$B$2000,2,FALSE()),D227),Hoja1!$A$2:$K$1000,5,FALSE()),0)</f>
        <v>0.3</v>
      </c>
      <c r="AY227" s="5">
        <f>IFERROR(VLOOKUP(IFERROR(VLOOKUP(D227,Mapa_Similitud!$A$2:$B$2000,2,FALSE()),D227),Hoja1!$A$2:$K$1000,7,FALSE()),0)</f>
        <v>0</v>
      </c>
      <c r="AZ227" s="5">
        <f>IFERROR(VLOOKUP(IFERROR(VLOOKUP(D227,Mapa_Similitud!$A$2:$B$2000,2,FALSE()),D227),Hoja1!$A$2:$K$1000,9,FALSE()),0)</f>
        <v>0.1</v>
      </c>
      <c r="BA227" s="25">
        <f t="shared" si="87"/>
        <v>5.910064239828694E-2</v>
      </c>
      <c r="BB227" s="25">
        <f t="shared" si="88"/>
        <v>0</v>
      </c>
      <c r="BC227" s="25">
        <f t="shared" si="89"/>
        <v>0.4068522483940043</v>
      </c>
      <c r="BD227" s="25">
        <f t="shared" si="90"/>
        <v>2.3554603854389722E-3</v>
      </c>
      <c r="BE227" s="25">
        <f t="shared" si="91"/>
        <v>1.6916488222698072</v>
      </c>
      <c r="BF227" s="25">
        <f t="shared" si="92"/>
        <v>9.4488188976377951E-2</v>
      </c>
      <c r="BG227" s="25">
        <f t="shared" si="93"/>
        <v>0.23869346733668342</v>
      </c>
      <c r="BH227" s="25">
        <f t="shared" si="94"/>
        <v>0.64141414141414133</v>
      </c>
      <c r="BI227" s="25">
        <f t="shared" si="95"/>
        <v>6.9298245614035086</v>
      </c>
      <c r="BJ227" s="25">
        <f t="shared" si="96"/>
        <v>0</v>
      </c>
      <c r="BK227" s="25">
        <f t="shared" si="97"/>
        <v>0</v>
      </c>
      <c r="BL227" s="25">
        <f t="shared" si="98"/>
        <v>0.76316916488222708</v>
      </c>
      <c r="BM227" s="25">
        <f t="shared" si="99"/>
        <v>5.5674518201284794E-2</v>
      </c>
      <c r="BN227" s="18" t="str">
        <f t="shared" si="105"/>
        <v>Baja fuente de proteína</v>
      </c>
      <c r="BO227" s="18" t="str">
        <f t="shared" si="106"/>
        <v>Baja fuente de fibra</v>
      </c>
      <c r="BP227" s="18" t="str">
        <f t="shared" si="107"/>
        <v>Baja fuente de calcio</v>
      </c>
      <c r="BQ227" s="18" t="str">
        <f t="shared" si="108"/>
        <v>Baja fuente de hierro</v>
      </c>
      <c r="BR227" s="18" t="str">
        <f t="shared" si="109"/>
        <v>Alto en sodio</v>
      </c>
      <c r="BS227" s="6" t="str">
        <f t="shared" si="100"/>
        <v>Proinflamatorio</v>
      </c>
      <c r="BT227" s="6" t="str">
        <f t="shared" si="101"/>
        <v>Muy alto en grasas</v>
      </c>
      <c r="BU227" s="18" t="str">
        <f t="shared" si="110"/>
        <v>Alto riesgo de retención de líquidos</v>
      </c>
      <c r="BV227" s="18" t="str">
        <f t="shared" si="111"/>
        <v>Baja fuente de magnesio</v>
      </c>
      <c r="BW227" s="18" t="str">
        <f t="shared" si="112"/>
        <v>Ligera fuente de Omega 3</v>
      </c>
      <c r="BX227" s="18" t="str">
        <f t="shared" si="113"/>
        <v>Contiene grasas trans</v>
      </c>
      <c r="BY227" s="18" t="str">
        <f t="shared" si="114"/>
        <v>Bajo poder antioxidante</v>
      </c>
      <c r="BZ227" s="6" t="str">
        <f t="shared" si="102"/>
        <v>Sin probióticos</v>
      </c>
      <c r="CA227" s="18" t="str">
        <f t="shared" si="115"/>
        <v>Moderadamente inflamatorio</v>
      </c>
      <c r="CB227" s="18" t="str">
        <f>IF(ISNUMBER(SEARCH("miel", D227)), "No irritante (Uso condicionado SII)", IF(OR(J227&gt;0, ISNUMBER(SEARCH("cacao", D227)), ISNUMBER(SEARCH("chocolate puro", D227))), "Altamente irritante", IF(OR(AND(O227&gt;15, BI227&gt;1), ISNUMBER(SEARCH("chocolate", D227))), "Moderadamente irritante", "No irritante")))</f>
        <v>No irritante</v>
      </c>
      <c r="CC227" s="6" t="str">
        <f t="shared" si="103"/>
        <v>Exceso relativo de Omega 6</v>
      </c>
    </row>
    <row r="228" spans="1:81" ht="15" customHeight="1" x14ac:dyDescent="0.3">
      <c r="A228" s="2">
        <f t="shared" si="104"/>
        <v>227</v>
      </c>
      <c r="B228" s="3" t="s">
        <v>323</v>
      </c>
      <c r="C228" s="3" t="s">
        <v>342</v>
      </c>
      <c r="D228" s="3" t="s">
        <v>350</v>
      </c>
      <c r="E228" s="3"/>
      <c r="F228" s="4">
        <v>8.5</v>
      </c>
      <c r="G228" s="5">
        <v>1</v>
      </c>
      <c r="H228" s="5">
        <v>327</v>
      </c>
      <c r="I228" s="5">
        <v>50.5</v>
      </c>
      <c r="J228" s="5">
        <v>0</v>
      </c>
      <c r="K228" s="5">
        <v>18.3</v>
      </c>
      <c r="L228" s="5">
        <v>0.1</v>
      </c>
      <c r="M228" s="5">
        <v>0</v>
      </c>
      <c r="N228" s="5">
        <v>0.1</v>
      </c>
      <c r="O228" s="5">
        <v>0</v>
      </c>
      <c r="P228" s="5">
        <v>0</v>
      </c>
      <c r="Q228" s="5">
        <v>28.2</v>
      </c>
      <c r="R228" s="5">
        <v>18.100000000000001</v>
      </c>
      <c r="S228" s="5">
        <v>7.6</v>
      </c>
      <c r="T228" s="5">
        <v>1</v>
      </c>
      <c r="U228" s="5">
        <v>70</v>
      </c>
      <c r="V228" s="5">
        <v>407</v>
      </c>
      <c r="W228" s="5">
        <v>401</v>
      </c>
      <c r="X228" s="5">
        <v>0</v>
      </c>
      <c r="Y228" s="5">
        <v>0.2</v>
      </c>
      <c r="Z228" s="5">
        <v>0.8</v>
      </c>
      <c r="AA228" s="5">
        <v>2.2999999999999998</v>
      </c>
      <c r="AB228" s="5">
        <v>0.08</v>
      </c>
      <c r="AC228" s="5">
        <v>0.77</v>
      </c>
      <c r="AD228" s="5">
        <v>4.5999999999999996</v>
      </c>
      <c r="AE228" s="5">
        <v>0.08</v>
      </c>
      <c r="AF228" s="5">
        <v>125</v>
      </c>
      <c r="AG228" s="5">
        <v>1.5</v>
      </c>
      <c r="AH228" s="5">
        <v>0.19</v>
      </c>
      <c r="AI228" s="5">
        <v>0</v>
      </c>
      <c r="AJ228" s="5">
        <v>0</v>
      </c>
      <c r="AK228" s="5">
        <v>102</v>
      </c>
      <c r="AL228" s="5">
        <v>218</v>
      </c>
      <c r="AM228" s="5">
        <v>1</v>
      </c>
      <c r="AN228" s="5">
        <v>2</v>
      </c>
      <c r="AO228" s="5">
        <v>0.5</v>
      </c>
      <c r="AP228" s="5">
        <v>16</v>
      </c>
      <c r="AQ228" s="5">
        <v>672</v>
      </c>
      <c r="AR228" s="5">
        <v>250</v>
      </c>
      <c r="AS228" s="5">
        <v>9.2999999999999999E-2</v>
      </c>
      <c r="AT228" s="5">
        <v>0.56000000000000005</v>
      </c>
      <c r="AU228" s="5">
        <v>3.8</v>
      </c>
      <c r="AV228" s="5">
        <f>IFERROR(VLOOKUP(IFERROR(VLOOKUP(D228,Mapa_Similitud!$A$2:$B$2000,2,FALSE()),D228),Hoja1!$A$2:$K$1000,2,FALSE()),IFERROR(VLOOKUP(IFERROR(VLOOKUP(D228,Mapa_Similitud!$A$2:$B$2000,2,FALSE()),D228),Omega3_Referencia!$A$2:$E$100,3,FALSE()),0))</f>
        <v>0.1</v>
      </c>
      <c r="AW228" s="3" t="str">
        <f>IFERROR(VLOOKUP(IFERROR(VLOOKUP(D228,Mapa_Similitud!$A$2:$B$2000,2,FALSE()),D228),Hoja1!$A$2:$K$1000,3,FALSE()),IFERROR(VLOOKUP(IFERROR(VLOOKUP(D228,Mapa_Similitud!$A$2:$B$2000,2,FALSE()),D228),Omega3_Referencia!$A$2:$E$100,4,FALSE()),"N/A"))</f>
        <v>ALA/EPA</v>
      </c>
      <c r="AX228" s="5">
        <f>IFERROR(VLOOKUP(IFERROR(VLOOKUP(D228,Mapa_Similitud!$A$2:$B$2000,2,FALSE()),D228),Hoja1!$A$2:$K$1000,5,FALSE()),0)</f>
        <v>0.2</v>
      </c>
      <c r="AY228" s="5">
        <f>IFERROR(VLOOKUP(IFERROR(VLOOKUP(D228,Mapa_Similitud!$A$2:$B$2000,2,FALSE()),D228),Hoja1!$A$2:$K$1000,7,FALSE()),0)</f>
        <v>0</v>
      </c>
      <c r="AZ228" s="5">
        <f>IFERROR(VLOOKUP(IFERROR(VLOOKUP(D228,Mapa_Similitud!$A$2:$B$2000,2,FALSE()),D228),Hoja1!$A$2:$K$1000,9,FALSE()),0)</f>
        <v>0</v>
      </c>
      <c r="BA228" s="25">
        <f t="shared" si="87"/>
        <v>5.5963302752293581E-2</v>
      </c>
      <c r="BB228" s="25">
        <f t="shared" si="88"/>
        <v>0</v>
      </c>
      <c r="BC228" s="25">
        <f t="shared" si="89"/>
        <v>0.31192660550458717</v>
      </c>
      <c r="BD228" s="25">
        <f t="shared" si="90"/>
        <v>3.0581039755351682E-3</v>
      </c>
      <c r="BE228" s="25">
        <f t="shared" si="91"/>
        <v>2.0550458715596331</v>
      </c>
      <c r="BF228" s="25">
        <f t="shared" si="92"/>
        <v>5.5248618784530384E-2</v>
      </c>
      <c r="BG228" s="25">
        <f t="shared" si="93"/>
        <v>0.46788990825688076</v>
      </c>
      <c r="BH228" s="25">
        <f t="shared" si="94"/>
        <v>0.64184397163120577</v>
      </c>
      <c r="BI228" s="25">
        <f t="shared" si="95"/>
        <v>2.6880000000000002</v>
      </c>
      <c r="BJ228" s="25">
        <f t="shared" si="96"/>
        <v>1</v>
      </c>
      <c r="BK228" s="25">
        <f t="shared" si="97"/>
        <v>0</v>
      </c>
      <c r="BL228" s="25">
        <f t="shared" si="98"/>
        <v>0.77614678899082568</v>
      </c>
      <c r="BM228" s="25">
        <f t="shared" si="99"/>
        <v>4.8929663608562692E-2</v>
      </c>
      <c r="BN228" s="18" t="str">
        <f t="shared" si="105"/>
        <v>Baja fuente de proteína</v>
      </c>
      <c r="BO228" s="18" t="str">
        <f t="shared" si="106"/>
        <v>Baja fuente de fibra</v>
      </c>
      <c r="BP228" s="18" t="str">
        <f t="shared" si="107"/>
        <v>Baja fuente de calcio</v>
      </c>
      <c r="BQ228" s="18" t="str">
        <f t="shared" si="108"/>
        <v>Baja fuente de hierro</v>
      </c>
      <c r="BR228" s="18" t="str">
        <f t="shared" si="109"/>
        <v>Muy alto en sodio</v>
      </c>
      <c r="BS228" s="6" t="str">
        <f t="shared" si="100"/>
        <v>Proinflamatorio</v>
      </c>
      <c r="BT228" s="6" t="str">
        <f t="shared" si="101"/>
        <v>Muy alto en grasas</v>
      </c>
      <c r="BU228" s="18" t="str">
        <f t="shared" si="110"/>
        <v>Alto riesgo de retención de líquidos</v>
      </c>
      <c r="BV228" s="18" t="str">
        <f t="shared" si="111"/>
        <v>Baja fuente de magnesio</v>
      </c>
      <c r="BW228" s="18" t="str">
        <f t="shared" si="112"/>
        <v>Sin aporte de Omega 3</v>
      </c>
      <c r="BX228" s="18" t="str">
        <f t="shared" si="113"/>
        <v>Contiene grasas trans</v>
      </c>
      <c r="BY228" s="18" t="str">
        <f t="shared" si="114"/>
        <v>Bajo poder antioxidante</v>
      </c>
      <c r="BZ228" s="6" t="str">
        <f t="shared" si="102"/>
        <v>Sin probióticos</v>
      </c>
      <c r="CA228" s="18" t="str">
        <f t="shared" si="115"/>
        <v>Moderadamente inflamatorio</v>
      </c>
      <c r="CB228" s="18" t="str">
        <f>IF(ISNUMBER(SEARCH("miel", D228)), "No irritante (Uso condicionado SII)", IF(OR(J228&gt;0, ISNUMBER(SEARCH("cacao", D228)), ISNUMBER(SEARCH("chocolate puro", D228))), "Altamente irritante", IF(OR(AND(O228&gt;15, BI228&gt;1), ISNUMBER(SEARCH("chocolate", D228))), "Moderadamente irritante", "No irritante")))</f>
        <v>No irritante</v>
      </c>
      <c r="CC228" s="6" t="str">
        <f t="shared" si="103"/>
        <v>Exceso relativo de Omega 6</v>
      </c>
    </row>
    <row r="229" spans="1:81" ht="15" customHeight="1" x14ac:dyDescent="0.3">
      <c r="A229" s="2">
        <f t="shared" si="104"/>
        <v>228</v>
      </c>
      <c r="B229" s="3" t="s">
        <v>323</v>
      </c>
      <c r="C229" s="3" t="s">
        <v>342</v>
      </c>
      <c r="D229" s="3" t="s">
        <v>351</v>
      </c>
      <c r="E229" s="3"/>
      <c r="F229" s="4">
        <v>7</v>
      </c>
      <c r="G229" s="5">
        <v>1</v>
      </c>
      <c r="H229" s="5">
        <v>208</v>
      </c>
      <c r="I229" s="5">
        <v>68.5</v>
      </c>
      <c r="J229" s="5">
        <v>0</v>
      </c>
      <c r="K229" s="5">
        <v>11.1</v>
      </c>
      <c r="L229" s="5">
        <v>1.2</v>
      </c>
      <c r="M229" s="5">
        <v>0</v>
      </c>
      <c r="N229" s="5">
        <v>1.2</v>
      </c>
      <c r="O229" s="5">
        <v>0</v>
      </c>
      <c r="P229" s="5">
        <v>0</v>
      </c>
      <c r="Q229" s="5">
        <v>17.600000000000001</v>
      </c>
      <c r="R229" s="5">
        <v>11.3</v>
      </c>
      <c r="S229" s="5">
        <v>4.7</v>
      </c>
      <c r="T229" s="5">
        <v>0.6</v>
      </c>
      <c r="U229" s="5">
        <v>50</v>
      </c>
      <c r="V229" s="5">
        <v>288</v>
      </c>
      <c r="W229" s="5">
        <v>283</v>
      </c>
      <c r="X229" s="5">
        <v>0</v>
      </c>
      <c r="Y229" s="5">
        <v>0.2</v>
      </c>
      <c r="Z229" s="5">
        <v>0.9</v>
      </c>
      <c r="AA229" s="5">
        <v>2.2999999999999998</v>
      </c>
      <c r="AB229" s="5">
        <v>0.14000000000000001</v>
      </c>
      <c r="AC229" s="5">
        <v>1.2</v>
      </c>
      <c r="AD229" s="5">
        <v>2.4</v>
      </c>
      <c r="AE229" s="5">
        <v>0.1</v>
      </c>
      <c r="AF229" s="5">
        <v>53</v>
      </c>
      <c r="AG229" s="5">
        <v>1.5</v>
      </c>
      <c r="AH229" s="5">
        <v>0.68</v>
      </c>
      <c r="AI229" s="5">
        <v>0</v>
      </c>
      <c r="AJ229" s="5">
        <v>0</v>
      </c>
      <c r="AK229" s="5">
        <v>150</v>
      </c>
      <c r="AL229" s="5">
        <v>216</v>
      </c>
      <c r="AM229" s="5">
        <v>0.2</v>
      </c>
      <c r="AN229" s="5">
        <v>2</v>
      </c>
      <c r="AO229" s="5">
        <v>0.5</v>
      </c>
      <c r="AP229" s="5">
        <v>26</v>
      </c>
      <c r="AQ229" s="5">
        <v>404</v>
      </c>
      <c r="AR229" s="5">
        <v>132</v>
      </c>
      <c r="AS229" s="5">
        <v>0.1</v>
      </c>
      <c r="AT229" s="5">
        <v>0.73</v>
      </c>
      <c r="AU229" s="5">
        <v>2.8</v>
      </c>
      <c r="AV229" s="5">
        <f>IFERROR(VLOOKUP(IFERROR(VLOOKUP(D229,Mapa_Similitud!$A$2:$B$2000,2,FALSE()),D229),Hoja1!$A$2:$K$1000,2,FALSE()),IFERROR(VLOOKUP(IFERROR(VLOOKUP(D229,Mapa_Similitud!$A$2:$B$2000,2,FALSE()),D229),Omega3_Referencia!$A$2:$E$100,3,FALSE()),0))</f>
        <v>0.08</v>
      </c>
      <c r="AW229" s="3" t="str">
        <f>IFERROR(VLOOKUP(IFERROR(VLOOKUP(D229,Mapa_Similitud!$A$2:$B$2000,2,FALSE()),D229),Hoja1!$A$2:$K$1000,3,FALSE()),IFERROR(VLOOKUP(IFERROR(VLOOKUP(D229,Mapa_Similitud!$A$2:$B$2000,2,FALSE()),D229),Omega3_Referencia!$A$2:$E$100,4,FALSE()),"N/A"))</f>
        <v>ALA/EPA</v>
      </c>
      <c r="AX229" s="5">
        <f>IFERROR(VLOOKUP(IFERROR(VLOOKUP(D229,Mapa_Similitud!$A$2:$B$2000,2,FALSE()),D229),Hoja1!$A$2:$K$1000,5,FALSE()),0)</f>
        <v>0.2</v>
      </c>
      <c r="AY229" s="5">
        <f>IFERROR(VLOOKUP(IFERROR(VLOOKUP(D229,Mapa_Similitud!$A$2:$B$2000,2,FALSE()),D229),Hoja1!$A$2:$K$1000,7,FALSE()),0)</f>
        <v>0</v>
      </c>
      <c r="AZ229" s="5">
        <f>IFERROR(VLOOKUP(IFERROR(VLOOKUP(D229,Mapa_Similitud!$A$2:$B$2000,2,FALSE()),D229),Hoja1!$A$2:$K$1000,9,FALSE()),0)</f>
        <v>0</v>
      </c>
      <c r="BA229" s="25">
        <f t="shared" si="87"/>
        <v>5.3365384615384613E-2</v>
      </c>
      <c r="BB229" s="25">
        <f t="shared" si="88"/>
        <v>0</v>
      </c>
      <c r="BC229" s="25">
        <f t="shared" si="89"/>
        <v>0.72115384615384615</v>
      </c>
      <c r="BD229" s="25">
        <f t="shared" si="90"/>
        <v>9.6153846153846159E-4</v>
      </c>
      <c r="BE229" s="25">
        <f t="shared" si="91"/>
        <v>1.9423076923076923</v>
      </c>
      <c r="BF229" s="25">
        <f t="shared" si="92"/>
        <v>5.3097345132743355E-2</v>
      </c>
      <c r="BG229" s="25">
        <f t="shared" si="93"/>
        <v>0.69444444444444442</v>
      </c>
      <c r="BH229" s="25">
        <f t="shared" si="94"/>
        <v>0.64204545454545459</v>
      </c>
      <c r="BI229" s="25">
        <f t="shared" si="95"/>
        <v>3.0606060606060606</v>
      </c>
      <c r="BJ229" s="25">
        <f t="shared" si="96"/>
        <v>1</v>
      </c>
      <c r="BK229" s="25">
        <f t="shared" si="97"/>
        <v>0</v>
      </c>
      <c r="BL229" s="25">
        <f t="shared" si="98"/>
        <v>0.76153846153846161</v>
      </c>
      <c r="BM229" s="25">
        <f t="shared" si="99"/>
        <v>0.125</v>
      </c>
      <c r="BN229" s="18" t="str">
        <f t="shared" si="105"/>
        <v>Baja fuente de proteína</v>
      </c>
      <c r="BO229" s="18" t="str">
        <f t="shared" si="106"/>
        <v>Baja fuente de fibra</v>
      </c>
      <c r="BP229" s="18" t="str">
        <f t="shared" si="107"/>
        <v>Baja fuente de calcio</v>
      </c>
      <c r="BQ229" s="18" t="str">
        <f t="shared" si="108"/>
        <v>Baja fuente de hierro</v>
      </c>
      <c r="BR229" s="18" t="str">
        <f t="shared" si="109"/>
        <v>Alto en sodio</v>
      </c>
      <c r="BS229" s="6" t="str">
        <f t="shared" si="100"/>
        <v>Proinflamatorio</v>
      </c>
      <c r="BT229" s="6" t="str">
        <f t="shared" si="101"/>
        <v>Muy alto en grasas</v>
      </c>
      <c r="BU229" s="18" t="str">
        <f t="shared" si="110"/>
        <v>Alto riesgo de retención de líquidos</v>
      </c>
      <c r="BV229" s="18" t="str">
        <f t="shared" si="111"/>
        <v>Baja fuente de magnesio</v>
      </c>
      <c r="BW229" s="18" t="str">
        <f t="shared" si="112"/>
        <v>Sin aporte de Omega 3</v>
      </c>
      <c r="BX229" s="18" t="str">
        <f t="shared" si="113"/>
        <v>Contiene grasas trans</v>
      </c>
      <c r="BY229" s="18" t="str">
        <f t="shared" si="114"/>
        <v>Bajo poder antioxidante</v>
      </c>
      <c r="BZ229" s="6" t="str">
        <f t="shared" si="102"/>
        <v>Sin probióticos</v>
      </c>
      <c r="CA229" s="18" t="str">
        <f t="shared" si="115"/>
        <v>Moderadamente inflamatorio</v>
      </c>
      <c r="CB229" s="18" t="str">
        <f>IF(ISNUMBER(SEARCH("miel", D229)), "No irritante (Uso condicionado SII)", IF(OR(J229&gt;0, ISNUMBER(SEARCH("cacao", D229)), ISNUMBER(SEARCH("chocolate puro", D229))), "Altamente irritante", IF(OR(AND(O229&gt;15, BI229&gt;1), ISNUMBER(SEARCH("chocolate", D229))), "Moderadamente irritante", "No irritante")))</f>
        <v>No irritante</v>
      </c>
      <c r="CC229" s="6" t="str">
        <f t="shared" si="103"/>
        <v>Exceso relativo de Omega 6</v>
      </c>
    </row>
    <row r="230" spans="1:81" ht="15" customHeight="1" x14ac:dyDescent="0.3">
      <c r="A230" s="2">
        <f t="shared" si="104"/>
        <v>229</v>
      </c>
      <c r="B230" s="3" t="s">
        <v>323</v>
      </c>
      <c r="C230" s="3" t="s">
        <v>342</v>
      </c>
      <c r="D230" s="3" t="s">
        <v>352</v>
      </c>
      <c r="E230" s="3"/>
      <c r="F230" s="4">
        <v>8</v>
      </c>
      <c r="G230" s="5">
        <v>1</v>
      </c>
      <c r="H230" s="5">
        <v>327</v>
      </c>
      <c r="I230" s="5">
        <v>44.7</v>
      </c>
      <c r="J230" s="5">
        <v>0</v>
      </c>
      <c r="K230" s="5">
        <v>25.1</v>
      </c>
      <c r="L230" s="5">
        <v>2.2000000000000002</v>
      </c>
      <c r="M230" s="5">
        <v>0</v>
      </c>
      <c r="N230" s="5">
        <v>2.2000000000000002</v>
      </c>
      <c r="O230" s="5">
        <v>0</v>
      </c>
      <c r="P230" s="5">
        <v>0</v>
      </c>
      <c r="Q230" s="5">
        <v>24.2</v>
      </c>
      <c r="R230" s="5">
        <v>13.1</v>
      </c>
      <c r="S230" s="5">
        <v>6.5</v>
      </c>
      <c r="T230" s="5">
        <v>1.7</v>
      </c>
      <c r="U230" s="5">
        <v>84.9</v>
      </c>
      <c r="V230" s="5">
        <v>437</v>
      </c>
      <c r="W230" s="5">
        <v>412</v>
      </c>
      <c r="X230" s="5">
        <v>130</v>
      </c>
      <c r="Y230" s="5">
        <v>0.2</v>
      </c>
      <c r="Z230" s="5">
        <v>0.02</v>
      </c>
      <c r="AA230" s="5">
        <v>3</v>
      </c>
      <c r="AB230" s="5">
        <v>0.62</v>
      </c>
      <c r="AC230" s="5">
        <v>0.46</v>
      </c>
      <c r="AD230" s="5">
        <v>6.5</v>
      </c>
      <c r="AE230" s="5">
        <v>0.1</v>
      </c>
      <c r="AF230" s="5">
        <v>14.1</v>
      </c>
      <c r="AG230" s="5">
        <v>0.43</v>
      </c>
      <c r="AH230" s="5">
        <v>8.5999999999999993E-2</v>
      </c>
      <c r="AI230" s="5">
        <v>0</v>
      </c>
      <c r="AJ230" s="5">
        <v>0</v>
      </c>
      <c r="AK230" s="5">
        <v>647</v>
      </c>
      <c r="AL230" s="5">
        <v>393</v>
      </c>
      <c r="AM230" s="5">
        <v>0.91</v>
      </c>
      <c r="AN230" s="5">
        <v>4.9000000000000004</v>
      </c>
      <c r="AO230" s="5">
        <v>0.51</v>
      </c>
      <c r="AP230" s="5">
        <v>30.1</v>
      </c>
      <c r="AQ230" s="5">
        <v>800</v>
      </c>
      <c r="AR230" s="5">
        <v>128</v>
      </c>
      <c r="AS230" s="5">
        <v>3.7999999999999999E-2</v>
      </c>
      <c r="AT230" s="5">
        <v>2.1000000000000001E-2</v>
      </c>
      <c r="AU230" s="5">
        <v>14.5</v>
      </c>
      <c r="AV230" s="5">
        <f>IFERROR(VLOOKUP(IFERROR(VLOOKUP(D230,Mapa_Similitud!$A$2:$B$2000,2,FALSE()),D230),Hoja1!$A$2:$K$1000,2,FALSE()),IFERROR(VLOOKUP(IFERROR(VLOOKUP(D230,Mapa_Similitud!$A$2:$B$2000,2,FALSE()),D230),Omega3_Referencia!$A$2:$E$100,3,FALSE()),0))</f>
        <v>0.08</v>
      </c>
      <c r="AW230" s="3" t="str">
        <f>IFERROR(VLOOKUP(IFERROR(VLOOKUP(D230,Mapa_Similitud!$A$2:$B$2000,2,FALSE()),D230),Hoja1!$A$2:$K$1000,3,FALSE()),IFERROR(VLOOKUP(IFERROR(VLOOKUP(D230,Mapa_Similitud!$A$2:$B$2000,2,FALSE()),D230),Omega3_Referencia!$A$2:$E$100,4,FALSE()),"N/A"))</f>
        <v>ALA/EPA</v>
      </c>
      <c r="AX230" s="5">
        <f>IFERROR(VLOOKUP(IFERROR(VLOOKUP(D230,Mapa_Similitud!$A$2:$B$2000,2,FALSE()),D230),Hoja1!$A$2:$K$1000,5,FALSE()),0)</f>
        <v>0.2</v>
      </c>
      <c r="AY230" s="5">
        <f>IFERROR(VLOOKUP(IFERROR(VLOOKUP(D230,Mapa_Similitud!$A$2:$B$2000,2,FALSE()),D230),Hoja1!$A$2:$K$1000,7,FALSE()),0)</f>
        <v>0</v>
      </c>
      <c r="AZ230" s="5">
        <f>IFERROR(VLOOKUP(IFERROR(VLOOKUP(D230,Mapa_Similitud!$A$2:$B$2000,2,FALSE()),D230),Hoja1!$A$2:$K$1000,9,FALSE()),0)</f>
        <v>0</v>
      </c>
      <c r="BA230" s="25">
        <f t="shared" si="87"/>
        <v>7.6758409785932721E-2</v>
      </c>
      <c r="BB230" s="25">
        <f t="shared" si="88"/>
        <v>0</v>
      </c>
      <c r="BC230" s="25">
        <f t="shared" si="89"/>
        <v>1.9785932721712538</v>
      </c>
      <c r="BD230" s="25">
        <f t="shared" si="90"/>
        <v>2.7828746177370033E-3</v>
      </c>
      <c r="BE230" s="25">
        <f t="shared" si="91"/>
        <v>2.4464831804281344</v>
      </c>
      <c r="BF230" s="25">
        <f t="shared" si="92"/>
        <v>0.12977099236641221</v>
      </c>
      <c r="BG230" s="25">
        <f t="shared" si="93"/>
        <v>1.6463104325699744</v>
      </c>
      <c r="BH230" s="25">
        <f t="shared" si="94"/>
        <v>0.54132231404958675</v>
      </c>
      <c r="BI230" s="25">
        <f t="shared" si="95"/>
        <v>6.25</v>
      </c>
      <c r="BJ230" s="25">
        <f t="shared" si="96"/>
        <v>1</v>
      </c>
      <c r="BK230" s="25">
        <f t="shared" si="97"/>
        <v>0</v>
      </c>
      <c r="BL230" s="25">
        <f t="shared" si="98"/>
        <v>0.66605504587155961</v>
      </c>
      <c r="BM230" s="25">
        <f t="shared" si="99"/>
        <v>9.2048929663608572E-2</v>
      </c>
      <c r="BN230" s="18" t="str">
        <f t="shared" si="105"/>
        <v>Baja fuente de proteína</v>
      </c>
      <c r="BO230" s="18" t="str">
        <f t="shared" si="106"/>
        <v>Baja fuente de fibra</v>
      </c>
      <c r="BP230" s="18" t="str">
        <f t="shared" si="107"/>
        <v>Alta fuente de calcio</v>
      </c>
      <c r="BQ230" s="18" t="str">
        <f t="shared" si="108"/>
        <v>Baja fuente de hierro</v>
      </c>
      <c r="BR230" s="18" t="str">
        <f t="shared" si="109"/>
        <v>Muy alto en sodio</v>
      </c>
      <c r="BS230" s="6" t="str">
        <f t="shared" si="100"/>
        <v>Proinflamatorio</v>
      </c>
      <c r="BT230" s="6" t="str">
        <f t="shared" si="101"/>
        <v>Muy alto en grasas</v>
      </c>
      <c r="BU230" s="18" t="str">
        <f t="shared" si="110"/>
        <v>Alto riesgo de retención de líquidos</v>
      </c>
      <c r="BV230" s="18" t="str">
        <f t="shared" si="111"/>
        <v>Baja fuente de magnesio</v>
      </c>
      <c r="BW230" s="18" t="str">
        <f t="shared" si="112"/>
        <v>Sin aporte de Omega 3</v>
      </c>
      <c r="BX230" s="18" t="str">
        <f t="shared" si="113"/>
        <v>Contiene grasas trans</v>
      </c>
      <c r="BY230" s="18" t="str">
        <f t="shared" si="114"/>
        <v>Bajo poder antioxidante</v>
      </c>
      <c r="BZ230" s="6" t="str">
        <f t="shared" si="102"/>
        <v>Sin probióticos</v>
      </c>
      <c r="CA230" s="18" t="str">
        <f t="shared" si="115"/>
        <v>Moderadamente inflamatorio</v>
      </c>
      <c r="CB230" s="18" t="str">
        <f>IF(ISNUMBER(SEARCH("miel", D230)), "No irritante (Uso condicionado SII)", IF(OR(J230&gt;0, ISNUMBER(SEARCH("cacao", D230)), ISNUMBER(SEARCH("chocolate puro", D230))), "Altamente irritante", IF(OR(AND(O230&gt;15, BI230&gt;1), ISNUMBER(SEARCH("chocolate", D230))), "Moderadamente irritante", "No irritante")))</f>
        <v>No irritante</v>
      </c>
      <c r="CC230" s="6" t="str">
        <f t="shared" si="103"/>
        <v>Exceso relativo de Omega 6</v>
      </c>
    </row>
    <row r="231" spans="1:81" ht="15" customHeight="1" x14ac:dyDescent="0.3">
      <c r="A231" s="2">
        <f t="shared" si="104"/>
        <v>230</v>
      </c>
      <c r="B231" s="3" t="s">
        <v>323</v>
      </c>
      <c r="C231" s="3" t="s">
        <v>342</v>
      </c>
      <c r="D231" s="3" t="s">
        <v>353</v>
      </c>
      <c r="E231" s="3" t="s">
        <v>354</v>
      </c>
      <c r="F231" s="4">
        <v>3.34</v>
      </c>
      <c r="G231" s="5">
        <v>1</v>
      </c>
      <c r="H231" s="5">
        <v>333.33</v>
      </c>
      <c r="I231" s="5">
        <v>0</v>
      </c>
      <c r="J231" s="5">
        <v>0</v>
      </c>
      <c r="K231" s="5">
        <v>20</v>
      </c>
      <c r="L231" s="5">
        <v>6.67</v>
      </c>
      <c r="M231" s="5">
        <v>0</v>
      </c>
      <c r="N231" s="5">
        <v>0</v>
      </c>
      <c r="O231" s="5">
        <v>0</v>
      </c>
      <c r="P231" s="5">
        <v>0</v>
      </c>
      <c r="Q231" s="5">
        <v>20</v>
      </c>
      <c r="R231" s="5">
        <v>16.670000000000002</v>
      </c>
      <c r="S231" s="5">
        <v>0</v>
      </c>
      <c r="T231" s="5">
        <v>0</v>
      </c>
      <c r="U231" s="5">
        <v>310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766.67</v>
      </c>
      <c r="AR231" s="5">
        <v>0</v>
      </c>
      <c r="AS231" s="5">
        <v>0</v>
      </c>
      <c r="AT231" s="5">
        <v>0</v>
      </c>
      <c r="AU231" s="5">
        <v>0</v>
      </c>
      <c r="AV231" s="5">
        <f>IFERROR(VLOOKUP(IFERROR(VLOOKUP(D231,Mapa_Similitud!$A$2:$B$2000,2,FALSE()),D231),Hoja1!$A$2:$K$1000,2,FALSE()),IFERROR(VLOOKUP(IFERROR(VLOOKUP(D231,Mapa_Similitud!$A$2:$B$2000,2,FALSE()),D231),Omega3_Referencia!$A$2:$E$100,3,FALSE()),0))</f>
        <v>0.06</v>
      </c>
      <c r="AW231" s="3" t="str">
        <f>IFERROR(VLOOKUP(IFERROR(VLOOKUP(D231,Mapa_Similitud!$A$2:$B$2000,2,FALSE()),D231),Hoja1!$A$2:$K$1000,3,FALSE()),IFERROR(VLOOKUP(IFERROR(VLOOKUP(D231,Mapa_Similitud!$A$2:$B$2000,2,FALSE()),D231),Omega3_Referencia!$A$2:$E$100,4,FALSE()),"N/A"))</f>
        <v>ALA/EPA</v>
      </c>
      <c r="AX231" s="5">
        <f>IFERROR(VLOOKUP(IFERROR(VLOOKUP(D231,Mapa_Similitud!$A$2:$B$2000,2,FALSE()),D231),Hoja1!$A$2:$K$1000,5,FALSE()),0)</f>
        <v>0.1</v>
      </c>
      <c r="AY231" s="5">
        <f>IFERROR(VLOOKUP(IFERROR(VLOOKUP(D231,Mapa_Similitud!$A$2:$B$2000,2,FALSE()),D231),Hoja1!$A$2:$K$1000,7,FALSE()),0)</f>
        <v>0</v>
      </c>
      <c r="AZ231" s="5">
        <f>IFERROR(VLOOKUP(IFERROR(VLOOKUP(D231,Mapa_Similitud!$A$2:$B$2000,2,FALSE()),D231),Hoja1!$A$2:$K$1000,9,FALSE()),0)</f>
        <v>0</v>
      </c>
      <c r="BA231" s="25">
        <f t="shared" si="87"/>
        <v>6.0000600006000063E-2</v>
      </c>
      <c r="BB231" s="25">
        <f t="shared" si="88"/>
        <v>0</v>
      </c>
      <c r="BC231" s="25">
        <f t="shared" si="89"/>
        <v>0</v>
      </c>
      <c r="BD231" s="25">
        <f t="shared" si="90"/>
        <v>0</v>
      </c>
      <c r="BE231" s="25">
        <f t="shared" si="91"/>
        <v>2.3000330003300031</v>
      </c>
      <c r="BF231" s="25">
        <f t="shared" si="92"/>
        <v>0</v>
      </c>
      <c r="BG231" s="25">
        <f t="shared" si="93"/>
        <v>0</v>
      </c>
      <c r="BH231" s="25">
        <f t="shared" si="94"/>
        <v>0.83350000000000013</v>
      </c>
      <c r="BI231" s="25">
        <f t="shared" si="95"/>
        <v>0</v>
      </c>
      <c r="BJ231" s="25">
        <f t="shared" si="96"/>
        <v>0</v>
      </c>
      <c r="BK231" s="25">
        <f t="shared" si="97"/>
        <v>0</v>
      </c>
      <c r="BL231" s="25">
        <f t="shared" si="98"/>
        <v>0.54000540005400055</v>
      </c>
      <c r="BM231" s="25">
        <f t="shared" si="99"/>
        <v>0</v>
      </c>
      <c r="BN231" s="18" t="str">
        <f t="shared" si="105"/>
        <v>Baja fuente de proteína</v>
      </c>
      <c r="BO231" s="18" t="str">
        <f t="shared" si="106"/>
        <v>Baja fuente de fibra</v>
      </c>
      <c r="BP231" s="18" t="str">
        <f t="shared" si="107"/>
        <v>Baja fuente de calcio</v>
      </c>
      <c r="BQ231" s="18" t="str">
        <f t="shared" si="108"/>
        <v>Baja fuente de hierro</v>
      </c>
      <c r="BR231" s="18" t="str">
        <f t="shared" si="109"/>
        <v>Muy alto en sodio</v>
      </c>
      <c r="BS231" s="6" t="str">
        <f t="shared" si="100"/>
        <v>Proinflamatorio</v>
      </c>
      <c r="BT231" s="6" t="str">
        <f t="shared" si="101"/>
        <v>Muy alto en grasas</v>
      </c>
      <c r="BU231" s="18" t="str">
        <f t="shared" si="110"/>
        <v>Equilibrio de líquidos ideal</v>
      </c>
      <c r="BV231" s="18" t="str">
        <f t="shared" si="111"/>
        <v>Baja fuente de magnesio</v>
      </c>
      <c r="BW231" s="18" t="str">
        <f t="shared" si="112"/>
        <v>Sin aporte de Omega 3</v>
      </c>
      <c r="BX231" s="18" t="str">
        <f t="shared" si="113"/>
        <v>Contiene grasas trans</v>
      </c>
      <c r="BY231" s="18" t="str">
        <f t="shared" si="114"/>
        <v>Bajo poder antioxidante</v>
      </c>
      <c r="BZ231" s="6" t="str">
        <f t="shared" si="102"/>
        <v>Sin probióticos</v>
      </c>
      <c r="CA231" s="18" t="str">
        <f t="shared" si="115"/>
        <v>Moderadamente inflamatorio</v>
      </c>
      <c r="CB231" s="18" t="str">
        <f>IF(ISNUMBER(SEARCH("miel", D231)), "No irritante (Uso condicionado SII)", IF(OR(J231&gt;0, ISNUMBER(SEARCH("cacao", D231)), ISNUMBER(SEARCH("chocolate puro", D231))), "Altamente irritante", IF(OR(AND(O231&gt;15, BI231&gt;1), ISNUMBER(SEARCH("chocolate", D231))), "Moderadamente irritante", "No irritante")))</f>
        <v>No irritante</v>
      </c>
      <c r="CC231" s="6" t="str">
        <f t="shared" si="103"/>
        <v>Balance de omegas favorable</v>
      </c>
    </row>
    <row r="232" spans="1:81" ht="15" customHeight="1" x14ac:dyDescent="0.3">
      <c r="A232" s="2">
        <f t="shared" si="104"/>
        <v>231</v>
      </c>
      <c r="B232" s="3" t="s">
        <v>323</v>
      </c>
      <c r="C232" s="3" t="s">
        <v>342</v>
      </c>
      <c r="D232" s="3" t="s">
        <v>355</v>
      </c>
      <c r="E232" s="3" t="s">
        <v>356</v>
      </c>
      <c r="F232" s="4">
        <v>2.95</v>
      </c>
      <c r="G232" s="5">
        <v>1</v>
      </c>
      <c r="H232" s="5">
        <v>250</v>
      </c>
      <c r="I232" s="5">
        <v>0</v>
      </c>
      <c r="J232" s="5">
        <v>0</v>
      </c>
      <c r="K232" s="5">
        <v>18.18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20.45</v>
      </c>
      <c r="R232" s="5">
        <v>13.64</v>
      </c>
      <c r="S232" s="5">
        <v>0</v>
      </c>
      <c r="T232" s="5">
        <v>0</v>
      </c>
      <c r="U232" s="5">
        <v>438.64</v>
      </c>
      <c r="V232" s="5">
        <v>3.2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681.82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629.54999999999995</v>
      </c>
      <c r="AR232" s="5">
        <v>0</v>
      </c>
      <c r="AS232" s="5">
        <v>0</v>
      </c>
      <c r="AT232" s="5">
        <v>0</v>
      </c>
      <c r="AU232" s="5">
        <v>0</v>
      </c>
      <c r="AV232" s="5">
        <f>IFERROR(VLOOKUP(IFERROR(VLOOKUP(D232,Mapa_Similitud!$A$2:$B$2000,2,FALSE()),D232),Hoja1!$A$2:$K$1000,2,FALSE()),IFERROR(VLOOKUP(IFERROR(VLOOKUP(D232,Mapa_Similitud!$A$2:$B$2000,2,FALSE()),D232),Omega3_Referencia!$A$2:$E$100,3,FALSE()),0))</f>
        <v>0.05</v>
      </c>
      <c r="AW232" s="3" t="str">
        <f>IFERROR(VLOOKUP(IFERROR(VLOOKUP(D232,Mapa_Similitud!$A$2:$B$2000,2,FALSE()),D232),Hoja1!$A$2:$K$1000,3,FALSE()),IFERROR(VLOOKUP(IFERROR(VLOOKUP(D232,Mapa_Similitud!$A$2:$B$2000,2,FALSE()),D232),Omega3_Referencia!$A$2:$E$100,4,FALSE()),"N/A"))</f>
        <v>ALA/EPA</v>
      </c>
      <c r="AX232" s="5">
        <f>IFERROR(VLOOKUP(IFERROR(VLOOKUP(D232,Mapa_Similitud!$A$2:$B$2000,2,FALSE()),D232),Hoja1!$A$2:$K$1000,5,FALSE()),0)</f>
        <v>0.1</v>
      </c>
      <c r="AY232" s="5">
        <f>IFERROR(VLOOKUP(IFERROR(VLOOKUP(D232,Mapa_Similitud!$A$2:$B$2000,2,FALSE()),D232),Hoja1!$A$2:$K$1000,7,FALSE()),0)</f>
        <v>0</v>
      </c>
      <c r="AZ232" s="5">
        <f>IFERROR(VLOOKUP(IFERROR(VLOOKUP(D232,Mapa_Similitud!$A$2:$B$2000,2,FALSE()),D232),Hoja1!$A$2:$K$1000,9,FALSE()),0)</f>
        <v>0</v>
      </c>
      <c r="BA232" s="25">
        <f t="shared" si="87"/>
        <v>7.2719999999999993E-2</v>
      </c>
      <c r="BB232" s="25">
        <f t="shared" si="88"/>
        <v>0</v>
      </c>
      <c r="BC232" s="25">
        <f t="shared" si="89"/>
        <v>2.7272800000000004</v>
      </c>
      <c r="BD232" s="25">
        <f t="shared" si="90"/>
        <v>0</v>
      </c>
      <c r="BE232" s="25">
        <f t="shared" si="91"/>
        <v>2.5181999999999998</v>
      </c>
      <c r="BF232" s="25">
        <f t="shared" si="92"/>
        <v>0</v>
      </c>
      <c r="BG232" s="25">
        <f t="shared" si="93"/>
        <v>0</v>
      </c>
      <c r="BH232" s="25">
        <f t="shared" si="94"/>
        <v>0.66699266503667487</v>
      </c>
      <c r="BI232" s="25">
        <f t="shared" si="95"/>
        <v>0</v>
      </c>
      <c r="BJ232" s="25">
        <f t="shared" si="96"/>
        <v>0</v>
      </c>
      <c r="BK232" s="25">
        <f t="shared" si="97"/>
        <v>0</v>
      </c>
      <c r="BL232" s="25">
        <f t="shared" si="98"/>
        <v>0.73619999999999997</v>
      </c>
      <c r="BM232" s="25">
        <f t="shared" si="99"/>
        <v>0</v>
      </c>
      <c r="BN232" s="18" t="str">
        <f t="shared" si="105"/>
        <v>Baja fuente de proteína</v>
      </c>
      <c r="BO232" s="18" t="str">
        <f t="shared" si="106"/>
        <v>Baja fuente de fibra</v>
      </c>
      <c r="BP232" s="18" t="str">
        <f t="shared" si="107"/>
        <v>Alta fuente de calcio</v>
      </c>
      <c r="BQ232" s="18" t="str">
        <f t="shared" si="108"/>
        <v>Baja fuente de hierro</v>
      </c>
      <c r="BR232" s="18" t="str">
        <f t="shared" si="109"/>
        <v>Muy alto en sodio</v>
      </c>
      <c r="BS232" s="6" t="str">
        <f t="shared" si="100"/>
        <v>Proinflamatorio</v>
      </c>
      <c r="BT232" s="6" t="str">
        <f t="shared" si="101"/>
        <v>Muy alto en grasas</v>
      </c>
      <c r="BU232" s="18" t="str">
        <f t="shared" si="110"/>
        <v>Equilibrio de líquidos ideal</v>
      </c>
      <c r="BV232" s="18" t="str">
        <f t="shared" si="111"/>
        <v>Baja fuente de magnesio</v>
      </c>
      <c r="BW232" s="18" t="str">
        <f t="shared" si="112"/>
        <v>Sin aporte de Omega 3</v>
      </c>
      <c r="BX232" s="18" t="str">
        <f t="shared" si="113"/>
        <v>Contiene grasas trans</v>
      </c>
      <c r="BY232" s="18" t="str">
        <f t="shared" si="114"/>
        <v>Bajo poder antioxidante</v>
      </c>
      <c r="BZ232" s="6" t="str">
        <f t="shared" si="102"/>
        <v>Sin probióticos</v>
      </c>
      <c r="CA232" s="18" t="str">
        <f t="shared" si="115"/>
        <v>Moderadamente inflamatorio</v>
      </c>
      <c r="CB232" s="18" t="str">
        <f>IF(ISNUMBER(SEARCH("miel", D232)), "No irritante (Uso condicionado SII)", IF(OR(J232&gt;0, ISNUMBER(SEARCH("cacao", D232)), ISNUMBER(SEARCH("chocolate puro", D232))), "Altamente irritante", IF(OR(AND(O232&gt;15, BI232&gt;1), ISNUMBER(SEARCH("chocolate", D232))), "Moderadamente irritante", "No irritante")))</f>
        <v>No irritante</v>
      </c>
      <c r="CC232" s="6" t="str">
        <f t="shared" si="103"/>
        <v>Balance de omegas favorable</v>
      </c>
    </row>
    <row r="233" spans="1:81" ht="15" customHeight="1" x14ac:dyDescent="0.3">
      <c r="A233" s="2">
        <f t="shared" si="104"/>
        <v>232</v>
      </c>
      <c r="B233" s="3" t="s">
        <v>323</v>
      </c>
      <c r="C233" s="3" t="s">
        <v>342</v>
      </c>
      <c r="D233" s="3" t="s">
        <v>357</v>
      </c>
      <c r="E233" s="3" t="s">
        <v>358</v>
      </c>
      <c r="F233" s="4">
        <v>3.5</v>
      </c>
      <c r="G233" s="5">
        <v>1</v>
      </c>
      <c r="H233" s="5">
        <v>375</v>
      </c>
      <c r="I233" s="5">
        <v>33</v>
      </c>
      <c r="J233" s="5">
        <v>0</v>
      </c>
      <c r="K233" s="5">
        <v>35.6</v>
      </c>
      <c r="L233" s="5">
        <v>0.06</v>
      </c>
      <c r="M233" s="5">
        <v>0</v>
      </c>
      <c r="N233" s="5">
        <v>5.6000000000000001E-2</v>
      </c>
      <c r="O233" s="5">
        <v>0</v>
      </c>
      <c r="P233" s="5">
        <v>0</v>
      </c>
      <c r="Q233" s="5">
        <v>25.8</v>
      </c>
      <c r="R233" s="5">
        <v>15.8</v>
      </c>
      <c r="S233" s="5">
        <v>6.8</v>
      </c>
      <c r="T233" s="5">
        <v>0.56000000000000005</v>
      </c>
      <c r="U233" s="5">
        <v>68</v>
      </c>
      <c r="V233" s="5">
        <v>360</v>
      </c>
      <c r="W233" s="5">
        <v>340</v>
      </c>
      <c r="X233" s="5">
        <v>116</v>
      </c>
      <c r="Y233" s="5">
        <v>0.65</v>
      </c>
      <c r="Z233" s="5">
        <v>0.9</v>
      </c>
      <c r="AA233" s="5">
        <v>3</v>
      </c>
      <c r="AB233" s="5">
        <v>0.02</v>
      </c>
      <c r="AC233" s="5">
        <v>0.62</v>
      </c>
      <c r="AD233" s="5">
        <v>7.7</v>
      </c>
      <c r="AE233" s="5">
        <v>9.6000000000000002E-2</v>
      </c>
      <c r="AF233" s="5">
        <v>20</v>
      </c>
      <c r="AG233" s="5">
        <v>1.5</v>
      </c>
      <c r="AH233" s="5">
        <v>0.53</v>
      </c>
      <c r="AI233" s="5">
        <v>3</v>
      </c>
      <c r="AJ233" s="5">
        <v>0</v>
      </c>
      <c r="AK233" s="5">
        <v>1178</v>
      </c>
      <c r="AL233" s="5">
        <v>743</v>
      </c>
      <c r="AM233" s="5">
        <v>1</v>
      </c>
      <c r="AN233" s="5">
        <v>2</v>
      </c>
      <c r="AO233" s="5">
        <v>3</v>
      </c>
      <c r="AP233" s="5">
        <v>41</v>
      </c>
      <c r="AQ233" s="5">
        <v>704</v>
      </c>
      <c r="AR233" s="5">
        <v>131</v>
      </c>
      <c r="AS233" s="5">
        <v>2.3E-2</v>
      </c>
      <c r="AT233" s="5">
        <v>0.36</v>
      </c>
      <c r="AU233" s="5">
        <v>23.9</v>
      </c>
      <c r="AV233" s="5">
        <f>IFERROR(VLOOKUP(IFERROR(VLOOKUP(D233,Mapa_Similitud!$A$2:$B$2000,2,FALSE()),D233),Hoja1!$A$2:$K$1000,2,FALSE()),IFERROR(VLOOKUP(IFERROR(VLOOKUP(D233,Mapa_Similitud!$A$2:$B$2000,2,FALSE()),D233),Omega3_Referencia!$A$2:$E$100,3,FALSE()),0))</f>
        <v>7.0000000000000007E-2</v>
      </c>
      <c r="AW233" s="3" t="str">
        <f>IFERROR(VLOOKUP(IFERROR(VLOOKUP(D233,Mapa_Similitud!$A$2:$B$2000,2,FALSE()),D233),Hoja1!$A$2:$K$1000,3,FALSE()),IFERROR(VLOOKUP(IFERROR(VLOOKUP(D233,Mapa_Similitud!$A$2:$B$2000,2,FALSE()),D233),Omega3_Referencia!$A$2:$E$100,4,FALSE()),"N/A"))</f>
        <v>ALA/EPA</v>
      </c>
      <c r="AX233" s="5">
        <f>IFERROR(VLOOKUP(IFERROR(VLOOKUP(D233,Mapa_Similitud!$A$2:$B$2000,2,FALSE()),D233),Hoja1!$A$2:$K$1000,5,FALSE()),0)</f>
        <v>0.2</v>
      </c>
      <c r="AY233" s="5">
        <f>IFERROR(VLOOKUP(IFERROR(VLOOKUP(D233,Mapa_Similitud!$A$2:$B$2000,2,FALSE()),D233),Hoja1!$A$2:$K$1000,7,FALSE()),0)</f>
        <v>0</v>
      </c>
      <c r="AZ233" s="5">
        <f>IFERROR(VLOOKUP(IFERROR(VLOOKUP(D233,Mapa_Similitud!$A$2:$B$2000,2,FALSE()),D233),Hoja1!$A$2:$K$1000,9,FALSE()),0)</f>
        <v>0</v>
      </c>
      <c r="BA233" s="25">
        <f t="shared" si="87"/>
        <v>9.4933333333333342E-2</v>
      </c>
      <c r="BB233" s="25">
        <f t="shared" si="88"/>
        <v>0</v>
      </c>
      <c r="BC233" s="25">
        <f t="shared" si="89"/>
        <v>3.1413333333333333</v>
      </c>
      <c r="BD233" s="25">
        <f t="shared" si="90"/>
        <v>2.6666666666666666E-3</v>
      </c>
      <c r="BE233" s="25">
        <f t="shared" si="91"/>
        <v>1.8773333333333333</v>
      </c>
      <c r="BF233" s="25">
        <f t="shared" si="92"/>
        <v>3.5443037974683546E-2</v>
      </c>
      <c r="BG233" s="25">
        <f t="shared" si="93"/>
        <v>1.5854643337819649</v>
      </c>
      <c r="BH233" s="25">
        <f t="shared" si="94"/>
        <v>0.61240310077519378</v>
      </c>
      <c r="BI233" s="25">
        <f t="shared" si="95"/>
        <v>5.3740458015267176</v>
      </c>
      <c r="BJ233" s="25">
        <f t="shared" si="96"/>
        <v>0.93333333333333335</v>
      </c>
      <c r="BK233" s="25">
        <f t="shared" si="97"/>
        <v>0</v>
      </c>
      <c r="BL233" s="25">
        <f t="shared" si="98"/>
        <v>0.61920000000000008</v>
      </c>
      <c r="BM233" s="25">
        <f t="shared" si="99"/>
        <v>0.10933333333333334</v>
      </c>
      <c r="BN233" s="18" t="str">
        <f t="shared" si="105"/>
        <v>Baja fuente de proteína</v>
      </c>
      <c r="BO233" s="18" t="str">
        <f t="shared" si="106"/>
        <v>Baja fuente de fibra</v>
      </c>
      <c r="BP233" s="18" t="str">
        <f t="shared" si="107"/>
        <v>Alta fuente de calcio</v>
      </c>
      <c r="BQ233" s="18" t="str">
        <f t="shared" si="108"/>
        <v>Baja fuente de hierro</v>
      </c>
      <c r="BR233" s="18" t="str">
        <f t="shared" si="109"/>
        <v>Alto en sodio</v>
      </c>
      <c r="BS233" s="6" t="str">
        <f t="shared" si="100"/>
        <v>Proinflamatorio</v>
      </c>
      <c r="BT233" s="6" t="str">
        <f t="shared" si="101"/>
        <v>Muy alto en grasas</v>
      </c>
      <c r="BU233" s="18" t="str">
        <f t="shared" si="110"/>
        <v>Alto riesgo de retención de líquidos</v>
      </c>
      <c r="BV233" s="18" t="str">
        <f t="shared" si="111"/>
        <v>Baja fuente de magnesio</v>
      </c>
      <c r="BW233" s="18" t="str">
        <f t="shared" si="112"/>
        <v>Sin aporte de Omega 3</v>
      </c>
      <c r="BX233" s="18" t="str">
        <f t="shared" si="113"/>
        <v>Contiene grasas trans</v>
      </c>
      <c r="BY233" s="18" t="str">
        <f t="shared" si="114"/>
        <v>Bajo poder antioxidante</v>
      </c>
      <c r="BZ233" s="6" t="str">
        <f t="shared" si="102"/>
        <v>Sin probióticos</v>
      </c>
      <c r="CA233" s="18" t="str">
        <f t="shared" si="115"/>
        <v>Moderadamente inflamatorio</v>
      </c>
      <c r="CB233" s="18" t="str">
        <f>IF(ISNUMBER(SEARCH("miel", D233)), "No irritante (Uso condicionado SII)", IF(OR(J233&gt;0, ISNUMBER(SEARCH("cacao", D233)), ISNUMBER(SEARCH("chocolate puro", D233))), "Altamente irritante", IF(OR(AND(O233&gt;15, BI233&gt;1), ISNUMBER(SEARCH("chocolate", D233))), "Moderadamente irritante", "No irritante")))</f>
        <v>No irritante</v>
      </c>
      <c r="CC233" s="6" t="str">
        <f t="shared" si="103"/>
        <v>Exceso relativo de Omega 6</v>
      </c>
    </row>
    <row r="234" spans="1:81" ht="15" customHeight="1" x14ac:dyDescent="0.3">
      <c r="A234" s="2">
        <f t="shared" si="104"/>
        <v>233</v>
      </c>
      <c r="B234" s="3" t="s">
        <v>323</v>
      </c>
      <c r="C234" s="3" t="s">
        <v>342</v>
      </c>
      <c r="D234" s="3" t="s">
        <v>359</v>
      </c>
      <c r="E234" s="3"/>
      <c r="F234" s="4">
        <v>8</v>
      </c>
      <c r="G234" s="5">
        <v>1</v>
      </c>
      <c r="H234" s="5">
        <v>233</v>
      </c>
      <c r="I234" s="5">
        <v>59.2</v>
      </c>
      <c r="J234" s="5">
        <v>0</v>
      </c>
      <c r="K234" s="5">
        <v>19.899999999999999</v>
      </c>
      <c r="L234" s="5">
        <v>2.2000000000000002</v>
      </c>
      <c r="M234" s="5">
        <v>0</v>
      </c>
      <c r="N234" s="5">
        <v>2.2000000000000002</v>
      </c>
      <c r="O234" s="5">
        <v>0</v>
      </c>
      <c r="P234" s="5">
        <v>0</v>
      </c>
      <c r="Q234" s="5">
        <v>16.100000000000001</v>
      </c>
      <c r="R234" s="5">
        <v>9.9</v>
      </c>
      <c r="S234" s="5">
        <v>4.5999999999999996</v>
      </c>
      <c r="T234" s="5">
        <v>0.47</v>
      </c>
      <c r="U234" s="5">
        <v>78</v>
      </c>
      <c r="V234" s="5">
        <v>206</v>
      </c>
      <c r="W234" s="5">
        <v>199</v>
      </c>
      <c r="X234" s="5">
        <v>42</v>
      </c>
      <c r="Y234" s="5">
        <v>0.1</v>
      </c>
      <c r="Z234" s="5">
        <v>0.35</v>
      </c>
      <c r="AA234" s="5">
        <v>2.2999999999999998</v>
      </c>
      <c r="AB234" s="5">
        <v>0.03</v>
      </c>
      <c r="AC234" s="5">
        <v>0.27</v>
      </c>
      <c r="AD234" s="5">
        <v>4.0999999999999996</v>
      </c>
      <c r="AE234" s="5">
        <v>6.0000000000000001E-3</v>
      </c>
      <c r="AF234" s="5">
        <v>10</v>
      </c>
      <c r="AG234" s="5">
        <v>0.65</v>
      </c>
      <c r="AH234" s="5">
        <v>6.4000000000000001E-2</v>
      </c>
      <c r="AI234" s="5">
        <v>2</v>
      </c>
      <c r="AJ234" s="5">
        <v>0</v>
      </c>
      <c r="AK234" s="5">
        <v>632</v>
      </c>
      <c r="AL234" s="5">
        <v>428</v>
      </c>
      <c r="AM234" s="5">
        <v>0.2</v>
      </c>
      <c r="AN234" s="5">
        <v>2</v>
      </c>
      <c r="AO234" s="5">
        <v>2.2000000000000002</v>
      </c>
      <c r="AP234" s="5">
        <v>24</v>
      </c>
      <c r="AQ234" s="5">
        <v>373</v>
      </c>
      <c r="AR234" s="5">
        <v>67</v>
      </c>
      <c r="AS234" s="5">
        <v>8.0000000000000002E-3</v>
      </c>
      <c r="AT234" s="5">
        <v>0.02</v>
      </c>
      <c r="AU234" s="5">
        <v>14.5</v>
      </c>
      <c r="AV234" s="5">
        <f>IFERROR(VLOOKUP(IFERROR(VLOOKUP(D234,Mapa_Similitud!$A$2:$B$2000,2,FALSE()),D234),Hoja1!$A$2:$K$1000,2,FALSE()),IFERROR(VLOOKUP(IFERROR(VLOOKUP(D234,Mapa_Similitud!$A$2:$B$2000,2,FALSE()),D234),Omega3_Referencia!$A$2:$E$100,3,FALSE()),0))</f>
        <v>0.05</v>
      </c>
      <c r="AW234" s="3" t="str">
        <f>IFERROR(VLOOKUP(IFERROR(VLOOKUP(D234,Mapa_Similitud!$A$2:$B$2000,2,FALSE()),D234),Hoja1!$A$2:$K$1000,3,FALSE()),IFERROR(VLOOKUP(IFERROR(VLOOKUP(D234,Mapa_Similitud!$A$2:$B$2000,2,FALSE()),D234),Omega3_Referencia!$A$2:$E$100,4,FALSE()),"N/A"))</f>
        <v>ALA/EPA</v>
      </c>
      <c r="AX234" s="5">
        <f>IFERROR(VLOOKUP(IFERROR(VLOOKUP(D234,Mapa_Similitud!$A$2:$B$2000,2,FALSE()),D234),Hoja1!$A$2:$K$1000,5,FALSE()),0)</f>
        <v>0.1</v>
      </c>
      <c r="AY234" s="5">
        <f>IFERROR(VLOOKUP(IFERROR(VLOOKUP(D234,Mapa_Similitud!$A$2:$B$2000,2,FALSE()),D234),Hoja1!$A$2:$K$1000,7,FALSE()),0)</f>
        <v>0</v>
      </c>
      <c r="AZ234" s="5">
        <f>IFERROR(VLOOKUP(IFERROR(VLOOKUP(D234,Mapa_Similitud!$A$2:$B$2000,2,FALSE()),D234),Hoja1!$A$2:$K$1000,9,FALSE()),0)</f>
        <v>0</v>
      </c>
      <c r="BA234" s="25">
        <f t="shared" si="87"/>
        <v>8.5407725321888409E-2</v>
      </c>
      <c r="BB234" s="25">
        <f t="shared" si="88"/>
        <v>0</v>
      </c>
      <c r="BC234" s="25">
        <f t="shared" si="89"/>
        <v>2.7124463519313307</v>
      </c>
      <c r="BD234" s="25">
        <f t="shared" si="90"/>
        <v>8.5836909871244641E-4</v>
      </c>
      <c r="BE234" s="25">
        <f t="shared" si="91"/>
        <v>1.6008583690987124</v>
      </c>
      <c r="BF234" s="25">
        <f t="shared" si="92"/>
        <v>4.7474747474747468E-2</v>
      </c>
      <c r="BG234" s="25">
        <f t="shared" si="93"/>
        <v>1.4766355140186915</v>
      </c>
      <c r="BH234" s="25">
        <f t="shared" si="94"/>
        <v>0.61490683229813659</v>
      </c>
      <c r="BI234" s="25">
        <f t="shared" si="95"/>
        <v>5.5671641791044779</v>
      </c>
      <c r="BJ234" s="25">
        <f t="shared" si="96"/>
        <v>1</v>
      </c>
      <c r="BK234" s="25">
        <f t="shared" si="97"/>
        <v>0</v>
      </c>
      <c r="BL234" s="25">
        <f t="shared" si="98"/>
        <v>0.62188841201716738</v>
      </c>
      <c r="BM234" s="25">
        <f t="shared" si="99"/>
        <v>0.10300429184549356</v>
      </c>
      <c r="BN234" s="18" t="str">
        <f t="shared" si="105"/>
        <v>Baja fuente de proteína</v>
      </c>
      <c r="BO234" s="18" t="str">
        <f t="shared" si="106"/>
        <v>Baja fuente de fibra</v>
      </c>
      <c r="BP234" s="18" t="str">
        <f t="shared" si="107"/>
        <v>Alta fuente de calcio</v>
      </c>
      <c r="BQ234" s="18" t="str">
        <f t="shared" si="108"/>
        <v>Baja fuente de hierro</v>
      </c>
      <c r="BR234" s="18" t="str">
        <f t="shared" si="109"/>
        <v>Alto en sodio</v>
      </c>
      <c r="BS234" s="6" t="str">
        <f t="shared" si="100"/>
        <v>Proinflamatorio</v>
      </c>
      <c r="BT234" s="6" t="str">
        <f t="shared" si="101"/>
        <v>Muy alto en grasas</v>
      </c>
      <c r="BU234" s="18" t="str">
        <f t="shared" si="110"/>
        <v>Alto riesgo de retención de líquidos</v>
      </c>
      <c r="BV234" s="18" t="str">
        <f t="shared" si="111"/>
        <v>Baja fuente de magnesio</v>
      </c>
      <c r="BW234" s="18" t="str">
        <f t="shared" si="112"/>
        <v>Sin aporte de Omega 3</v>
      </c>
      <c r="BX234" s="18" t="str">
        <f t="shared" si="113"/>
        <v>Contiene grasas trans</v>
      </c>
      <c r="BY234" s="18" t="str">
        <f t="shared" si="114"/>
        <v>Bajo poder antioxidante</v>
      </c>
      <c r="BZ234" s="6" t="str">
        <f t="shared" si="102"/>
        <v>Sin probióticos</v>
      </c>
      <c r="CA234" s="18" t="str">
        <f t="shared" si="115"/>
        <v>Moderadamente inflamatorio</v>
      </c>
      <c r="CB234" s="18" t="str">
        <f>IF(ISNUMBER(SEARCH("miel", D234)), "No irritante (Uso condicionado SII)", IF(OR(J234&gt;0, ISNUMBER(SEARCH("cacao", D234)), ISNUMBER(SEARCH("chocolate puro", D234))), "Altamente irritante", IF(OR(AND(O234&gt;15, BI234&gt;1), ISNUMBER(SEARCH("chocolate", D234))), "Moderadamente irritante", "No irritante")))</f>
        <v>No irritante</v>
      </c>
      <c r="CC234" s="6" t="str">
        <f t="shared" si="103"/>
        <v>Exceso relativo de Omega 6</v>
      </c>
    </row>
    <row r="235" spans="1:81" ht="15" customHeight="1" x14ac:dyDescent="0.3">
      <c r="A235" s="2">
        <f t="shared" si="104"/>
        <v>234</v>
      </c>
      <c r="B235" s="3" t="s">
        <v>323</v>
      </c>
      <c r="C235" s="3" t="s">
        <v>342</v>
      </c>
      <c r="D235" s="3" t="s">
        <v>360</v>
      </c>
      <c r="E235" s="3" t="s">
        <v>361</v>
      </c>
      <c r="F235" s="4">
        <v>3.5</v>
      </c>
      <c r="G235" s="5">
        <v>1</v>
      </c>
      <c r="H235" s="5">
        <v>325.10000000000002</v>
      </c>
      <c r="I235" s="5">
        <v>0</v>
      </c>
      <c r="J235" s="5">
        <v>0</v>
      </c>
      <c r="K235" s="5">
        <v>19.510000000000002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26.01</v>
      </c>
      <c r="R235" s="5">
        <v>13</v>
      </c>
      <c r="S235" s="5">
        <v>0</v>
      </c>
      <c r="T235" s="5">
        <v>0</v>
      </c>
      <c r="U235" s="5">
        <v>97.53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650.20000000000005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520.16</v>
      </c>
      <c r="AR235" s="5">
        <v>0</v>
      </c>
      <c r="AS235" s="5">
        <v>0</v>
      </c>
      <c r="AT235" s="5">
        <v>0</v>
      </c>
      <c r="AU235" s="5">
        <v>0</v>
      </c>
      <c r="AV235" s="5">
        <f>IFERROR(VLOOKUP(IFERROR(VLOOKUP(D235,Mapa_Similitud!$A$2:$B$2000,2,FALSE()),D235),Hoja1!$A$2:$K$1000,2,FALSE()),IFERROR(VLOOKUP(IFERROR(VLOOKUP(D235,Mapa_Similitud!$A$2:$B$2000,2,FALSE()),D235),Omega3_Referencia!$A$2:$E$100,3,FALSE()),0))</f>
        <v>0.05</v>
      </c>
      <c r="AW235" s="3" t="str">
        <f>IFERROR(VLOOKUP(IFERROR(VLOOKUP(D235,Mapa_Similitud!$A$2:$B$2000,2,FALSE()),D235),Hoja1!$A$2:$K$1000,3,FALSE()),IFERROR(VLOOKUP(IFERROR(VLOOKUP(D235,Mapa_Similitud!$A$2:$B$2000,2,FALSE()),D235),Omega3_Referencia!$A$2:$E$100,4,FALSE()),"N/A"))</f>
        <v>ALA/EPA</v>
      </c>
      <c r="AX235" s="5">
        <f>IFERROR(VLOOKUP(IFERROR(VLOOKUP(D235,Mapa_Similitud!$A$2:$B$2000,2,FALSE()),D235),Hoja1!$A$2:$K$1000,5,FALSE()),0)</f>
        <v>0.1</v>
      </c>
      <c r="AY235" s="5">
        <f>IFERROR(VLOOKUP(IFERROR(VLOOKUP(D235,Mapa_Similitud!$A$2:$B$2000,2,FALSE()),D235),Hoja1!$A$2:$K$1000,7,FALSE()),0)</f>
        <v>0</v>
      </c>
      <c r="AZ235" s="5">
        <f>IFERROR(VLOOKUP(IFERROR(VLOOKUP(D235,Mapa_Similitud!$A$2:$B$2000,2,FALSE()),D235),Hoja1!$A$2:$K$1000,9,FALSE()),0)</f>
        <v>0</v>
      </c>
      <c r="BA235" s="25">
        <f t="shared" si="87"/>
        <v>6.0012303906490309E-2</v>
      </c>
      <c r="BB235" s="25">
        <f t="shared" si="88"/>
        <v>0</v>
      </c>
      <c r="BC235" s="25">
        <f t="shared" si="89"/>
        <v>2</v>
      </c>
      <c r="BD235" s="25">
        <f t="shared" si="90"/>
        <v>0</v>
      </c>
      <c r="BE235" s="25">
        <f t="shared" si="91"/>
        <v>1.5999999999999999</v>
      </c>
      <c r="BF235" s="25">
        <f t="shared" si="92"/>
        <v>0</v>
      </c>
      <c r="BG235" s="25">
        <f t="shared" si="93"/>
        <v>0</v>
      </c>
      <c r="BH235" s="25">
        <f t="shared" si="94"/>
        <v>0.49980776624375239</v>
      </c>
      <c r="BI235" s="25">
        <f t="shared" si="95"/>
        <v>0</v>
      </c>
      <c r="BJ235" s="25">
        <f t="shared" si="96"/>
        <v>0</v>
      </c>
      <c r="BK235" s="25">
        <f t="shared" si="97"/>
        <v>0</v>
      </c>
      <c r="BL235" s="25">
        <f t="shared" si="98"/>
        <v>0.72005536757920641</v>
      </c>
      <c r="BM235" s="25">
        <f t="shared" si="99"/>
        <v>0</v>
      </c>
      <c r="BN235" s="18" t="str">
        <f t="shared" si="105"/>
        <v>Baja fuente de proteína</v>
      </c>
      <c r="BO235" s="18" t="str">
        <f t="shared" si="106"/>
        <v>Baja fuente de fibra</v>
      </c>
      <c r="BP235" s="18" t="str">
        <f t="shared" si="107"/>
        <v>Alta fuente de calcio</v>
      </c>
      <c r="BQ235" s="18" t="str">
        <f t="shared" si="108"/>
        <v>Baja fuente de hierro</v>
      </c>
      <c r="BR235" s="18" t="str">
        <f t="shared" si="109"/>
        <v>Alto en sodio</v>
      </c>
      <c r="BS235" s="6" t="str">
        <f t="shared" si="100"/>
        <v>Proinflamatorio</v>
      </c>
      <c r="BT235" s="6" t="str">
        <f t="shared" si="101"/>
        <v>Muy alto en grasas</v>
      </c>
      <c r="BU235" s="18" t="str">
        <f t="shared" si="110"/>
        <v>Equilibrio de líquidos ideal</v>
      </c>
      <c r="BV235" s="18" t="str">
        <f t="shared" si="111"/>
        <v>Baja fuente de magnesio</v>
      </c>
      <c r="BW235" s="18" t="str">
        <f t="shared" si="112"/>
        <v>Sin aporte de Omega 3</v>
      </c>
      <c r="BX235" s="18" t="str">
        <f t="shared" si="113"/>
        <v>Contiene grasas trans</v>
      </c>
      <c r="BY235" s="18" t="str">
        <f t="shared" si="114"/>
        <v>Bajo poder antioxidante</v>
      </c>
      <c r="BZ235" s="6" t="str">
        <f t="shared" si="102"/>
        <v>Sin probióticos</v>
      </c>
      <c r="CA235" s="18" t="str">
        <f t="shared" si="115"/>
        <v>Moderadamente inflamatorio</v>
      </c>
      <c r="CB235" s="18" t="str">
        <f>IF(ISNUMBER(SEARCH("miel", D235)), "No irritante (Uso condicionado SII)", IF(OR(J235&gt;0, ISNUMBER(SEARCH("cacao", D235)), ISNUMBER(SEARCH("chocolate puro", D235))), "Altamente irritante", IF(OR(AND(O235&gt;15, BI235&gt;1), ISNUMBER(SEARCH("chocolate", D235))), "Moderadamente irritante", "No irritante")))</f>
        <v>No irritante</v>
      </c>
      <c r="CC235" s="6" t="str">
        <f t="shared" si="103"/>
        <v>Balance de omegas favorable</v>
      </c>
    </row>
    <row r="236" spans="1:81" ht="15" customHeight="1" x14ac:dyDescent="0.3">
      <c r="A236" s="2">
        <f t="shared" si="104"/>
        <v>235</v>
      </c>
      <c r="B236" s="3" t="s">
        <v>323</v>
      </c>
      <c r="C236" s="3" t="s">
        <v>342</v>
      </c>
      <c r="D236" s="3" t="s">
        <v>362</v>
      </c>
      <c r="E236" s="3" t="s">
        <v>363</v>
      </c>
      <c r="F236" s="4">
        <v>3.5</v>
      </c>
      <c r="G236" s="5">
        <v>1</v>
      </c>
      <c r="H236" s="5">
        <v>300</v>
      </c>
      <c r="I236" s="5">
        <v>0</v>
      </c>
      <c r="J236" s="5">
        <v>0</v>
      </c>
      <c r="K236" s="5">
        <v>23.33</v>
      </c>
      <c r="L236" s="5">
        <v>3.33</v>
      </c>
      <c r="M236" s="5">
        <v>0</v>
      </c>
      <c r="N236" s="5">
        <v>0</v>
      </c>
      <c r="O236" s="5">
        <v>0</v>
      </c>
      <c r="P236" s="5">
        <v>0</v>
      </c>
      <c r="Q236" s="5">
        <v>23.33</v>
      </c>
      <c r="R236" s="5">
        <v>13.33</v>
      </c>
      <c r="S236" s="5">
        <v>0</v>
      </c>
      <c r="T236" s="5">
        <v>0</v>
      </c>
      <c r="U236" s="5">
        <v>83.33</v>
      </c>
      <c r="V236" s="5">
        <v>3.2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500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633.33000000000004</v>
      </c>
      <c r="AR236" s="5">
        <v>0</v>
      </c>
      <c r="AS236" s="5">
        <v>0</v>
      </c>
      <c r="AT236" s="5">
        <v>0</v>
      </c>
      <c r="AU236" s="5">
        <v>0</v>
      </c>
      <c r="AV236" s="5">
        <f>IFERROR(VLOOKUP(IFERROR(VLOOKUP(D236,Mapa_Similitud!$A$2:$B$2000,2,FALSE()),D236),Hoja1!$A$2:$K$1000,2,FALSE()),IFERROR(VLOOKUP(IFERROR(VLOOKUP(D236,Mapa_Similitud!$A$2:$B$2000,2,FALSE()),D236),Omega3_Referencia!$A$2:$E$100,3,FALSE()),0))</f>
        <v>0.05</v>
      </c>
      <c r="AW236" s="3" t="str">
        <f>IFERROR(VLOOKUP(IFERROR(VLOOKUP(D236,Mapa_Similitud!$A$2:$B$2000,2,FALSE()),D236),Hoja1!$A$2:$K$1000,3,FALSE()),IFERROR(VLOOKUP(IFERROR(VLOOKUP(D236,Mapa_Similitud!$A$2:$B$2000,2,FALSE()),D236),Omega3_Referencia!$A$2:$E$100,4,FALSE()),"N/A"))</f>
        <v>ALA/EPA</v>
      </c>
      <c r="AX236" s="5">
        <f>IFERROR(VLOOKUP(IFERROR(VLOOKUP(D236,Mapa_Similitud!$A$2:$B$2000,2,FALSE()),D236),Hoja1!$A$2:$K$1000,5,FALSE()),0)</f>
        <v>0.1</v>
      </c>
      <c r="AY236" s="5">
        <f>IFERROR(VLOOKUP(IFERROR(VLOOKUP(D236,Mapa_Similitud!$A$2:$B$2000,2,FALSE()),D236),Hoja1!$A$2:$K$1000,7,FALSE()),0)</f>
        <v>0</v>
      </c>
      <c r="AZ236" s="5">
        <f>IFERROR(VLOOKUP(IFERROR(VLOOKUP(D236,Mapa_Similitud!$A$2:$B$2000,2,FALSE()),D236),Hoja1!$A$2:$K$1000,9,FALSE()),0)</f>
        <v>0</v>
      </c>
      <c r="BA236" s="25">
        <f t="shared" si="87"/>
        <v>7.7766666666666664E-2</v>
      </c>
      <c r="BB236" s="25">
        <f t="shared" si="88"/>
        <v>0</v>
      </c>
      <c r="BC236" s="25">
        <f t="shared" si="89"/>
        <v>1.6666666666666667</v>
      </c>
      <c r="BD236" s="25">
        <f t="shared" si="90"/>
        <v>0</v>
      </c>
      <c r="BE236" s="25">
        <f t="shared" si="91"/>
        <v>2.1111</v>
      </c>
      <c r="BF236" s="25">
        <f t="shared" si="92"/>
        <v>0</v>
      </c>
      <c r="BG236" s="25">
        <f t="shared" si="93"/>
        <v>0</v>
      </c>
      <c r="BH236" s="25">
        <f t="shared" si="94"/>
        <v>0.57136733819117025</v>
      </c>
      <c r="BI236" s="25">
        <f t="shared" si="95"/>
        <v>0</v>
      </c>
      <c r="BJ236" s="25">
        <f t="shared" si="96"/>
        <v>0</v>
      </c>
      <c r="BK236" s="25">
        <f t="shared" si="97"/>
        <v>0</v>
      </c>
      <c r="BL236" s="25">
        <f t="shared" si="98"/>
        <v>0.69989999999999986</v>
      </c>
      <c r="BM236" s="25">
        <f t="shared" si="99"/>
        <v>0</v>
      </c>
      <c r="BN236" s="18" t="str">
        <f t="shared" si="105"/>
        <v>Baja fuente de proteína</v>
      </c>
      <c r="BO236" s="18" t="str">
        <f t="shared" si="106"/>
        <v>Baja fuente de fibra</v>
      </c>
      <c r="BP236" s="18" t="str">
        <f t="shared" si="107"/>
        <v>Alta fuente de calcio</v>
      </c>
      <c r="BQ236" s="18" t="str">
        <f t="shared" si="108"/>
        <v>Baja fuente de hierro</v>
      </c>
      <c r="BR236" s="18" t="str">
        <f t="shared" si="109"/>
        <v>Muy alto en sodio</v>
      </c>
      <c r="BS236" s="6" t="str">
        <f t="shared" si="100"/>
        <v>Proinflamatorio</v>
      </c>
      <c r="BT236" s="6" t="str">
        <f t="shared" si="101"/>
        <v>Muy alto en grasas</v>
      </c>
      <c r="BU236" s="18" t="str">
        <f t="shared" si="110"/>
        <v>Equilibrio de líquidos ideal</v>
      </c>
      <c r="BV236" s="18" t="str">
        <f t="shared" si="111"/>
        <v>Baja fuente de magnesio</v>
      </c>
      <c r="BW236" s="18" t="str">
        <f t="shared" si="112"/>
        <v>Sin aporte de Omega 3</v>
      </c>
      <c r="BX236" s="18" t="str">
        <f t="shared" si="113"/>
        <v>Contiene grasas trans</v>
      </c>
      <c r="BY236" s="18" t="str">
        <f t="shared" si="114"/>
        <v>Bajo poder antioxidante</v>
      </c>
      <c r="BZ236" s="6" t="str">
        <f t="shared" si="102"/>
        <v>Sin probióticos</v>
      </c>
      <c r="CA236" s="18" t="str">
        <f t="shared" si="115"/>
        <v>Moderadamente inflamatorio</v>
      </c>
      <c r="CB236" s="18" t="str">
        <f>IF(ISNUMBER(SEARCH("miel", D236)), "No irritante (Uso condicionado SII)", IF(OR(J236&gt;0, ISNUMBER(SEARCH("cacao", D236)), ISNUMBER(SEARCH("chocolate puro", D236))), "Altamente irritante", IF(OR(AND(O236&gt;15, BI236&gt;1), ISNUMBER(SEARCH("chocolate", D236))), "Moderadamente irritante", "No irritante")))</f>
        <v>No irritante</v>
      </c>
      <c r="CC236" s="6" t="str">
        <f t="shared" si="103"/>
        <v>Balance de omegas favorable</v>
      </c>
    </row>
    <row r="237" spans="1:81" ht="15" customHeight="1" x14ac:dyDescent="0.3">
      <c r="A237" s="2">
        <f t="shared" si="104"/>
        <v>236</v>
      </c>
      <c r="B237" s="3" t="s">
        <v>323</v>
      </c>
      <c r="C237" s="3" t="s">
        <v>342</v>
      </c>
      <c r="D237" s="3" t="s">
        <v>364</v>
      </c>
      <c r="E237" s="3"/>
      <c r="F237" s="4">
        <v>14</v>
      </c>
      <c r="G237" s="5">
        <v>0.95</v>
      </c>
      <c r="H237" s="5">
        <v>375</v>
      </c>
      <c r="I237" s="5">
        <v>33</v>
      </c>
      <c r="J237" s="5">
        <v>0</v>
      </c>
      <c r="K237" s="5">
        <v>35.6</v>
      </c>
      <c r="L237" s="5">
        <v>0.06</v>
      </c>
      <c r="M237" s="5">
        <v>0</v>
      </c>
      <c r="N237" s="5">
        <v>5.6000000000000001E-2</v>
      </c>
      <c r="O237" s="5">
        <v>0</v>
      </c>
      <c r="P237" s="5">
        <v>0</v>
      </c>
      <c r="Q237" s="5">
        <v>25.8</v>
      </c>
      <c r="R237" s="5">
        <v>15.8</v>
      </c>
      <c r="S237" s="5">
        <v>6.8</v>
      </c>
      <c r="T237" s="5">
        <v>0.56000000000000005</v>
      </c>
      <c r="U237" s="5">
        <v>68</v>
      </c>
      <c r="V237" s="5">
        <v>360</v>
      </c>
      <c r="W237" s="5">
        <v>340</v>
      </c>
      <c r="X237" s="5">
        <v>116</v>
      </c>
      <c r="Y237" s="5">
        <v>0.65</v>
      </c>
      <c r="Z237" s="5">
        <v>0.9</v>
      </c>
      <c r="AA237" s="5">
        <v>3</v>
      </c>
      <c r="AB237" s="5">
        <v>0.02</v>
      </c>
      <c r="AC237" s="5">
        <v>0.62</v>
      </c>
      <c r="AD237" s="5">
        <v>7.7</v>
      </c>
      <c r="AE237" s="5">
        <v>9.6000000000000002E-2</v>
      </c>
      <c r="AF237" s="5">
        <v>20</v>
      </c>
      <c r="AG237" s="5">
        <v>1.5</v>
      </c>
      <c r="AH237" s="5">
        <v>0.53</v>
      </c>
      <c r="AI237" s="5">
        <v>3</v>
      </c>
      <c r="AJ237" s="5">
        <v>0</v>
      </c>
      <c r="AK237" s="5">
        <v>1178</v>
      </c>
      <c r="AL237" s="5">
        <v>743</v>
      </c>
      <c r="AM237" s="5">
        <v>1</v>
      </c>
      <c r="AN237" s="5">
        <v>2</v>
      </c>
      <c r="AO237" s="5">
        <v>3</v>
      </c>
      <c r="AP237" s="5">
        <v>41</v>
      </c>
      <c r="AQ237" s="5">
        <v>704</v>
      </c>
      <c r="AR237" s="5">
        <v>131</v>
      </c>
      <c r="AS237" s="5">
        <v>2.3E-2</v>
      </c>
      <c r="AT237" s="5">
        <v>0.36</v>
      </c>
      <c r="AU237" s="5">
        <v>23.9</v>
      </c>
      <c r="AV237" s="5">
        <f>IFERROR(VLOOKUP(IFERROR(VLOOKUP(D237,Mapa_Similitud!$A$2:$B$2000,2,FALSE()),D237),Hoja1!$A$2:$K$1000,2,FALSE()),IFERROR(VLOOKUP(IFERROR(VLOOKUP(D237,Mapa_Similitud!$A$2:$B$2000,2,FALSE()),D237),Omega3_Referencia!$A$2:$E$100,3,FALSE()),0))</f>
        <v>0.12</v>
      </c>
      <c r="AW237" s="3" t="str">
        <f>IFERROR(VLOOKUP(IFERROR(VLOOKUP(D237,Mapa_Similitud!$A$2:$B$2000,2,FALSE()),D237),Hoja1!$A$2:$K$1000,3,FALSE()),IFERROR(VLOOKUP(IFERROR(VLOOKUP(D237,Mapa_Similitud!$A$2:$B$2000,2,FALSE()),D237),Omega3_Referencia!$A$2:$E$100,4,FALSE()),"N/A"))</f>
        <v>ALA/EPA</v>
      </c>
      <c r="AX237" s="5">
        <f>IFERROR(VLOOKUP(IFERROR(VLOOKUP(D237,Mapa_Similitud!$A$2:$B$2000,2,FALSE()),D237),Hoja1!$A$2:$K$1000,5,FALSE()),0)</f>
        <v>0.3</v>
      </c>
      <c r="AY237" s="5">
        <f>IFERROR(VLOOKUP(IFERROR(VLOOKUP(D237,Mapa_Similitud!$A$2:$B$2000,2,FALSE()),D237),Hoja1!$A$2:$K$1000,7,FALSE()),0)</f>
        <v>0</v>
      </c>
      <c r="AZ237" s="5">
        <f>IFERROR(VLOOKUP(IFERROR(VLOOKUP(D237,Mapa_Similitud!$A$2:$B$2000,2,FALSE()),D237),Hoja1!$A$2:$K$1000,9,FALSE()),0)</f>
        <v>0.1</v>
      </c>
      <c r="BA237" s="25">
        <f t="shared" si="87"/>
        <v>9.4933333333333342E-2</v>
      </c>
      <c r="BB237" s="25">
        <f t="shared" si="88"/>
        <v>0</v>
      </c>
      <c r="BC237" s="25">
        <f t="shared" si="89"/>
        <v>3.1413333333333333</v>
      </c>
      <c r="BD237" s="25">
        <f t="shared" si="90"/>
        <v>2.6666666666666666E-3</v>
      </c>
      <c r="BE237" s="25">
        <f t="shared" si="91"/>
        <v>1.8773333333333333</v>
      </c>
      <c r="BF237" s="25">
        <f t="shared" si="92"/>
        <v>3.5443037974683546E-2</v>
      </c>
      <c r="BG237" s="25">
        <f t="shared" si="93"/>
        <v>1.5854643337819649</v>
      </c>
      <c r="BH237" s="25">
        <f t="shared" si="94"/>
        <v>0.61240310077519378</v>
      </c>
      <c r="BI237" s="25">
        <f t="shared" si="95"/>
        <v>5.3740458015267176</v>
      </c>
      <c r="BJ237" s="25">
        <f t="shared" si="96"/>
        <v>0.93333333333333335</v>
      </c>
      <c r="BK237" s="25">
        <f t="shared" si="97"/>
        <v>0</v>
      </c>
      <c r="BL237" s="25">
        <f t="shared" si="98"/>
        <v>0.61920000000000008</v>
      </c>
      <c r="BM237" s="25">
        <f t="shared" si="99"/>
        <v>0.10933333333333334</v>
      </c>
      <c r="BN237" s="18" t="str">
        <f t="shared" si="105"/>
        <v>Baja fuente de proteína</v>
      </c>
      <c r="BO237" s="18" t="str">
        <f t="shared" si="106"/>
        <v>Baja fuente de fibra</v>
      </c>
      <c r="BP237" s="18" t="str">
        <f t="shared" si="107"/>
        <v>Alta fuente de calcio</v>
      </c>
      <c r="BQ237" s="18" t="str">
        <f t="shared" si="108"/>
        <v>Baja fuente de hierro</v>
      </c>
      <c r="BR237" s="18" t="str">
        <f t="shared" si="109"/>
        <v>Alto en sodio</v>
      </c>
      <c r="BS237" s="6" t="str">
        <f t="shared" si="100"/>
        <v>Proinflamatorio</v>
      </c>
      <c r="BT237" s="6" t="str">
        <f t="shared" si="101"/>
        <v>Muy alto en grasas</v>
      </c>
      <c r="BU237" s="18" t="str">
        <f t="shared" si="110"/>
        <v>Alto riesgo de retención de líquidos</v>
      </c>
      <c r="BV237" s="18" t="str">
        <f t="shared" si="111"/>
        <v>Baja fuente de magnesio</v>
      </c>
      <c r="BW237" s="18" t="str">
        <f t="shared" si="112"/>
        <v>Ligera fuente de Omega 3</v>
      </c>
      <c r="BX237" s="18" t="str">
        <f t="shared" si="113"/>
        <v>Contiene grasas trans</v>
      </c>
      <c r="BY237" s="18" t="str">
        <f t="shared" si="114"/>
        <v>Bajo poder antioxidante</v>
      </c>
      <c r="BZ237" s="6" t="str">
        <f t="shared" si="102"/>
        <v>Sin probióticos</v>
      </c>
      <c r="CA237" s="18" t="str">
        <f t="shared" si="115"/>
        <v>Moderadamente inflamatorio</v>
      </c>
      <c r="CB237" s="18" t="str">
        <f>IF(ISNUMBER(SEARCH("miel", D237)), "No irritante (Uso condicionado SII)", IF(OR(J237&gt;0, ISNUMBER(SEARCH("cacao", D237)), ISNUMBER(SEARCH("chocolate puro", D237))), "Altamente irritante", IF(OR(AND(O237&gt;15, BI237&gt;1), ISNUMBER(SEARCH("chocolate", D237))), "Moderadamente irritante", "No irritante")))</f>
        <v>No irritante</v>
      </c>
      <c r="CC237" s="6" t="str">
        <f t="shared" si="103"/>
        <v>Balance de omegas favorable</v>
      </c>
    </row>
    <row r="238" spans="1:81" ht="15" customHeight="1" x14ac:dyDescent="0.3">
      <c r="A238" s="2">
        <f t="shared" si="104"/>
        <v>237</v>
      </c>
      <c r="B238" s="3" t="s">
        <v>323</v>
      </c>
      <c r="C238" s="3" t="s">
        <v>342</v>
      </c>
      <c r="D238" s="3" t="s">
        <v>364</v>
      </c>
      <c r="E238" s="3"/>
      <c r="F238" s="4">
        <v>14</v>
      </c>
      <c r="G238" s="5">
        <v>0.95</v>
      </c>
      <c r="H238" s="5">
        <v>375</v>
      </c>
      <c r="I238" s="5">
        <v>33</v>
      </c>
      <c r="J238" s="5">
        <v>0</v>
      </c>
      <c r="K238" s="5">
        <v>35.6</v>
      </c>
      <c r="L238" s="5">
        <v>0.06</v>
      </c>
      <c r="M238" s="5">
        <v>0</v>
      </c>
      <c r="N238" s="5">
        <v>5.6000000000000001E-2</v>
      </c>
      <c r="O238" s="5">
        <v>0</v>
      </c>
      <c r="P238" s="5">
        <v>0</v>
      </c>
      <c r="Q238" s="5">
        <v>25.8</v>
      </c>
      <c r="R238" s="5">
        <v>15.8</v>
      </c>
      <c r="S238" s="5">
        <v>6.8</v>
      </c>
      <c r="T238" s="5">
        <v>0.56000000000000005</v>
      </c>
      <c r="U238" s="5">
        <v>68</v>
      </c>
      <c r="V238" s="5">
        <v>360</v>
      </c>
      <c r="W238" s="5">
        <v>340</v>
      </c>
      <c r="X238" s="5">
        <v>116</v>
      </c>
      <c r="Y238" s="5">
        <v>0.65</v>
      </c>
      <c r="Z238" s="5">
        <v>0.9</v>
      </c>
      <c r="AA238" s="5">
        <v>3</v>
      </c>
      <c r="AB238" s="5">
        <v>0.02</v>
      </c>
      <c r="AC238" s="5">
        <v>0.62</v>
      </c>
      <c r="AD238" s="5">
        <v>7.7</v>
      </c>
      <c r="AE238" s="5">
        <v>9.6000000000000002E-2</v>
      </c>
      <c r="AF238" s="5">
        <v>20</v>
      </c>
      <c r="AG238" s="5">
        <v>1.5</v>
      </c>
      <c r="AH238" s="5">
        <v>0.53</v>
      </c>
      <c r="AI238" s="5">
        <v>3</v>
      </c>
      <c r="AJ238" s="5">
        <v>0</v>
      </c>
      <c r="AK238" s="5">
        <v>1178</v>
      </c>
      <c r="AL238" s="5">
        <v>743</v>
      </c>
      <c r="AM238" s="5">
        <v>1</v>
      </c>
      <c r="AN238" s="5">
        <v>2</v>
      </c>
      <c r="AO238" s="5">
        <v>3</v>
      </c>
      <c r="AP238" s="5">
        <v>41</v>
      </c>
      <c r="AQ238" s="5">
        <v>704</v>
      </c>
      <c r="AR238" s="5">
        <v>131</v>
      </c>
      <c r="AS238" s="5">
        <v>2.3E-2</v>
      </c>
      <c r="AT238" s="5">
        <v>0.36</v>
      </c>
      <c r="AU238" s="5">
        <v>23.9</v>
      </c>
      <c r="AV238" s="5">
        <f>IFERROR(VLOOKUP(IFERROR(VLOOKUP(D238,Mapa_Similitud!$A$2:$B$2000,2,FALSE()),D238),Hoja1!$A$2:$K$1000,2,FALSE()),IFERROR(VLOOKUP(IFERROR(VLOOKUP(D238,Mapa_Similitud!$A$2:$B$2000,2,FALSE()),D238),Omega3_Referencia!$A$2:$E$100,3,FALSE()),0))</f>
        <v>0.12</v>
      </c>
      <c r="AW238" s="3" t="str">
        <f>IFERROR(VLOOKUP(IFERROR(VLOOKUP(D238,Mapa_Similitud!$A$2:$B$2000,2,FALSE()),D238),Hoja1!$A$2:$K$1000,3,FALSE()),IFERROR(VLOOKUP(IFERROR(VLOOKUP(D238,Mapa_Similitud!$A$2:$B$2000,2,FALSE()),D238),Omega3_Referencia!$A$2:$E$100,4,FALSE()),"N/A"))</f>
        <v>ALA/EPA</v>
      </c>
      <c r="AX238" s="5">
        <f>IFERROR(VLOOKUP(IFERROR(VLOOKUP(D238,Mapa_Similitud!$A$2:$B$2000,2,FALSE()),D238),Hoja1!$A$2:$K$1000,5,FALSE()),0)</f>
        <v>0.3</v>
      </c>
      <c r="AY238" s="5">
        <f>IFERROR(VLOOKUP(IFERROR(VLOOKUP(D238,Mapa_Similitud!$A$2:$B$2000,2,FALSE()),D238),Hoja1!$A$2:$K$1000,7,FALSE()),0)</f>
        <v>0</v>
      </c>
      <c r="AZ238" s="5">
        <f>IFERROR(VLOOKUP(IFERROR(VLOOKUP(D238,Mapa_Similitud!$A$2:$B$2000,2,FALSE()),D238),Hoja1!$A$2:$K$1000,9,FALSE()),0)</f>
        <v>0.1</v>
      </c>
      <c r="BA238" s="25">
        <f t="shared" si="87"/>
        <v>9.4933333333333342E-2</v>
      </c>
      <c r="BB238" s="25">
        <f t="shared" si="88"/>
        <v>0</v>
      </c>
      <c r="BC238" s="25">
        <f t="shared" si="89"/>
        <v>3.1413333333333333</v>
      </c>
      <c r="BD238" s="25">
        <f t="shared" si="90"/>
        <v>2.6666666666666666E-3</v>
      </c>
      <c r="BE238" s="25">
        <f t="shared" si="91"/>
        <v>1.8773333333333333</v>
      </c>
      <c r="BF238" s="25">
        <f t="shared" si="92"/>
        <v>3.5443037974683546E-2</v>
      </c>
      <c r="BG238" s="25">
        <f t="shared" si="93"/>
        <v>1.5854643337819649</v>
      </c>
      <c r="BH238" s="25">
        <f t="shared" si="94"/>
        <v>0.61240310077519378</v>
      </c>
      <c r="BI238" s="25">
        <f t="shared" si="95"/>
        <v>5.3740458015267176</v>
      </c>
      <c r="BJ238" s="25">
        <f t="shared" si="96"/>
        <v>0.93333333333333335</v>
      </c>
      <c r="BK238" s="25">
        <f t="shared" si="97"/>
        <v>0</v>
      </c>
      <c r="BL238" s="25">
        <f t="shared" si="98"/>
        <v>0.61920000000000008</v>
      </c>
      <c r="BM238" s="25">
        <f t="shared" si="99"/>
        <v>0.10933333333333334</v>
      </c>
      <c r="BN238" s="18" t="str">
        <f t="shared" si="105"/>
        <v>Baja fuente de proteína</v>
      </c>
      <c r="BO238" s="18" t="str">
        <f t="shared" si="106"/>
        <v>Baja fuente de fibra</v>
      </c>
      <c r="BP238" s="18" t="str">
        <f t="shared" si="107"/>
        <v>Alta fuente de calcio</v>
      </c>
      <c r="BQ238" s="18" t="str">
        <f t="shared" si="108"/>
        <v>Baja fuente de hierro</v>
      </c>
      <c r="BR238" s="18" t="str">
        <f t="shared" si="109"/>
        <v>Alto en sodio</v>
      </c>
      <c r="BS238" s="6" t="str">
        <f t="shared" si="100"/>
        <v>Proinflamatorio</v>
      </c>
      <c r="BT238" s="6" t="str">
        <f t="shared" si="101"/>
        <v>Muy alto en grasas</v>
      </c>
      <c r="BU238" s="18" t="str">
        <f t="shared" si="110"/>
        <v>Alto riesgo de retención de líquidos</v>
      </c>
      <c r="BV238" s="18" t="str">
        <f t="shared" si="111"/>
        <v>Baja fuente de magnesio</v>
      </c>
      <c r="BW238" s="18" t="str">
        <f t="shared" si="112"/>
        <v>Ligera fuente de Omega 3</v>
      </c>
      <c r="BX238" s="18" t="str">
        <f t="shared" si="113"/>
        <v>Contiene grasas trans</v>
      </c>
      <c r="BY238" s="18" t="str">
        <f t="shared" si="114"/>
        <v>Bajo poder antioxidante</v>
      </c>
      <c r="BZ238" s="6" t="str">
        <f t="shared" si="102"/>
        <v>Sin probióticos</v>
      </c>
      <c r="CA238" s="18" t="str">
        <f t="shared" si="115"/>
        <v>Moderadamente inflamatorio</v>
      </c>
      <c r="CB238" s="18" t="str">
        <f>IF(ISNUMBER(SEARCH("miel", D238)), "No irritante (Uso condicionado SII)", IF(OR(J238&gt;0, ISNUMBER(SEARCH("cacao", D238)), ISNUMBER(SEARCH("chocolate puro", D238))), "Altamente irritante", IF(OR(AND(O238&gt;15, BI238&gt;1), ISNUMBER(SEARCH("chocolate", D238))), "Moderadamente irritante", "No irritante")))</f>
        <v>No irritante</v>
      </c>
      <c r="CC238" s="6" t="str">
        <f t="shared" si="103"/>
        <v>Balance de omegas favorable</v>
      </c>
    </row>
    <row r="239" spans="1:81" ht="15" customHeight="1" x14ac:dyDescent="0.3">
      <c r="A239" s="2">
        <f t="shared" si="104"/>
        <v>238</v>
      </c>
      <c r="B239" s="3" t="s">
        <v>323</v>
      </c>
      <c r="C239" s="3" t="s">
        <v>342</v>
      </c>
      <c r="D239" s="3" t="s">
        <v>365</v>
      </c>
      <c r="E239" s="3"/>
      <c r="F239" s="4">
        <v>15</v>
      </c>
      <c r="G239" s="5">
        <v>1</v>
      </c>
      <c r="H239" s="5">
        <v>67.900000000000006</v>
      </c>
      <c r="I239" s="5">
        <v>81.3</v>
      </c>
      <c r="J239" s="5">
        <v>0</v>
      </c>
      <c r="K239" s="5">
        <v>13.2</v>
      </c>
      <c r="L239" s="5">
        <v>3.2</v>
      </c>
      <c r="M239" s="5">
        <v>0</v>
      </c>
      <c r="N239" s="5">
        <v>3.2</v>
      </c>
      <c r="O239" s="5">
        <v>0</v>
      </c>
      <c r="P239" s="5">
        <v>0</v>
      </c>
      <c r="Q239" s="5">
        <v>0.25</v>
      </c>
      <c r="R239" s="5">
        <v>0.17</v>
      </c>
      <c r="S239" s="5">
        <v>0.06</v>
      </c>
      <c r="T239" s="5">
        <v>0.8</v>
      </c>
      <c r="U239" s="5">
        <v>0</v>
      </c>
      <c r="V239" s="5">
        <v>2</v>
      </c>
      <c r="W239" s="5">
        <v>1.2</v>
      </c>
      <c r="X239" s="5">
        <v>4.5999999999999996</v>
      </c>
      <c r="Y239" s="5">
        <v>0</v>
      </c>
      <c r="Z239" s="5">
        <v>0.01</v>
      </c>
      <c r="AA239" s="5">
        <v>0</v>
      </c>
      <c r="AB239" s="5">
        <v>4.2999999999999997E-2</v>
      </c>
      <c r="AC239" s="5">
        <v>0.3</v>
      </c>
      <c r="AD239" s="5">
        <v>0.15</v>
      </c>
      <c r="AE239" s="5">
        <v>0.1</v>
      </c>
      <c r="AF239" s="5">
        <v>16</v>
      </c>
      <c r="AG239" s="5">
        <v>0.88</v>
      </c>
      <c r="AH239" s="5">
        <v>0</v>
      </c>
      <c r="AI239" s="5">
        <v>0</v>
      </c>
      <c r="AJ239" s="5">
        <v>0.7</v>
      </c>
      <c r="AK239" s="5">
        <v>92</v>
      </c>
      <c r="AL239" s="5">
        <v>160</v>
      </c>
      <c r="AM239" s="5">
        <v>0.4</v>
      </c>
      <c r="AN239" s="5">
        <v>10</v>
      </c>
      <c r="AO239" s="5">
        <v>0.56999999999999995</v>
      </c>
      <c r="AP239" s="5">
        <v>12</v>
      </c>
      <c r="AQ239" s="5">
        <v>40</v>
      </c>
      <c r="AR239" s="5">
        <v>95</v>
      </c>
      <c r="AS239" s="5">
        <v>0</v>
      </c>
      <c r="AT239" s="5">
        <v>0</v>
      </c>
      <c r="AU239" s="5">
        <v>0</v>
      </c>
      <c r="AV239" s="5">
        <f>IFERROR(VLOOKUP(IFERROR(VLOOKUP(D239,Mapa_Similitud!$A$2:$B$2000,2,FALSE()),D239),Hoja1!$A$2:$K$1000,2,FALSE()),IFERROR(VLOOKUP(IFERROR(VLOOKUP(D239,Mapa_Similitud!$A$2:$B$2000,2,FALSE()),D239),Omega3_Referencia!$A$2:$E$100,3,FALSE()),0))</f>
        <v>0.01</v>
      </c>
      <c r="AW239" s="3" t="str">
        <f>IFERROR(VLOOKUP(IFERROR(VLOOKUP(D239,Mapa_Similitud!$A$2:$B$2000,2,FALSE()),D239),Hoja1!$A$2:$K$1000,3,FALSE()),IFERROR(VLOOKUP(IFERROR(VLOOKUP(D239,Mapa_Similitud!$A$2:$B$2000,2,FALSE()),D239),Omega3_Referencia!$A$2:$E$100,4,FALSE()),"N/A"))</f>
        <v>ALA/EPA</v>
      </c>
      <c r="AX239" s="5">
        <f>IFERROR(VLOOKUP(IFERROR(VLOOKUP(D239,Mapa_Similitud!$A$2:$B$2000,2,FALSE()),D239),Hoja1!$A$2:$K$1000,5,FALSE()),0)</f>
        <v>0</v>
      </c>
      <c r="AY239" s="5">
        <f>IFERROR(VLOOKUP(IFERROR(VLOOKUP(D239,Mapa_Similitud!$A$2:$B$2000,2,FALSE()),D239),Hoja1!$A$2:$K$1000,7,FALSE()),0)</f>
        <v>0</v>
      </c>
      <c r="AZ239" s="5">
        <f>IFERROR(VLOOKUP(IFERROR(VLOOKUP(D239,Mapa_Similitud!$A$2:$B$2000,2,FALSE()),D239),Hoja1!$A$2:$K$1000,9,FALSE()),0)</f>
        <v>0.1</v>
      </c>
      <c r="BA239" s="25">
        <f t="shared" si="87"/>
        <v>0.19440353460972015</v>
      </c>
      <c r="BB239" s="25">
        <f t="shared" si="88"/>
        <v>0</v>
      </c>
      <c r="BC239" s="25">
        <f t="shared" si="89"/>
        <v>1.3549337260677465</v>
      </c>
      <c r="BD239" s="25">
        <f t="shared" si="90"/>
        <v>5.8910162002945507E-3</v>
      </c>
      <c r="BE239" s="25">
        <f t="shared" si="91"/>
        <v>0.58910162002945499</v>
      </c>
      <c r="BF239" s="25">
        <f t="shared" si="92"/>
        <v>4.7058823529411766</v>
      </c>
      <c r="BG239" s="25">
        <f t="shared" si="93"/>
        <v>0.57499999999999996</v>
      </c>
      <c r="BH239" s="25">
        <f t="shared" si="94"/>
        <v>0.68</v>
      </c>
      <c r="BI239" s="25">
        <f t="shared" si="95"/>
        <v>0.42105263157894735</v>
      </c>
      <c r="BJ239" s="25">
        <f t="shared" si="96"/>
        <v>1</v>
      </c>
      <c r="BK239" s="25">
        <f t="shared" si="97"/>
        <v>0</v>
      </c>
      <c r="BL239" s="25">
        <f t="shared" si="98"/>
        <v>3.3136966126656849E-2</v>
      </c>
      <c r="BM239" s="25">
        <f t="shared" si="99"/>
        <v>0.17673048600883651</v>
      </c>
      <c r="BN239" s="18" t="str">
        <f t="shared" si="105"/>
        <v>Alta fuente de proteína</v>
      </c>
      <c r="BO239" s="18" t="str">
        <f t="shared" si="106"/>
        <v>Baja fuente de fibra</v>
      </c>
      <c r="BP239" s="18" t="str">
        <f t="shared" si="107"/>
        <v>Media fuente de calcio</v>
      </c>
      <c r="BQ239" s="18" t="str">
        <f t="shared" si="108"/>
        <v>Baja fuente de hierro</v>
      </c>
      <c r="BR239" s="18" t="str">
        <f t="shared" si="109"/>
        <v>Moderado en sodio</v>
      </c>
      <c r="BS239" s="6" t="str">
        <f t="shared" si="100"/>
        <v>Altamente antiinflamatorio</v>
      </c>
      <c r="BT239" s="6" t="str">
        <f t="shared" si="101"/>
        <v>Bajo en grasas</v>
      </c>
      <c r="BU239" s="18" t="str">
        <f t="shared" si="110"/>
        <v>Equilibrio de líquidos ideal</v>
      </c>
      <c r="BV239" s="18" t="str">
        <f t="shared" si="111"/>
        <v>Baja fuente de magnesio</v>
      </c>
      <c r="BW239" s="18" t="str">
        <f t="shared" si="112"/>
        <v>Sin aporte de Omega 3</v>
      </c>
      <c r="BX239" s="18" t="str">
        <f t="shared" si="113"/>
        <v>Libre de grasas trans</v>
      </c>
      <c r="BY239" s="18" t="str">
        <f t="shared" si="114"/>
        <v>Bajo poder antioxidante</v>
      </c>
      <c r="BZ239" s="6" t="str">
        <f t="shared" si="102"/>
        <v>Sin probióticos</v>
      </c>
      <c r="CA239" s="18" t="str">
        <f t="shared" si="115"/>
        <v>Poco inflamatorio</v>
      </c>
      <c r="CB239" s="18" t="str">
        <f>IF(ISNUMBER(SEARCH("miel", D239)), "No irritante (Uso condicionado SII)", IF(OR(J239&gt;0, ISNUMBER(SEARCH("cacao", D239)), ISNUMBER(SEARCH("chocolate puro", D239))), "Altamente irritante", IF(OR(AND(O239&gt;15, BI239&gt;1), ISNUMBER(SEARCH("chocolate", D239))), "Moderadamente irritante", "No irritante")))</f>
        <v>No irritante</v>
      </c>
      <c r="CC239" s="6" t="str">
        <f t="shared" si="103"/>
        <v>Exceso relativo de Omega 6</v>
      </c>
    </row>
    <row r="240" spans="1:81" ht="15" customHeight="1" x14ac:dyDescent="0.3">
      <c r="A240" s="2">
        <f t="shared" si="104"/>
        <v>239</v>
      </c>
      <c r="B240" s="3" t="s">
        <v>323</v>
      </c>
      <c r="C240" s="3" t="s">
        <v>366</v>
      </c>
      <c r="D240" s="3" t="s">
        <v>367</v>
      </c>
      <c r="E240" s="3"/>
      <c r="F240" s="4">
        <v>4</v>
      </c>
      <c r="G240" s="5">
        <v>1</v>
      </c>
      <c r="H240" s="5">
        <v>63.9</v>
      </c>
      <c r="I240" s="5">
        <v>88.4</v>
      </c>
      <c r="J240" s="5">
        <v>0</v>
      </c>
      <c r="K240" s="5">
        <v>3.3</v>
      </c>
      <c r="L240" s="5">
        <v>4.8</v>
      </c>
      <c r="M240" s="5">
        <v>0</v>
      </c>
      <c r="N240" s="5">
        <v>4.8</v>
      </c>
      <c r="O240" s="5">
        <v>0</v>
      </c>
      <c r="P240" s="5">
        <v>0</v>
      </c>
      <c r="Q240" s="5">
        <v>3.5</v>
      </c>
      <c r="R240" s="5">
        <v>0</v>
      </c>
      <c r="S240" s="5">
        <v>0</v>
      </c>
      <c r="T240" s="5">
        <v>0</v>
      </c>
      <c r="U240" s="5">
        <v>0</v>
      </c>
      <c r="V240" s="5">
        <v>16.5</v>
      </c>
      <c r="W240" s="5">
        <v>16</v>
      </c>
      <c r="X240" s="5">
        <v>3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0.13</v>
      </c>
      <c r="AN240" s="5">
        <v>0</v>
      </c>
      <c r="AO240" s="5">
        <v>0</v>
      </c>
      <c r="AP240" s="5">
        <v>14</v>
      </c>
      <c r="AQ240" s="5">
        <v>46</v>
      </c>
      <c r="AR240" s="5">
        <v>160</v>
      </c>
      <c r="AS240" s="5">
        <v>0</v>
      </c>
      <c r="AT240" s="5">
        <v>0</v>
      </c>
      <c r="AU240" s="5">
        <v>0</v>
      </c>
      <c r="AV240" s="5">
        <f>IFERROR(VLOOKUP(IFERROR(VLOOKUP(D240,Mapa_Similitud!$A$2:$B$2000,2,FALSE()),D240),Hoja1!$A$2:$K$1000,2,FALSE()),IFERROR(VLOOKUP(IFERROR(VLOOKUP(D240,Mapa_Similitud!$A$2:$B$2000,2,FALSE()),D240),Omega3_Referencia!$A$2:$E$100,3,FALSE()),0))</f>
        <v>0.05</v>
      </c>
      <c r="AW240" s="3" t="str">
        <f>IFERROR(VLOOKUP(IFERROR(VLOOKUP(D240,Mapa_Similitud!$A$2:$B$2000,2,FALSE()),D240),Hoja1!$A$2:$K$1000,3,FALSE()),IFERROR(VLOOKUP(IFERROR(VLOOKUP(D240,Mapa_Similitud!$A$2:$B$2000,2,FALSE()),D240),Omega3_Referencia!$A$2:$E$100,4,FALSE()),"N/A"))</f>
        <v>ALA/EPA</v>
      </c>
      <c r="AX240" s="5">
        <f>IFERROR(VLOOKUP(IFERROR(VLOOKUP(D240,Mapa_Similitud!$A$2:$B$2000,2,FALSE()),D240),Hoja1!$A$2:$K$1000,5,FALSE()),0)</f>
        <v>0.1</v>
      </c>
      <c r="AY240" s="5">
        <f>IFERROR(VLOOKUP(IFERROR(VLOOKUP(D240,Mapa_Similitud!$A$2:$B$2000,2,FALSE()),D240),Hoja1!$A$2:$K$1000,7,FALSE()),0)</f>
        <v>0</v>
      </c>
      <c r="AZ240" s="5">
        <f>IFERROR(VLOOKUP(IFERROR(VLOOKUP(D240,Mapa_Similitud!$A$2:$B$2000,2,FALSE()),D240),Hoja1!$A$2:$K$1000,9,FALSE()),0)</f>
        <v>4000</v>
      </c>
      <c r="BA240" s="25">
        <f t="shared" si="87"/>
        <v>5.1643192488262907E-2</v>
      </c>
      <c r="BB240" s="25">
        <f t="shared" si="88"/>
        <v>0</v>
      </c>
      <c r="BC240" s="25">
        <f t="shared" si="89"/>
        <v>0</v>
      </c>
      <c r="BD240" s="25">
        <f t="shared" si="90"/>
        <v>2.0344287949921754E-3</v>
      </c>
      <c r="BE240" s="25">
        <f t="shared" si="91"/>
        <v>0.7198748043818467</v>
      </c>
      <c r="BF240" s="25">
        <f t="shared" si="92"/>
        <v>0</v>
      </c>
      <c r="BG240" s="25">
        <f t="shared" si="93"/>
        <v>0</v>
      </c>
      <c r="BH240" s="25">
        <f t="shared" si="94"/>
        <v>0</v>
      </c>
      <c r="BI240" s="25">
        <f t="shared" si="95"/>
        <v>0.28749999999999998</v>
      </c>
      <c r="BJ240" s="25">
        <f t="shared" si="96"/>
        <v>1</v>
      </c>
      <c r="BK240" s="25">
        <f t="shared" si="97"/>
        <v>0</v>
      </c>
      <c r="BL240" s="25">
        <f t="shared" si="98"/>
        <v>0.49295774647887325</v>
      </c>
      <c r="BM240" s="25">
        <f t="shared" si="99"/>
        <v>0.2190923317683881</v>
      </c>
      <c r="BN240" s="18" t="str">
        <f t="shared" si="105"/>
        <v>Baja fuente de proteína</v>
      </c>
      <c r="BO240" s="18" t="str">
        <f t="shared" si="106"/>
        <v>Baja fuente de fibra</v>
      </c>
      <c r="BP240" s="18" t="str">
        <f t="shared" si="107"/>
        <v>Baja fuente de calcio</v>
      </c>
      <c r="BQ240" s="18" t="str">
        <f t="shared" si="108"/>
        <v>Baja fuente de hierro</v>
      </c>
      <c r="BR240" s="18" t="str">
        <f t="shared" si="109"/>
        <v>Moderado en sodio</v>
      </c>
      <c r="BS240" s="6" t="str">
        <f t="shared" si="100"/>
        <v>Proinflamatorio</v>
      </c>
      <c r="BT240" s="6" t="str">
        <f t="shared" si="101"/>
        <v>Muy alto en grasas</v>
      </c>
      <c r="BU240" s="18" t="str">
        <f t="shared" si="110"/>
        <v>Equilibrio de líquidos ideal</v>
      </c>
      <c r="BV240" s="18" t="str">
        <f t="shared" si="111"/>
        <v>Media fuente de magnesio</v>
      </c>
      <c r="BW240" s="18" t="str">
        <f t="shared" si="112"/>
        <v>Sin aporte de Omega 3</v>
      </c>
      <c r="BX240" s="18" t="str">
        <f t="shared" si="113"/>
        <v>Contiene grasas trans</v>
      </c>
      <c r="BY240" s="18" t="str">
        <f t="shared" si="114"/>
        <v>Bajo poder antioxidante</v>
      </c>
      <c r="BZ240" s="6" t="str">
        <f t="shared" si="102"/>
        <v>Probiótico activo</v>
      </c>
      <c r="CA240" s="18" t="str">
        <f t="shared" si="115"/>
        <v>Moderadamente inflamatorio</v>
      </c>
      <c r="CB240" s="18" t="str">
        <f>IF(ISNUMBER(SEARCH("miel", D240)), "No irritante (Uso condicionado SII)", IF(OR(J240&gt;0, ISNUMBER(SEARCH("cacao", D240)), ISNUMBER(SEARCH("chocolate puro", D240))), "Altamente irritante", IF(OR(AND(O240&gt;15, BI240&gt;1), ISNUMBER(SEARCH("chocolate", D240))), "Moderadamente irritante", "No irritante")))</f>
        <v>No irritante</v>
      </c>
      <c r="CC240" s="6" t="str">
        <f t="shared" si="103"/>
        <v>Balance de omegas favorable</v>
      </c>
    </row>
    <row r="241" spans="1:81" ht="15" customHeight="1" x14ac:dyDescent="0.3">
      <c r="A241" s="2">
        <f t="shared" si="104"/>
        <v>240</v>
      </c>
      <c r="B241" s="3" t="s">
        <v>323</v>
      </c>
      <c r="C241" s="3" t="s">
        <v>366</v>
      </c>
      <c r="D241" s="3" t="s">
        <v>368</v>
      </c>
      <c r="E241" s="3"/>
      <c r="F241" s="4">
        <v>3.5</v>
      </c>
      <c r="G241" s="5">
        <v>1</v>
      </c>
      <c r="H241" s="5">
        <v>90</v>
      </c>
      <c r="I241" s="5">
        <v>78.2</v>
      </c>
      <c r="J241" s="5">
        <v>0</v>
      </c>
      <c r="K241" s="5">
        <v>2.4</v>
      </c>
      <c r="L241" s="5">
        <v>17.100000000000001</v>
      </c>
      <c r="M241" s="5">
        <v>0</v>
      </c>
      <c r="N241" s="5">
        <v>1.4</v>
      </c>
      <c r="O241" s="5">
        <v>0</v>
      </c>
      <c r="P241" s="5">
        <v>0.6</v>
      </c>
      <c r="Q241" s="5">
        <v>1.2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17.600000000000001</v>
      </c>
      <c r="AK241" s="5">
        <v>176</v>
      </c>
      <c r="AL241" s="5">
        <v>0</v>
      </c>
      <c r="AM241" s="5">
        <v>0.64</v>
      </c>
      <c r="AN241" s="5">
        <v>0</v>
      </c>
      <c r="AO241" s="5">
        <v>0</v>
      </c>
      <c r="AP241" s="5">
        <v>0</v>
      </c>
      <c r="AQ241" s="5">
        <v>15</v>
      </c>
      <c r="AR241" s="5">
        <v>0</v>
      </c>
      <c r="AS241" s="5">
        <v>0</v>
      </c>
      <c r="AT241" s="5">
        <v>0</v>
      </c>
      <c r="AU241" s="5">
        <v>0</v>
      </c>
      <c r="AV241" s="5">
        <f>IFERROR(VLOOKUP(IFERROR(VLOOKUP(D241,Mapa_Similitud!$A$2:$B$2000,2,FALSE()),D241),Hoja1!$A$2:$K$1000,2,FALSE()),IFERROR(VLOOKUP(IFERROR(VLOOKUP(D241,Mapa_Similitud!$A$2:$B$2000,2,FALSE()),D241),Omega3_Referencia!$A$2:$E$100,3,FALSE()),0))</f>
        <v>0.2</v>
      </c>
      <c r="AW241" s="3" t="str">
        <f>IFERROR(VLOOKUP(IFERROR(VLOOKUP(D241,Mapa_Similitud!$A$2:$B$2000,2,FALSE()),D241),Hoja1!$A$2:$K$1000,3,FALSE()),IFERROR(VLOOKUP(IFERROR(VLOOKUP(D241,Mapa_Similitud!$A$2:$B$2000,2,FALSE()),D241),Omega3_Referencia!$A$2:$E$100,4,FALSE()),"N/A"))</f>
        <v>ALA</v>
      </c>
      <c r="AX241" s="5">
        <f>IFERROR(VLOOKUP(IFERROR(VLOOKUP(D241,Mapa_Similitud!$A$2:$B$2000,2,FALSE()),D241),Hoja1!$A$2:$K$1000,5,FALSE()),0)</f>
        <v>0</v>
      </c>
      <c r="AY241" s="5">
        <f>IFERROR(VLOOKUP(IFERROR(VLOOKUP(D241,Mapa_Similitud!$A$2:$B$2000,2,FALSE()),D241),Hoja1!$A$2:$K$1000,7,FALSE()),0)</f>
        <v>40</v>
      </c>
      <c r="AZ241" s="5">
        <f>IFERROR(VLOOKUP(IFERROR(VLOOKUP(D241,Mapa_Similitud!$A$2:$B$2000,2,FALSE()),D241),Hoja1!$A$2:$K$1000,9,FALSE()),0)</f>
        <v>3</v>
      </c>
      <c r="BA241" s="25">
        <f t="shared" si="87"/>
        <v>2.6666666666666665E-2</v>
      </c>
      <c r="BB241" s="25">
        <f t="shared" si="88"/>
        <v>6.6666666666666662E-3</v>
      </c>
      <c r="BC241" s="25">
        <f t="shared" si="89"/>
        <v>1.9555555555555555</v>
      </c>
      <c r="BD241" s="25">
        <f t="shared" si="90"/>
        <v>7.1111111111111115E-3</v>
      </c>
      <c r="BE241" s="25">
        <f t="shared" si="91"/>
        <v>0.16666666666666666</v>
      </c>
      <c r="BF241" s="25">
        <f t="shared" si="92"/>
        <v>0</v>
      </c>
      <c r="BG241" s="25">
        <f t="shared" si="93"/>
        <v>0</v>
      </c>
      <c r="BH241" s="25">
        <f t="shared" si="94"/>
        <v>0</v>
      </c>
      <c r="BI241" s="25">
        <f t="shared" si="95"/>
        <v>0</v>
      </c>
      <c r="BJ241" s="25">
        <f t="shared" si="96"/>
        <v>8.1871345029239748E-2</v>
      </c>
      <c r="BK241" s="25">
        <f t="shared" si="97"/>
        <v>3.5087719298245612E-2</v>
      </c>
      <c r="BL241" s="25">
        <f t="shared" si="98"/>
        <v>0.11999999999999998</v>
      </c>
      <c r="BM241" s="25">
        <f t="shared" si="99"/>
        <v>0</v>
      </c>
      <c r="BN241" s="18" t="str">
        <f t="shared" si="105"/>
        <v>Baja fuente de proteína</v>
      </c>
      <c r="BO241" s="18" t="str">
        <f t="shared" si="106"/>
        <v>Baja fuente de fibra</v>
      </c>
      <c r="BP241" s="18" t="str">
        <f t="shared" si="107"/>
        <v>Alta fuente de calcio</v>
      </c>
      <c r="BQ241" s="18" t="str">
        <f t="shared" si="108"/>
        <v>Baja fuente de hierro</v>
      </c>
      <c r="BR241" s="18" t="str">
        <f t="shared" si="109"/>
        <v>Bajo en sodio</v>
      </c>
      <c r="BS241" s="6" t="str">
        <f t="shared" si="100"/>
        <v>Proinflamatorio</v>
      </c>
      <c r="BT241" s="6" t="str">
        <f t="shared" si="101"/>
        <v>Bajo en grasas</v>
      </c>
      <c r="BU241" s="18" t="str">
        <f t="shared" si="110"/>
        <v>Equilibrio de líquidos ideal</v>
      </c>
      <c r="BV241" s="18" t="str">
        <f t="shared" si="111"/>
        <v>Baja fuente de magnesio</v>
      </c>
      <c r="BW241" s="18" t="str">
        <f t="shared" si="112"/>
        <v>Ligera fuente de Omega 3</v>
      </c>
      <c r="BX241" s="18" t="str">
        <f t="shared" si="113"/>
        <v>Libre de grasas trans</v>
      </c>
      <c r="BY241" s="18" t="str">
        <f t="shared" si="114"/>
        <v>Medio poder antioxidante</v>
      </c>
      <c r="BZ241" s="6" t="str">
        <f t="shared" si="102"/>
        <v>Probiótico activo</v>
      </c>
      <c r="CA241" s="18" t="str">
        <f t="shared" si="115"/>
        <v>Poco inflamatorio</v>
      </c>
      <c r="CB241" s="18" t="str">
        <f>IF(ISNUMBER(SEARCH("miel", D241)), "No irritante (Uso condicionado SII)", IF(OR(J241&gt;0, ISNUMBER(SEARCH("cacao", D241)), ISNUMBER(SEARCH("chocolate puro", D241))), "Altamente irritante", IF(OR(AND(O241&gt;15, BI241&gt;1), ISNUMBER(SEARCH("chocolate", D241))), "Moderadamente irritante", "No irritante")))</f>
        <v>No irritante</v>
      </c>
      <c r="CC241" s="6" t="str">
        <f t="shared" si="103"/>
        <v>Balance de omegas favorable</v>
      </c>
    </row>
    <row r="242" spans="1:81" ht="15" customHeight="1" x14ac:dyDescent="0.3">
      <c r="A242" s="2">
        <f t="shared" si="104"/>
        <v>241</v>
      </c>
      <c r="B242" s="3" t="s">
        <v>323</v>
      </c>
      <c r="C242" s="3" t="s">
        <v>366</v>
      </c>
      <c r="D242" s="3" t="s">
        <v>369</v>
      </c>
      <c r="E242" s="3"/>
      <c r="F242" s="4">
        <v>2.5</v>
      </c>
      <c r="G242" s="5">
        <v>1</v>
      </c>
      <c r="H242" s="5">
        <v>56.5</v>
      </c>
      <c r="I242" s="5">
        <v>85.7</v>
      </c>
      <c r="J242" s="5">
        <v>0</v>
      </c>
      <c r="K242" s="5">
        <v>4.5999999999999996</v>
      </c>
      <c r="L242" s="5">
        <v>6.9</v>
      </c>
      <c r="M242" s="5">
        <v>1.2</v>
      </c>
      <c r="N242" s="5">
        <v>5.7</v>
      </c>
      <c r="O242" s="5">
        <v>0</v>
      </c>
      <c r="P242" s="5">
        <v>0.3</v>
      </c>
      <c r="Q242" s="5">
        <v>1.1000000000000001</v>
      </c>
      <c r="R242" s="5">
        <v>0.19</v>
      </c>
      <c r="S242" s="5">
        <v>0.21</v>
      </c>
      <c r="T242" s="5">
        <v>8.1000000000000003E-2</v>
      </c>
      <c r="U242" s="5">
        <v>1</v>
      </c>
      <c r="V242" s="5">
        <v>1.3</v>
      </c>
      <c r="W242" s="5">
        <v>1</v>
      </c>
      <c r="X242" s="5">
        <v>2</v>
      </c>
      <c r="Y242" s="5">
        <v>0</v>
      </c>
      <c r="Z242" s="5">
        <v>0.2</v>
      </c>
      <c r="AA242" s="5">
        <v>0</v>
      </c>
      <c r="AB242" s="5">
        <v>0.1</v>
      </c>
      <c r="AC242" s="5">
        <v>0.3</v>
      </c>
      <c r="AD242" s="5">
        <v>0.93</v>
      </c>
      <c r="AE242" s="5">
        <v>0.14000000000000001</v>
      </c>
      <c r="AF242" s="5">
        <v>36.6</v>
      </c>
      <c r="AG242" s="5">
        <v>0.3</v>
      </c>
      <c r="AH242" s="5">
        <v>0</v>
      </c>
      <c r="AI242" s="5">
        <v>0</v>
      </c>
      <c r="AJ242" s="5">
        <v>3</v>
      </c>
      <c r="AK242" s="5">
        <v>130</v>
      </c>
      <c r="AL242" s="5">
        <v>102</v>
      </c>
      <c r="AM242" s="5">
        <v>0.4</v>
      </c>
      <c r="AN242" s="5">
        <v>19</v>
      </c>
      <c r="AO242" s="5">
        <v>0.5</v>
      </c>
      <c r="AP242" s="5">
        <v>13.9</v>
      </c>
      <c r="AQ242" s="5">
        <v>67</v>
      </c>
      <c r="AR242" s="5">
        <v>176</v>
      </c>
      <c r="AS242" s="5">
        <v>0</v>
      </c>
      <c r="AT242" s="5">
        <v>0</v>
      </c>
      <c r="AU242" s="5">
        <v>1.9</v>
      </c>
      <c r="AV242" s="5">
        <f>IFERROR(VLOOKUP(IFERROR(VLOOKUP(D242,Mapa_Similitud!$A$2:$B$2000,2,FALSE()),D242),Hoja1!$A$2:$K$1000,2,FALSE()),IFERROR(VLOOKUP(IFERROR(VLOOKUP(D242,Mapa_Similitud!$A$2:$B$2000,2,FALSE()),D242),Omega3_Referencia!$A$2:$E$100,3,FALSE()),0))</f>
        <v>0.02</v>
      </c>
      <c r="AW242" s="3" t="str">
        <f>IFERROR(VLOOKUP(IFERROR(VLOOKUP(D242,Mapa_Similitud!$A$2:$B$2000,2,FALSE()),D242),Hoja1!$A$2:$K$1000,3,FALSE()),IFERROR(VLOOKUP(IFERROR(VLOOKUP(D242,Mapa_Similitud!$A$2:$B$2000,2,FALSE()),D242),Omega3_Referencia!$A$2:$E$100,4,FALSE()),"N/A"))</f>
        <v>ALA/EPA</v>
      </c>
      <c r="AX242" s="5">
        <f>IFERROR(VLOOKUP(IFERROR(VLOOKUP(D242,Mapa_Similitud!$A$2:$B$2000,2,FALSE()),D242),Hoja1!$A$2:$K$1000,5,FALSE()),0)</f>
        <v>0</v>
      </c>
      <c r="AY242" s="5">
        <f>IFERROR(VLOOKUP(IFERROR(VLOOKUP(D242,Mapa_Similitud!$A$2:$B$2000,2,FALSE()),D242),Hoja1!$A$2:$K$1000,7,FALSE()),0)</f>
        <v>5</v>
      </c>
      <c r="AZ242" s="5">
        <f>IFERROR(VLOOKUP(IFERROR(VLOOKUP(D242,Mapa_Similitud!$A$2:$B$2000,2,FALSE()),D242),Hoja1!$A$2:$K$1000,9,FALSE()),0)</f>
        <v>3</v>
      </c>
      <c r="BA242" s="25">
        <f t="shared" si="87"/>
        <v>8.1415929203539822E-2</v>
      </c>
      <c r="BB242" s="25">
        <f t="shared" si="88"/>
        <v>5.3097345132743362E-3</v>
      </c>
      <c r="BC242" s="25">
        <f t="shared" si="89"/>
        <v>2.3008849557522124</v>
      </c>
      <c r="BD242" s="25">
        <f t="shared" si="90"/>
        <v>7.0796460176991158E-3</v>
      </c>
      <c r="BE242" s="25">
        <f t="shared" si="91"/>
        <v>1.1858407079646018</v>
      </c>
      <c r="BF242" s="25">
        <f t="shared" si="92"/>
        <v>0.4263157894736842</v>
      </c>
      <c r="BG242" s="25">
        <f t="shared" si="93"/>
        <v>1.2745098039215685</v>
      </c>
      <c r="BH242" s="25">
        <f t="shared" si="94"/>
        <v>0.1727272727272727</v>
      </c>
      <c r="BI242" s="25">
        <f t="shared" si="95"/>
        <v>0.38068181818181818</v>
      </c>
      <c r="BJ242" s="25">
        <f t="shared" si="96"/>
        <v>0.82608695652173914</v>
      </c>
      <c r="BK242" s="25">
        <f t="shared" si="97"/>
        <v>4.3478260869565216E-2</v>
      </c>
      <c r="BL242" s="25">
        <f t="shared" si="98"/>
        <v>0.17522123893805311</v>
      </c>
      <c r="BM242" s="25">
        <f t="shared" si="99"/>
        <v>0.24601769911504426</v>
      </c>
      <c r="BN242" s="18" t="str">
        <f t="shared" si="105"/>
        <v>Baja fuente de proteína</v>
      </c>
      <c r="BO242" s="18" t="str">
        <f t="shared" si="106"/>
        <v>Baja fuente de fibra</v>
      </c>
      <c r="BP242" s="18" t="str">
        <f t="shared" si="107"/>
        <v>Alta fuente de calcio</v>
      </c>
      <c r="BQ242" s="18" t="str">
        <f t="shared" si="108"/>
        <v>Baja fuente de hierro</v>
      </c>
      <c r="BR242" s="18" t="str">
        <f t="shared" si="109"/>
        <v>Alto en sodio</v>
      </c>
      <c r="BS242" s="6" t="str">
        <f t="shared" si="100"/>
        <v>Proinflamatorio</v>
      </c>
      <c r="BT242" s="6" t="str">
        <f t="shared" si="101"/>
        <v>Bajo en grasas</v>
      </c>
      <c r="BU242" s="18" t="str">
        <f t="shared" si="110"/>
        <v>Equilibrio de líquidos ideal</v>
      </c>
      <c r="BV242" s="18" t="str">
        <f t="shared" si="111"/>
        <v>Media fuente de magnesio</v>
      </c>
      <c r="BW242" s="18" t="str">
        <f t="shared" si="112"/>
        <v>Sin aporte de Omega 3</v>
      </c>
      <c r="BX242" s="18" t="str">
        <f t="shared" si="113"/>
        <v>Libre de grasas trans</v>
      </c>
      <c r="BY242" s="18" t="str">
        <f t="shared" si="114"/>
        <v>Bajo poder antioxidante</v>
      </c>
      <c r="BZ242" s="6" t="str">
        <f t="shared" si="102"/>
        <v>Probiótico activo</v>
      </c>
      <c r="CA242" s="18" t="str">
        <f t="shared" si="115"/>
        <v>Poco inflamatorio</v>
      </c>
      <c r="CB242" s="18" t="str">
        <f>IF(ISNUMBER(SEARCH("miel", D242)), "No irritante (Uso condicionado SII)", IF(OR(J242&gt;0, ISNUMBER(SEARCH("cacao", D242)), ISNUMBER(SEARCH("chocolate puro", D242))), "Altamente irritante", IF(OR(AND(O242&gt;15, BI242&gt;1), ISNUMBER(SEARCH("chocolate", D242))), "Moderadamente irritante", "No irritante")))</f>
        <v>No irritante</v>
      </c>
      <c r="CC242" s="6" t="str">
        <f t="shared" si="103"/>
        <v>Balance de omegas favorable</v>
      </c>
    </row>
    <row r="243" spans="1:81" ht="15" customHeight="1" x14ac:dyDescent="0.3">
      <c r="A243" s="2">
        <f t="shared" si="104"/>
        <v>242</v>
      </c>
      <c r="B243" s="3" t="s">
        <v>323</v>
      </c>
      <c r="C243" s="3" t="s">
        <v>366</v>
      </c>
      <c r="D243" s="3" t="s">
        <v>370</v>
      </c>
      <c r="E243" s="3"/>
      <c r="F243" s="4">
        <v>2.2000000000000002</v>
      </c>
      <c r="G243" s="5">
        <v>1</v>
      </c>
      <c r="H243" s="5">
        <v>71.599999999999994</v>
      </c>
      <c r="I243" s="5">
        <v>81.8</v>
      </c>
      <c r="J243" s="5">
        <v>0</v>
      </c>
      <c r="K243" s="5">
        <v>3.8</v>
      </c>
      <c r="L243" s="5">
        <v>13.1</v>
      </c>
      <c r="M243" s="5">
        <v>0</v>
      </c>
      <c r="N243" s="5">
        <v>13.1</v>
      </c>
      <c r="O243" s="5">
        <v>6.8</v>
      </c>
      <c r="P243" s="5">
        <v>1.1000000000000001</v>
      </c>
      <c r="Q243" s="5">
        <v>0.2</v>
      </c>
      <c r="R243" s="5">
        <v>0.16</v>
      </c>
      <c r="S243" s="5">
        <v>2.1999999999999999E-2</v>
      </c>
      <c r="T243" s="5">
        <v>0</v>
      </c>
      <c r="U243" s="5">
        <v>0.3</v>
      </c>
      <c r="V243" s="5">
        <v>2</v>
      </c>
      <c r="W243" s="5">
        <v>2</v>
      </c>
      <c r="X243" s="5">
        <v>0</v>
      </c>
      <c r="Y243" s="5">
        <v>0</v>
      </c>
      <c r="Z243" s="5">
        <v>0</v>
      </c>
      <c r="AA243" s="5">
        <v>0.3</v>
      </c>
      <c r="AB243" s="5">
        <v>0.03</v>
      </c>
      <c r="AC243" s="5">
        <v>0.19</v>
      </c>
      <c r="AD243" s="5">
        <v>0.43</v>
      </c>
      <c r="AE243" s="5">
        <v>0.42</v>
      </c>
      <c r="AF243" s="5">
        <v>16</v>
      </c>
      <c r="AG243" s="5">
        <v>0.4</v>
      </c>
      <c r="AH243" s="5">
        <v>0.33</v>
      </c>
      <c r="AI243" s="5">
        <v>2.2999999999999998</v>
      </c>
      <c r="AJ243" s="5">
        <v>0</v>
      </c>
      <c r="AK243" s="5">
        <v>112</v>
      </c>
      <c r="AL243" s="5">
        <v>95</v>
      </c>
      <c r="AM243" s="5">
        <v>0.16</v>
      </c>
      <c r="AN243" s="5">
        <v>14.4</v>
      </c>
      <c r="AO243" s="5">
        <v>0.33</v>
      </c>
      <c r="AP243" s="5">
        <v>12.8</v>
      </c>
      <c r="AQ243" s="5">
        <v>64</v>
      </c>
      <c r="AR243" s="5">
        <v>210</v>
      </c>
      <c r="AS243" s="5">
        <v>0</v>
      </c>
      <c r="AT243" s="5">
        <v>0</v>
      </c>
      <c r="AU243" s="5">
        <v>1</v>
      </c>
      <c r="AV243" s="5">
        <f>IFERROR(VLOOKUP(IFERROR(VLOOKUP(D243,Mapa_Similitud!$A$2:$B$2000,2,FALSE()),D243),Hoja1!$A$2:$K$1000,2,FALSE()),IFERROR(VLOOKUP(IFERROR(VLOOKUP(D243,Mapa_Similitud!$A$2:$B$2000,2,FALSE()),D243),Omega3_Referencia!$A$2:$E$100,3,FALSE()),0))</f>
        <v>0.02</v>
      </c>
      <c r="AW243" s="3" t="str">
        <f>IFERROR(VLOOKUP(IFERROR(VLOOKUP(D243,Mapa_Similitud!$A$2:$B$2000,2,FALSE()),D243),Hoja1!$A$2:$K$1000,3,FALSE()),IFERROR(VLOOKUP(IFERROR(VLOOKUP(D243,Mapa_Similitud!$A$2:$B$2000,2,FALSE()),D243),Omega3_Referencia!$A$2:$E$100,4,FALSE()),"N/A"))</f>
        <v>ALA/EPA</v>
      </c>
      <c r="AX243" s="5">
        <f>IFERROR(VLOOKUP(IFERROR(VLOOKUP(D243,Mapa_Similitud!$A$2:$B$2000,2,FALSE()),D243),Hoja1!$A$2:$K$1000,5,FALSE()),0)</f>
        <v>0</v>
      </c>
      <c r="AY243" s="5">
        <f>IFERROR(VLOOKUP(IFERROR(VLOOKUP(D243,Mapa_Similitud!$A$2:$B$2000,2,FALSE()),D243),Hoja1!$A$2:$K$1000,7,FALSE()),0)</f>
        <v>5</v>
      </c>
      <c r="AZ243" s="5">
        <f>IFERROR(VLOOKUP(IFERROR(VLOOKUP(D243,Mapa_Similitud!$A$2:$B$2000,2,FALSE()),D243),Hoja1!$A$2:$K$1000,9,FALSE()),0)</f>
        <v>3</v>
      </c>
      <c r="BA243" s="25">
        <f t="shared" si="87"/>
        <v>5.3072625698324022E-2</v>
      </c>
      <c r="BB243" s="25">
        <f t="shared" si="88"/>
        <v>1.5363128491620115E-2</v>
      </c>
      <c r="BC243" s="25">
        <f t="shared" si="89"/>
        <v>1.564245810055866</v>
      </c>
      <c r="BD243" s="25">
        <f t="shared" si="90"/>
        <v>2.2346368715083801E-3</v>
      </c>
      <c r="BE243" s="25">
        <f t="shared" si="91"/>
        <v>0.89385474860335201</v>
      </c>
      <c r="BF243" s="25">
        <f t="shared" si="92"/>
        <v>0</v>
      </c>
      <c r="BG243" s="25">
        <f t="shared" si="93"/>
        <v>1.1789473684210525</v>
      </c>
      <c r="BH243" s="25">
        <f t="shared" si="94"/>
        <v>0.79999999999999993</v>
      </c>
      <c r="BI243" s="25">
        <f t="shared" si="95"/>
        <v>0.30476190476190479</v>
      </c>
      <c r="BJ243" s="25">
        <f t="shared" si="96"/>
        <v>1</v>
      </c>
      <c r="BK243" s="25">
        <f t="shared" si="97"/>
        <v>8.3969465648854977E-2</v>
      </c>
      <c r="BL243" s="25">
        <f t="shared" si="98"/>
        <v>2.5139664804469275E-2</v>
      </c>
      <c r="BM243" s="25">
        <f t="shared" si="99"/>
        <v>0.17877094972067042</v>
      </c>
      <c r="BN243" s="18" t="str">
        <f t="shared" si="105"/>
        <v>Baja fuente de proteína</v>
      </c>
      <c r="BO243" s="18" t="str">
        <f t="shared" si="106"/>
        <v>Media fuente de fibra</v>
      </c>
      <c r="BP243" s="18" t="str">
        <f t="shared" si="107"/>
        <v>Alta fuente de calcio</v>
      </c>
      <c r="BQ243" s="18" t="str">
        <f t="shared" si="108"/>
        <v>Baja fuente de hierro</v>
      </c>
      <c r="BR243" s="18" t="str">
        <f t="shared" si="109"/>
        <v>Moderado en sodio</v>
      </c>
      <c r="BS243" s="6" t="str">
        <f t="shared" si="100"/>
        <v>Proinflamatorio</v>
      </c>
      <c r="BT243" s="6" t="str">
        <f t="shared" si="101"/>
        <v>Bajo en grasas</v>
      </c>
      <c r="BU243" s="18" t="str">
        <f t="shared" si="110"/>
        <v>Equilibrio de líquidos ideal</v>
      </c>
      <c r="BV243" s="18" t="str">
        <f t="shared" si="111"/>
        <v>Baja fuente de magnesio</v>
      </c>
      <c r="BW243" s="18" t="str">
        <f t="shared" si="112"/>
        <v>Sin aporte de Omega 3</v>
      </c>
      <c r="BX243" s="18" t="str">
        <f t="shared" si="113"/>
        <v>Libre de grasas trans</v>
      </c>
      <c r="BY243" s="18" t="str">
        <f t="shared" si="114"/>
        <v>Bajo poder antioxidante</v>
      </c>
      <c r="BZ243" s="6" t="str">
        <f t="shared" si="102"/>
        <v>Probiótico activo</v>
      </c>
      <c r="CA243" s="18" t="str">
        <f t="shared" si="115"/>
        <v>Moderadamente inflamatorio</v>
      </c>
      <c r="CB243" s="18" t="str">
        <f>IF(ISNUMBER(SEARCH("miel", D243)), "No irritante (Uso condicionado SII)", IF(OR(J243&gt;0, ISNUMBER(SEARCH("cacao", D243)), ISNUMBER(SEARCH("chocolate puro", D243))), "Altamente irritante", IF(OR(AND(O243&gt;15, BI243&gt;1), ISNUMBER(SEARCH("chocolate", D243))), "Moderadamente irritante", "No irritante")))</f>
        <v>No irritante</v>
      </c>
      <c r="CC243" s="6" t="str">
        <f t="shared" si="103"/>
        <v>Balance de omegas favorable</v>
      </c>
    </row>
    <row r="244" spans="1:81" ht="15" customHeight="1" x14ac:dyDescent="0.3">
      <c r="A244" s="2">
        <f t="shared" si="104"/>
        <v>243</v>
      </c>
      <c r="B244" s="3" t="s">
        <v>323</v>
      </c>
      <c r="C244" s="3" t="s">
        <v>366</v>
      </c>
      <c r="D244" s="3" t="s">
        <v>371</v>
      </c>
      <c r="E244" s="3"/>
      <c r="F244" s="4">
        <v>2</v>
      </c>
      <c r="G244" s="5">
        <v>1</v>
      </c>
      <c r="H244" s="5">
        <v>90.1</v>
      </c>
      <c r="I244" s="5">
        <v>78.599999999999994</v>
      </c>
      <c r="J244" s="5">
        <v>0</v>
      </c>
      <c r="K244" s="5">
        <v>3.8</v>
      </c>
      <c r="L244" s="5">
        <v>16.7</v>
      </c>
      <c r="M244" s="5">
        <v>0</v>
      </c>
      <c r="N244" s="5">
        <v>16.7</v>
      </c>
      <c r="O244" s="5">
        <v>10.4</v>
      </c>
      <c r="P244" s="5">
        <v>0</v>
      </c>
      <c r="Q244" s="5">
        <v>0.9</v>
      </c>
      <c r="R244" s="5">
        <v>0.4</v>
      </c>
      <c r="S244" s="5">
        <v>0.3</v>
      </c>
      <c r="T244" s="5">
        <v>0.1</v>
      </c>
      <c r="U244" s="5">
        <v>4</v>
      </c>
      <c r="V244" s="5">
        <v>2</v>
      </c>
      <c r="W244" s="5">
        <v>2</v>
      </c>
      <c r="X244" s="5">
        <v>0</v>
      </c>
      <c r="Y244" s="5">
        <v>0.01</v>
      </c>
      <c r="Z244" s="5">
        <v>0.01</v>
      </c>
      <c r="AA244" s="5">
        <v>0.3</v>
      </c>
      <c r="AB244" s="5">
        <v>0.05</v>
      </c>
      <c r="AC244" s="5">
        <v>0.21</v>
      </c>
      <c r="AD244" s="5">
        <v>0.42</v>
      </c>
      <c r="AE244" s="5">
        <v>7.0000000000000007E-2</v>
      </c>
      <c r="AF244" s="5">
        <v>5</v>
      </c>
      <c r="AG244" s="5">
        <v>0.2</v>
      </c>
      <c r="AH244" s="5">
        <v>0.3</v>
      </c>
      <c r="AI244" s="5">
        <v>2.2000000000000002</v>
      </c>
      <c r="AJ244" s="5">
        <v>1</v>
      </c>
      <c r="AK244" s="5">
        <v>150</v>
      </c>
      <c r="AL244" s="5">
        <v>120</v>
      </c>
      <c r="AM244" s="5">
        <v>0.1</v>
      </c>
      <c r="AN244" s="5">
        <v>5</v>
      </c>
      <c r="AO244" s="5">
        <v>0.5</v>
      </c>
      <c r="AP244" s="5">
        <v>15</v>
      </c>
      <c r="AQ244" s="5">
        <v>65</v>
      </c>
      <c r="AR244" s="5">
        <v>190</v>
      </c>
      <c r="AS244" s="5">
        <v>0</v>
      </c>
      <c r="AT244" s="5">
        <v>0</v>
      </c>
      <c r="AU244" s="5">
        <v>1</v>
      </c>
      <c r="AV244" s="5">
        <f>IFERROR(VLOOKUP(IFERROR(VLOOKUP(D244,Mapa_Similitud!$A$2:$B$2000,2,FALSE()),D244),Hoja1!$A$2:$K$1000,2,FALSE()),IFERROR(VLOOKUP(IFERROR(VLOOKUP(D244,Mapa_Similitud!$A$2:$B$2000,2,FALSE()),D244),Omega3_Referencia!$A$2:$E$100,3,FALSE()),0))</f>
        <v>0.01</v>
      </c>
      <c r="AW244" s="3" t="str">
        <f>IFERROR(VLOOKUP(IFERROR(VLOOKUP(D244,Mapa_Similitud!$A$2:$B$2000,2,FALSE()),D244),Hoja1!$A$2:$K$1000,3,FALSE()),IFERROR(VLOOKUP(IFERROR(VLOOKUP(D244,Mapa_Similitud!$A$2:$B$2000,2,FALSE()),D244),Omega3_Referencia!$A$2:$E$100,4,FALSE()),"N/A"))</f>
        <v>ALA/EPA</v>
      </c>
      <c r="AX244" s="5">
        <f>IFERROR(VLOOKUP(IFERROR(VLOOKUP(D244,Mapa_Similitud!$A$2:$B$2000,2,FALSE()),D244),Hoja1!$A$2:$K$1000,5,FALSE()),0)</f>
        <v>0</v>
      </c>
      <c r="AY244" s="5">
        <f>IFERROR(VLOOKUP(IFERROR(VLOOKUP(D244,Mapa_Similitud!$A$2:$B$2000,2,FALSE()),D244),Hoja1!$A$2:$K$1000,7,FALSE()),0)</f>
        <v>0</v>
      </c>
      <c r="AZ244" s="5">
        <f>IFERROR(VLOOKUP(IFERROR(VLOOKUP(D244,Mapa_Similitud!$A$2:$B$2000,2,FALSE()),D244),Hoja1!$A$2:$K$1000,9,FALSE()),0)</f>
        <v>3</v>
      </c>
      <c r="BA244" s="25">
        <f t="shared" si="87"/>
        <v>4.2175360710321866E-2</v>
      </c>
      <c r="BB244" s="25">
        <f t="shared" si="88"/>
        <v>0</v>
      </c>
      <c r="BC244" s="25">
        <f t="shared" si="89"/>
        <v>1.6648168701442843</v>
      </c>
      <c r="BD244" s="25">
        <f t="shared" si="90"/>
        <v>1.109877913429523E-3</v>
      </c>
      <c r="BE244" s="25">
        <f t="shared" si="91"/>
        <v>0.72142064372918979</v>
      </c>
      <c r="BF244" s="25">
        <f t="shared" si="92"/>
        <v>0.25</v>
      </c>
      <c r="BG244" s="25">
        <f t="shared" si="93"/>
        <v>1.25</v>
      </c>
      <c r="BH244" s="25">
        <f t="shared" si="94"/>
        <v>0.44444444444444448</v>
      </c>
      <c r="BI244" s="25">
        <f t="shared" si="95"/>
        <v>0.34210526315789475</v>
      </c>
      <c r="BJ244" s="25">
        <f t="shared" si="96"/>
        <v>1</v>
      </c>
      <c r="BK244" s="25">
        <f t="shared" si="97"/>
        <v>0</v>
      </c>
      <c r="BL244" s="25">
        <f t="shared" si="98"/>
        <v>8.990011098779134E-2</v>
      </c>
      <c r="BM244" s="25">
        <f t="shared" si="99"/>
        <v>0.16648168701442842</v>
      </c>
      <c r="BN244" s="18" t="str">
        <f t="shared" si="105"/>
        <v>Baja fuente de proteína</v>
      </c>
      <c r="BO244" s="18" t="str">
        <f t="shared" si="106"/>
        <v>Baja fuente de fibra</v>
      </c>
      <c r="BP244" s="18" t="str">
        <f t="shared" si="107"/>
        <v>Alta fuente de calcio</v>
      </c>
      <c r="BQ244" s="18" t="str">
        <f t="shared" si="108"/>
        <v>Baja fuente de hierro</v>
      </c>
      <c r="BR244" s="18" t="str">
        <f t="shared" si="109"/>
        <v>Moderado en sodio</v>
      </c>
      <c r="BS244" s="6" t="str">
        <f t="shared" si="100"/>
        <v>Proinflamatorio</v>
      </c>
      <c r="BT244" s="6" t="str">
        <f t="shared" si="101"/>
        <v>Bajo en grasas</v>
      </c>
      <c r="BU244" s="18" t="str">
        <f t="shared" si="110"/>
        <v>Equilibrio de líquidos ideal</v>
      </c>
      <c r="BV244" s="18" t="str">
        <f t="shared" si="111"/>
        <v>Baja fuente de magnesio</v>
      </c>
      <c r="BW244" s="18" t="str">
        <f t="shared" si="112"/>
        <v>Sin aporte de Omega 3</v>
      </c>
      <c r="BX244" s="18" t="str">
        <f t="shared" si="113"/>
        <v>Libre de grasas trans</v>
      </c>
      <c r="BY244" s="18" t="str">
        <f t="shared" si="114"/>
        <v>Bajo poder antioxidante</v>
      </c>
      <c r="BZ244" s="6" t="str">
        <f t="shared" si="102"/>
        <v>Probiótico activo</v>
      </c>
      <c r="CA244" s="18" t="str">
        <f t="shared" si="115"/>
        <v>Moderadamente inflamatorio</v>
      </c>
      <c r="CB244" s="18" t="str">
        <f>IF(ISNUMBER(SEARCH("miel", D244)), "No irritante (Uso condicionado SII)", IF(OR(J244&gt;0, ISNUMBER(SEARCH("cacao", D244)), ISNUMBER(SEARCH("chocolate puro", D244))), "Altamente irritante", IF(OR(AND(O244&gt;15, BI244&gt;1), ISNUMBER(SEARCH("chocolate", D244))), "Moderadamente irritante", "No irritante")))</f>
        <v>No irritante</v>
      </c>
      <c r="CC244" s="6" t="str">
        <f t="shared" si="103"/>
        <v>Exceso relativo de Omega 6</v>
      </c>
    </row>
    <row r="245" spans="1:81" ht="15" customHeight="1" x14ac:dyDescent="0.3">
      <c r="A245" s="2">
        <f t="shared" si="104"/>
        <v>244</v>
      </c>
      <c r="B245" s="3" t="s">
        <v>323</v>
      </c>
      <c r="C245" s="3" t="s">
        <v>366</v>
      </c>
      <c r="D245" s="3" t="s">
        <v>372</v>
      </c>
      <c r="E245" s="3"/>
      <c r="F245" s="4">
        <v>1.8</v>
      </c>
      <c r="G245" s="5">
        <v>1</v>
      </c>
      <c r="H245" s="5">
        <v>45.3</v>
      </c>
      <c r="I245" s="5">
        <v>89.1</v>
      </c>
      <c r="J245" s="5">
        <v>0</v>
      </c>
      <c r="K245" s="5">
        <v>4.3</v>
      </c>
      <c r="L245" s="5">
        <v>6.3</v>
      </c>
      <c r="M245" s="5">
        <v>0</v>
      </c>
      <c r="N245" s="5">
        <v>6.3</v>
      </c>
      <c r="O245" s="5">
        <v>0</v>
      </c>
      <c r="P245" s="5">
        <v>0</v>
      </c>
      <c r="Q245" s="5">
        <v>0.32</v>
      </c>
      <c r="R245" s="5">
        <v>0.11</v>
      </c>
      <c r="S245" s="5">
        <v>0.15</v>
      </c>
      <c r="T245" s="5">
        <v>0</v>
      </c>
      <c r="U245" s="5">
        <v>1</v>
      </c>
      <c r="V245" s="5">
        <v>2</v>
      </c>
      <c r="W245" s="5">
        <v>2</v>
      </c>
      <c r="X245" s="5">
        <v>0</v>
      </c>
      <c r="Y245" s="5">
        <v>0</v>
      </c>
      <c r="Z245" s="5">
        <v>0</v>
      </c>
      <c r="AA245" s="5">
        <v>0.3</v>
      </c>
      <c r="AB245" s="5">
        <v>0.04</v>
      </c>
      <c r="AC245" s="5">
        <v>0.19</v>
      </c>
      <c r="AD245" s="5">
        <v>1.2</v>
      </c>
      <c r="AE245" s="5">
        <v>0.08</v>
      </c>
      <c r="AF245" s="5">
        <v>4.7</v>
      </c>
      <c r="AG245" s="5">
        <v>0.4</v>
      </c>
      <c r="AH245" s="5">
        <v>0.5</v>
      </c>
      <c r="AI245" s="5">
        <v>2.9</v>
      </c>
      <c r="AJ245" s="5">
        <v>1.6</v>
      </c>
      <c r="AK245" s="5">
        <v>140</v>
      </c>
      <c r="AL245" s="5">
        <v>109</v>
      </c>
      <c r="AM245" s="5">
        <v>0.09</v>
      </c>
      <c r="AN245" s="5">
        <v>5.3</v>
      </c>
      <c r="AO245" s="5">
        <v>0.44</v>
      </c>
      <c r="AP245" s="5">
        <v>13.7</v>
      </c>
      <c r="AQ245" s="5">
        <v>57</v>
      </c>
      <c r="AR245" s="5">
        <v>187</v>
      </c>
      <c r="AS245" s="5">
        <v>3.0000000000000001E-3</v>
      </c>
      <c r="AT245" s="5">
        <v>1.2E-2</v>
      </c>
      <c r="AU245" s="5">
        <v>1</v>
      </c>
      <c r="AV245" s="5">
        <f>IFERROR(VLOOKUP(IFERROR(VLOOKUP(D245,Mapa_Similitud!$A$2:$B$2000,2,FALSE()),D245),Hoja1!$A$2:$K$1000,2,FALSE()),IFERROR(VLOOKUP(IFERROR(VLOOKUP(D245,Mapa_Similitud!$A$2:$B$2000,2,FALSE()),D245),Omega3_Referencia!$A$2:$E$100,3,FALSE()),0))</f>
        <v>0.01</v>
      </c>
      <c r="AW245" s="3" t="str">
        <f>IFERROR(VLOOKUP(IFERROR(VLOOKUP(D245,Mapa_Similitud!$A$2:$B$2000,2,FALSE()),D245),Hoja1!$A$2:$K$1000,3,FALSE()),IFERROR(VLOOKUP(IFERROR(VLOOKUP(D245,Mapa_Similitud!$A$2:$B$2000,2,FALSE()),D245),Omega3_Referencia!$A$2:$E$100,4,FALSE()),"N/A"))</f>
        <v>ALA/EPA</v>
      </c>
      <c r="AX245" s="5">
        <f>IFERROR(VLOOKUP(IFERROR(VLOOKUP(D245,Mapa_Similitud!$A$2:$B$2000,2,FALSE()),D245),Hoja1!$A$2:$K$1000,5,FALSE()),0)</f>
        <v>0</v>
      </c>
      <c r="AY245" s="5">
        <f>IFERROR(VLOOKUP(IFERROR(VLOOKUP(D245,Mapa_Similitud!$A$2:$B$2000,2,FALSE()),D245),Hoja1!$A$2:$K$1000,7,FALSE()),0)</f>
        <v>0</v>
      </c>
      <c r="AZ245" s="5">
        <f>IFERROR(VLOOKUP(IFERROR(VLOOKUP(D245,Mapa_Similitud!$A$2:$B$2000,2,FALSE()),D245),Hoja1!$A$2:$K$1000,9,FALSE()),0)</f>
        <v>6</v>
      </c>
      <c r="BA245" s="25">
        <f t="shared" si="87"/>
        <v>9.4922737306843266E-2</v>
      </c>
      <c r="BB245" s="25">
        <f t="shared" si="88"/>
        <v>0</v>
      </c>
      <c r="BC245" s="25">
        <f t="shared" si="89"/>
        <v>3.0905077262693159</v>
      </c>
      <c r="BD245" s="25">
        <f t="shared" si="90"/>
        <v>1.9867549668874172E-3</v>
      </c>
      <c r="BE245" s="25">
        <f t="shared" si="91"/>
        <v>1.2582781456953642</v>
      </c>
      <c r="BF245" s="25">
        <f t="shared" si="92"/>
        <v>0</v>
      </c>
      <c r="BG245" s="25">
        <f t="shared" si="93"/>
        <v>1.2844036697247707</v>
      </c>
      <c r="BH245" s="25">
        <f t="shared" si="94"/>
        <v>0.34375</v>
      </c>
      <c r="BI245" s="25">
        <f t="shared" si="95"/>
        <v>0.30481283422459893</v>
      </c>
      <c r="BJ245" s="25">
        <f t="shared" si="96"/>
        <v>1</v>
      </c>
      <c r="BK245" s="25">
        <f t="shared" si="97"/>
        <v>0</v>
      </c>
      <c r="BL245" s="25">
        <f t="shared" si="98"/>
        <v>6.3576158940397351E-2</v>
      </c>
      <c r="BM245" s="25">
        <f t="shared" si="99"/>
        <v>0.30242825607064017</v>
      </c>
      <c r="BN245" s="18" t="str">
        <f t="shared" si="105"/>
        <v>Baja fuente de proteína</v>
      </c>
      <c r="BO245" s="18" t="str">
        <f t="shared" si="106"/>
        <v>Baja fuente de fibra</v>
      </c>
      <c r="BP245" s="18" t="str">
        <f t="shared" si="107"/>
        <v>Alta fuente de calcio</v>
      </c>
      <c r="BQ245" s="18" t="str">
        <f t="shared" si="108"/>
        <v>Baja fuente de hierro</v>
      </c>
      <c r="BR245" s="18" t="str">
        <f t="shared" si="109"/>
        <v>Alto en sodio</v>
      </c>
      <c r="BS245" s="6" t="str">
        <f t="shared" si="100"/>
        <v>Proinflamatorio</v>
      </c>
      <c r="BT245" s="6" t="str">
        <f t="shared" si="101"/>
        <v>Bajo en grasas</v>
      </c>
      <c r="BU245" s="18" t="str">
        <f t="shared" si="110"/>
        <v>Equilibrio de líquidos ideal</v>
      </c>
      <c r="BV245" s="18" t="str">
        <f t="shared" si="111"/>
        <v>Media fuente de magnesio</v>
      </c>
      <c r="BW245" s="18" t="str">
        <f t="shared" si="112"/>
        <v>Sin aporte de Omega 3</v>
      </c>
      <c r="BX245" s="18" t="str">
        <f t="shared" si="113"/>
        <v>Libre de grasas trans</v>
      </c>
      <c r="BY245" s="18" t="str">
        <f t="shared" si="114"/>
        <v>Bajo poder antioxidante</v>
      </c>
      <c r="BZ245" s="6" t="str">
        <f t="shared" si="102"/>
        <v>Probiótico activo</v>
      </c>
      <c r="CA245" s="18" t="str">
        <f t="shared" si="115"/>
        <v>Poco inflamatorio</v>
      </c>
      <c r="CB245" s="18" t="str">
        <f>IF(ISNUMBER(SEARCH("miel", D245)), "No irritante (Uso condicionado SII)", IF(OR(J245&gt;0, ISNUMBER(SEARCH("cacao", D245)), ISNUMBER(SEARCH("chocolate puro", D245))), "Altamente irritante", IF(OR(AND(O245&gt;15, BI245&gt;1), ISNUMBER(SEARCH("chocolate", D245))), "Moderadamente irritante", "No irritante")))</f>
        <v>No irritante</v>
      </c>
      <c r="CC245" s="6" t="str">
        <f t="shared" si="103"/>
        <v>Balance de omegas favorable</v>
      </c>
    </row>
    <row r="246" spans="1:81" ht="15" customHeight="1" x14ac:dyDescent="0.3">
      <c r="A246" s="2">
        <f t="shared" si="104"/>
        <v>245</v>
      </c>
      <c r="B246" s="3" t="s">
        <v>323</v>
      </c>
      <c r="C246" s="3" t="s">
        <v>366</v>
      </c>
      <c r="D246" s="3" t="s">
        <v>373</v>
      </c>
      <c r="E246" s="3"/>
      <c r="F246" s="4">
        <v>1.8</v>
      </c>
      <c r="G246" s="5">
        <v>1</v>
      </c>
      <c r="H246" s="5">
        <v>75.900000000000006</v>
      </c>
      <c r="I246" s="5">
        <v>81.400000000000006</v>
      </c>
      <c r="J246" s="5">
        <v>0</v>
      </c>
      <c r="K246" s="5">
        <v>4.5</v>
      </c>
      <c r="L246" s="5">
        <v>13.8</v>
      </c>
      <c r="M246" s="5">
        <v>0</v>
      </c>
      <c r="N246" s="5">
        <v>13.8</v>
      </c>
      <c r="O246" s="5">
        <v>7.5</v>
      </c>
      <c r="P246" s="5">
        <v>0</v>
      </c>
      <c r="Q246" s="5">
        <v>0.3</v>
      </c>
      <c r="R246" s="5">
        <v>0.11</v>
      </c>
      <c r="S246" s="5">
        <v>0.1</v>
      </c>
      <c r="T246" s="5">
        <v>0</v>
      </c>
      <c r="U246" s="5">
        <v>1</v>
      </c>
      <c r="V246" s="5">
        <v>2</v>
      </c>
      <c r="W246" s="5">
        <v>2</v>
      </c>
      <c r="X246" s="5">
        <v>0</v>
      </c>
      <c r="Y246" s="5">
        <v>0</v>
      </c>
      <c r="Z246" s="5">
        <v>0.03</v>
      </c>
      <c r="AA246" s="5">
        <v>0.3</v>
      </c>
      <c r="AB246" s="5">
        <v>0.04</v>
      </c>
      <c r="AC246" s="5">
        <v>0.19</v>
      </c>
      <c r="AD246" s="5">
        <v>0.86</v>
      </c>
      <c r="AE246" s="5">
        <v>0.1</v>
      </c>
      <c r="AF246" s="5">
        <v>5</v>
      </c>
      <c r="AG246" s="5">
        <v>0.3</v>
      </c>
      <c r="AH246" s="5">
        <v>0.5</v>
      </c>
      <c r="AI246" s="5">
        <v>0</v>
      </c>
      <c r="AJ246" s="5">
        <v>4</v>
      </c>
      <c r="AK246" s="5">
        <v>149</v>
      </c>
      <c r="AL246" s="5">
        <v>123</v>
      </c>
      <c r="AM246" s="5">
        <v>0.1</v>
      </c>
      <c r="AN246" s="5">
        <v>5</v>
      </c>
      <c r="AO246" s="5">
        <v>0.4</v>
      </c>
      <c r="AP246" s="5">
        <v>17</v>
      </c>
      <c r="AQ246" s="5">
        <v>66</v>
      </c>
      <c r="AR246" s="5">
        <v>191</v>
      </c>
      <c r="AS246" s="5">
        <v>0</v>
      </c>
      <c r="AT246" s="5">
        <v>0</v>
      </c>
      <c r="AU246" s="5">
        <v>1</v>
      </c>
      <c r="AV246" s="5">
        <f>IFERROR(VLOOKUP(IFERROR(VLOOKUP(D246,Mapa_Similitud!$A$2:$B$2000,2,FALSE()),D246),Hoja1!$A$2:$K$1000,2,FALSE()),IFERROR(VLOOKUP(IFERROR(VLOOKUP(D246,Mapa_Similitud!$A$2:$B$2000,2,FALSE()),D246),Omega3_Referencia!$A$2:$E$100,3,FALSE()),0))</f>
        <v>0.01</v>
      </c>
      <c r="AW246" s="3" t="str">
        <f>IFERROR(VLOOKUP(IFERROR(VLOOKUP(D246,Mapa_Similitud!$A$2:$B$2000,2,FALSE()),D246),Hoja1!$A$2:$K$1000,3,FALSE()),IFERROR(VLOOKUP(IFERROR(VLOOKUP(D246,Mapa_Similitud!$A$2:$B$2000,2,FALSE()),D246),Omega3_Referencia!$A$2:$E$100,4,FALSE()),"N/A"))</f>
        <v>ALA/EPA</v>
      </c>
      <c r="AX246" s="5">
        <f>IFERROR(VLOOKUP(IFERROR(VLOOKUP(D246,Mapa_Similitud!$A$2:$B$2000,2,FALSE()),D246),Hoja1!$A$2:$K$1000,5,FALSE()),0)</f>
        <v>0</v>
      </c>
      <c r="AY246" s="5">
        <f>IFERROR(VLOOKUP(IFERROR(VLOOKUP(D246,Mapa_Similitud!$A$2:$B$2000,2,FALSE()),D246),Hoja1!$A$2:$K$1000,7,FALSE()),0)</f>
        <v>0</v>
      </c>
      <c r="AZ246" s="5">
        <f>IFERROR(VLOOKUP(IFERROR(VLOOKUP(D246,Mapa_Similitud!$A$2:$B$2000,2,FALSE()),D246),Hoja1!$A$2:$K$1000,9,FALSE()),0)</f>
        <v>6</v>
      </c>
      <c r="BA246" s="25">
        <f t="shared" si="87"/>
        <v>5.9288537549407112E-2</v>
      </c>
      <c r="BB246" s="25">
        <f t="shared" si="88"/>
        <v>0</v>
      </c>
      <c r="BC246" s="25">
        <f t="shared" si="89"/>
        <v>1.9631093544137022</v>
      </c>
      <c r="BD246" s="25">
        <f t="shared" si="90"/>
        <v>1.3175230566534915E-3</v>
      </c>
      <c r="BE246" s="25">
        <f t="shared" si="91"/>
        <v>0.86956521739130432</v>
      </c>
      <c r="BF246" s="25">
        <f t="shared" si="92"/>
        <v>0</v>
      </c>
      <c r="BG246" s="25">
        <f t="shared" si="93"/>
        <v>1.2113821138211383</v>
      </c>
      <c r="BH246" s="25">
        <f t="shared" si="94"/>
        <v>0.3666666666666667</v>
      </c>
      <c r="BI246" s="25">
        <f t="shared" si="95"/>
        <v>0.34554973821989526</v>
      </c>
      <c r="BJ246" s="25">
        <f t="shared" si="96"/>
        <v>1</v>
      </c>
      <c r="BK246" s="25">
        <f t="shared" si="97"/>
        <v>0</v>
      </c>
      <c r="BL246" s="25">
        <f t="shared" si="98"/>
        <v>3.5573122529644265E-2</v>
      </c>
      <c r="BM246" s="25">
        <f t="shared" si="99"/>
        <v>0.22397891963109354</v>
      </c>
      <c r="BN246" s="18" t="str">
        <f t="shared" si="105"/>
        <v>Baja fuente de proteína</v>
      </c>
      <c r="BO246" s="18" t="str">
        <f t="shared" si="106"/>
        <v>Baja fuente de fibra</v>
      </c>
      <c r="BP246" s="18" t="str">
        <f t="shared" si="107"/>
        <v>Alta fuente de calcio</v>
      </c>
      <c r="BQ246" s="18" t="str">
        <f t="shared" si="108"/>
        <v>Baja fuente de hierro</v>
      </c>
      <c r="BR246" s="18" t="str">
        <f t="shared" si="109"/>
        <v>Moderado en sodio</v>
      </c>
      <c r="BS246" s="6" t="str">
        <f t="shared" si="100"/>
        <v>Proinflamatorio</v>
      </c>
      <c r="BT246" s="6" t="str">
        <f t="shared" si="101"/>
        <v>Bajo en grasas</v>
      </c>
      <c r="BU246" s="18" t="str">
        <f t="shared" si="110"/>
        <v>Equilibrio de líquidos ideal</v>
      </c>
      <c r="BV246" s="18" t="str">
        <f t="shared" si="111"/>
        <v>Media fuente de magnesio</v>
      </c>
      <c r="BW246" s="18" t="str">
        <f t="shared" si="112"/>
        <v>Sin aporte de Omega 3</v>
      </c>
      <c r="BX246" s="18" t="str">
        <f t="shared" si="113"/>
        <v>Libre de grasas trans</v>
      </c>
      <c r="BY246" s="18" t="str">
        <f t="shared" si="114"/>
        <v>Bajo poder antioxidante</v>
      </c>
      <c r="BZ246" s="6" t="str">
        <f t="shared" si="102"/>
        <v>Probiótico activo</v>
      </c>
      <c r="CA246" s="18" t="str">
        <f t="shared" si="115"/>
        <v>Moderadamente inflamatorio</v>
      </c>
      <c r="CB246" s="18" t="str">
        <f>IF(ISNUMBER(SEARCH("miel", D246)), "No irritante (Uso condicionado SII)", IF(OR(J246&gt;0, ISNUMBER(SEARCH("cacao", D246)), ISNUMBER(SEARCH("chocolate puro", D246))), "Altamente irritante", IF(OR(AND(O246&gt;15, BI246&gt;1), ISNUMBER(SEARCH("chocolate", D246))), "Moderadamente irritante", "No irritante")))</f>
        <v>No irritante</v>
      </c>
      <c r="CC246" s="6" t="str">
        <f t="shared" si="103"/>
        <v>Balance de omegas favorable</v>
      </c>
    </row>
    <row r="247" spans="1:81" ht="15" customHeight="1" x14ac:dyDescent="0.3">
      <c r="A247" s="2">
        <f t="shared" si="104"/>
        <v>246</v>
      </c>
      <c r="B247" s="3" t="s">
        <v>323</v>
      </c>
      <c r="C247" s="3" t="s">
        <v>366</v>
      </c>
      <c r="D247" s="3" t="s">
        <v>374</v>
      </c>
      <c r="E247" s="3"/>
      <c r="F247" s="4">
        <v>2</v>
      </c>
      <c r="G247" s="5">
        <v>1</v>
      </c>
      <c r="H247" s="5">
        <v>40.5</v>
      </c>
      <c r="I247" s="5">
        <v>90.3</v>
      </c>
      <c r="J247" s="5">
        <v>0</v>
      </c>
      <c r="K247" s="5">
        <v>4.3</v>
      </c>
      <c r="L247" s="5">
        <v>5.0999999999999996</v>
      </c>
      <c r="M247" s="5">
        <v>0</v>
      </c>
      <c r="N247" s="5">
        <v>4.8</v>
      </c>
      <c r="O247" s="5">
        <v>0</v>
      </c>
      <c r="P247" s="5">
        <v>0</v>
      </c>
      <c r="Q247" s="5">
        <v>0.32</v>
      </c>
      <c r="R247" s="5">
        <v>0.11</v>
      </c>
      <c r="S247" s="5">
        <v>0.15</v>
      </c>
      <c r="T247" s="5">
        <v>0</v>
      </c>
      <c r="U247" s="5">
        <v>1</v>
      </c>
      <c r="V247" s="5">
        <v>0.8</v>
      </c>
      <c r="W247" s="5">
        <v>0.72</v>
      </c>
      <c r="X247" s="5">
        <v>0.48</v>
      </c>
      <c r="Y247" s="5">
        <v>0</v>
      </c>
      <c r="Z247" s="5">
        <v>0</v>
      </c>
      <c r="AA247" s="5">
        <v>0.3</v>
      </c>
      <c r="AB247" s="5">
        <v>0.04</v>
      </c>
      <c r="AC247" s="5">
        <v>0.19</v>
      </c>
      <c r="AD247" s="5">
        <v>1.2</v>
      </c>
      <c r="AE247" s="5">
        <v>0.08</v>
      </c>
      <c r="AF247" s="5">
        <v>4.7</v>
      </c>
      <c r="AG247" s="5">
        <v>0.4</v>
      </c>
      <c r="AH247" s="5">
        <v>0.5</v>
      </c>
      <c r="AI247" s="5">
        <v>2.9</v>
      </c>
      <c r="AJ247" s="5">
        <v>1.6</v>
      </c>
      <c r="AK247" s="5">
        <v>140</v>
      </c>
      <c r="AL247" s="5">
        <v>109</v>
      </c>
      <c r="AM247" s="5">
        <v>0.09</v>
      </c>
      <c r="AN247" s="5">
        <v>5.3</v>
      </c>
      <c r="AO247" s="5">
        <v>0.44</v>
      </c>
      <c r="AP247" s="5">
        <v>13.7</v>
      </c>
      <c r="AQ247" s="5">
        <v>57</v>
      </c>
      <c r="AR247" s="5">
        <v>187</v>
      </c>
      <c r="AS247" s="5">
        <v>3.0000000000000001E-3</v>
      </c>
      <c r="AT247" s="5">
        <v>1.2E-2</v>
      </c>
      <c r="AU247" s="5">
        <v>1</v>
      </c>
      <c r="AV247" s="5">
        <f>IFERROR(VLOOKUP(IFERROR(VLOOKUP(D247,Mapa_Similitud!$A$2:$B$2000,2,FALSE()),D247),Hoja1!$A$2:$K$1000,2,FALSE()),IFERROR(VLOOKUP(IFERROR(VLOOKUP(D247,Mapa_Similitud!$A$2:$B$2000,2,FALSE()),D247),Omega3_Referencia!$A$2:$E$100,3,FALSE()),0))</f>
        <v>0.01</v>
      </c>
      <c r="AW247" s="3" t="str">
        <f>IFERROR(VLOOKUP(IFERROR(VLOOKUP(D247,Mapa_Similitud!$A$2:$B$2000,2,FALSE()),D247),Hoja1!$A$2:$K$1000,3,FALSE()),IFERROR(VLOOKUP(IFERROR(VLOOKUP(D247,Mapa_Similitud!$A$2:$B$2000,2,FALSE()),D247),Omega3_Referencia!$A$2:$E$100,4,FALSE()),"N/A"))</f>
        <v>ALA/EPA</v>
      </c>
      <c r="AX247" s="5">
        <f>IFERROR(VLOOKUP(IFERROR(VLOOKUP(D247,Mapa_Similitud!$A$2:$B$2000,2,FALSE()),D247),Hoja1!$A$2:$K$1000,5,FALSE()),0)</f>
        <v>0</v>
      </c>
      <c r="AY247" s="5">
        <f>IFERROR(VLOOKUP(IFERROR(VLOOKUP(D247,Mapa_Similitud!$A$2:$B$2000,2,FALSE()),D247),Hoja1!$A$2:$K$1000,7,FALSE()),0)</f>
        <v>0</v>
      </c>
      <c r="AZ247" s="5">
        <f>IFERROR(VLOOKUP(IFERROR(VLOOKUP(D247,Mapa_Similitud!$A$2:$B$2000,2,FALSE()),D247),Hoja1!$A$2:$K$1000,9,FALSE()),0)</f>
        <v>6</v>
      </c>
      <c r="BA247" s="25">
        <f t="shared" si="87"/>
        <v>0.10617283950617283</v>
      </c>
      <c r="BB247" s="25">
        <f t="shared" si="88"/>
        <v>0</v>
      </c>
      <c r="BC247" s="25">
        <f t="shared" si="89"/>
        <v>3.4567901234567899</v>
      </c>
      <c r="BD247" s="25">
        <f t="shared" si="90"/>
        <v>2.2222222222222222E-3</v>
      </c>
      <c r="BE247" s="25">
        <f t="shared" si="91"/>
        <v>1.4074074074074074</v>
      </c>
      <c r="BF247" s="25">
        <f t="shared" si="92"/>
        <v>0</v>
      </c>
      <c r="BG247" s="25">
        <f t="shared" si="93"/>
        <v>1.2844036697247707</v>
      </c>
      <c r="BH247" s="25">
        <f t="shared" si="94"/>
        <v>0.34375</v>
      </c>
      <c r="BI247" s="25">
        <f t="shared" si="95"/>
        <v>0.30481283422459893</v>
      </c>
      <c r="BJ247" s="25">
        <f t="shared" si="96"/>
        <v>0.94117647058823528</v>
      </c>
      <c r="BK247" s="25">
        <f t="shared" si="97"/>
        <v>0</v>
      </c>
      <c r="BL247" s="25">
        <f t="shared" si="98"/>
        <v>7.1111111111111111E-2</v>
      </c>
      <c r="BM247" s="25">
        <f t="shared" si="99"/>
        <v>0.33827160493827158</v>
      </c>
      <c r="BN247" s="18" t="str">
        <f t="shared" si="105"/>
        <v>Media fuente de proteína</v>
      </c>
      <c r="BO247" s="18" t="str">
        <f t="shared" si="106"/>
        <v>Baja fuente de fibra</v>
      </c>
      <c r="BP247" s="18" t="str">
        <f t="shared" si="107"/>
        <v>Alta fuente de calcio</v>
      </c>
      <c r="BQ247" s="18" t="str">
        <f t="shared" si="108"/>
        <v>Baja fuente de hierro</v>
      </c>
      <c r="BR247" s="18" t="str">
        <f t="shared" si="109"/>
        <v>Alto en sodio</v>
      </c>
      <c r="BS247" s="6" t="str">
        <f t="shared" si="100"/>
        <v>Proinflamatorio</v>
      </c>
      <c r="BT247" s="6" t="str">
        <f t="shared" si="101"/>
        <v>Bajo en grasas</v>
      </c>
      <c r="BU247" s="18" t="str">
        <f t="shared" si="110"/>
        <v>Equilibrio de líquidos ideal</v>
      </c>
      <c r="BV247" s="18" t="str">
        <f t="shared" si="111"/>
        <v>Media fuente de magnesio</v>
      </c>
      <c r="BW247" s="18" t="str">
        <f t="shared" si="112"/>
        <v>Sin aporte de Omega 3</v>
      </c>
      <c r="BX247" s="18" t="str">
        <f t="shared" si="113"/>
        <v>Libre de grasas trans</v>
      </c>
      <c r="BY247" s="18" t="str">
        <f t="shared" si="114"/>
        <v>Bajo poder antioxidante</v>
      </c>
      <c r="BZ247" s="6" t="str">
        <f t="shared" si="102"/>
        <v>Probiótico activo</v>
      </c>
      <c r="CA247" s="18" t="str">
        <f t="shared" si="115"/>
        <v>Poco inflamatorio</v>
      </c>
      <c r="CB247" s="18" t="str">
        <f>IF(ISNUMBER(SEARCH("miel", D247)), "No irritante (Uso condicionado SII)", IF(OR(J247&gt;0, ISNUMBER(SEARCH("cacao", D247)), ISNUMBER(SEARCH("chocolate puro", D247))), "Altamente irritante", IF(OR(AND(O247&gt;15, BI247&gt;1), ISNUMBER(SEARCH("chocolate", D247))), "Moderadamente irritante", "No irritante")))</f>
        <v>No irritante</v>
      </c>
      <c r="CC247" s="6" t="str">
        <f t="shared" si="103"/>
        <v>Balance de omegas favorable</v>
      </c>
    </row>
    <row r="248" spans="1:81" ht="15" customHeight="1" x14ac:dyDescent="0.3">
      <c r="A248" s="2">
        <f t="shared" si="104"/>
        <v>247</v>
      </c>
      <c r="B248" s="3" t="s">
        <v>323</v>
      </c>
      <c r="C248" s="3" t="s">
        <v>366</v>
      </c>
      <c r="D248" s="3" t="s">
        <v>375</v>
      </c>
      <c r="E248" s="3"/>
      <c r="F248" s="4">
        <v>2.2000000000000002</v>
      </c>
      <c r="G248" s="5">
        <v>1</v>
      </c>
      <c r="H248" s="5">
        <v>89.6</v>
      </c>
      <c r="I248" s="5">
        <v>79.7</v>
      </c>
      <c r="J248" s="5">
        <v>0</v>
      </c>
      <c r="K248" s="5">
        <v>3.9</v>
      </c>
      <c r="L248" s="5">
        <v>9.1</v>
      </c>
      <c r="M248" s="5">
        <v>0.81</v>
      </c>
      <c r="N248" s="5">
        <v>8.3000000000000007</v>
      </c>
      <c r="O248" s="5">
        <v>0</v>
      </c>
      <c r="P248" s="5">
        <v>1.8</v>
      </c>
      <c r="Q248" s="5">
        <v>3.8</v>
      </c>
      <c r="R248" s="5">
        <v>2.5</v>
      </c>
      <c r="S248" s="5">
        <v>0.86</v>
      </c>
      <c r="T248" s="5">
        <v>0.12</v>
      </c>
      <c r="U248" s="5">
        <v>14.5</v>
      </c>
      <c r="V248" s="5">
        <v>25.6</v>
      </c>
      <c r="W248" s="5">
        <v>25.6</v>
      </c>
      <c r="X248" s="5">
        <v>0</v>
      </c>
      <c r="Y248" s="5">
        <v>7.0000000000000007E-2</v>
      </c>
      <c r="Z248" s="5">
        <v>7.6999999999999999E-2</v>
      </c>
      <c r="AA248" s="5">
        <v>0</v>
      </c>
      <c r="AB248" s="5">
        <v>0.06</v>
      </c>
      <c r="AC248" s="5">
        <v>0.17</v>
      </c>
      <c r="AD248" s="5">
        <v>0.51</v>
      </c>
      <c r="AE248" s="5">
        <v>0.11</v>
      </c>
      <c r="AF248" s="5">
        <v>26</v>
      </c>
      <c r="AG248" s="5">
        <v>0.23</v>
      </c>
      <c r="AH248" s="5">
        <v>0</v>
      </c>
      <c r="AI248" s="5">
        <v>0</v>
      </c>
      <c r="AJ248" s="5">
        <v>0.55000000000000004</v>
      </c>
      <c r="AK248" s="5">
        <v>126</v>
      </c>
      <c r="AL248" s="5">
        <v>94.8</v>
      </c>
      <c r="AM248" s="5">
        <v>0.19</v>
      </c>
      <c r="AN248" s="5">
        <v>5</v>
      </c>
      <c r="AO248" s="5">
        <v>0.4</v>
      </c>
      <c r="AP248" s="5">
        <v>3.3</v>
      </c>
      <c r="AQ248" s="5">
        <v>51.2</v>
      </c>
      <c r="AR248" s="5">
        <v>13.4</v>
      </c>
      <c r="AS248" s="5">
        <v>0</v>
      </c>
      <c r="AT248" s="5">
        <v>0</v>
      </c>
      <c r="AU248" s="5">
        <v>5</v>
      </c>
      <c r="AV248" s="5">
        <f>IFERROR(VLOOKUP(IFERROR(VLOOKUP(D248,Mapa_Similitud!$A$2:$B$2000,2,FALSE()),D248),Hoja1!$A$2:$K$1000,2,FALSE()),IFERROR(VLOOKUP(IFERROR(VLOOKUP(D248,Mapa_Similitud!$A$2:$B$2000,2,FALSE()),D248),Omega3_Referencia!$A$2:$E$100,3,FALSE()),0))</f>
        <v>0.05</v>
      </c>
      <c r="AW248" s="3" t="str">
        <f>IFERROR(VLOOKUP(IFERROR(VLOOKUP(D248,Mapa_Similitud!$A$2:$B$2000,2,FALSE()),D248),Hoja1!$A$2:$K$1000,3,FALSE()),IFERROR(VLOOKUP(IFERROR(VLOOKUP(D248,Mapa_Similitud!$A$2:$B$2000,2,FALSE()),D248),Omega3_Referencia!$A$2:$E$100,4,FALSE()),"N/A"))</f>
        <v>ALA/EPA</v>
      </c>
      <c r="AX248" s="5">
        <f>IFERROR(VLOOKUP(IFERROR(VLOOKUP(D248,Mapa_Similitud!$A$2:$B$2000,2,FALSE()),D248),Hoja1!$A$2:$K$1000,5,FALSE()),0)</f>
        <v>0.1</v>
      </c>
      <c r="AY248" s="5">
        <f>IFERROR(VLOOKUP(IFERROR(VLOOKUP(D248,Mapa_Similitud!$A$2:$B$2000,2,FALSE()),D248),Hoja1!$A$2:$K$1000,7,FALSE()),0)</f>
        <v>5</v>
      </c>
      <c r="AZ248" s="5">
        <f>IFERROR(VLOOKUP(IFERROR(VLOOKUP(D248,Mapa_Similitud!$A$2:$B$2000,2,FALSE()),D248),Hoja1!$A$2:$K$1000,9,FALSE()),0)</f>
        <v>3</v>
      </c>
      <c r="BA248" s="25">
        <f t="shared" si="87"/>
        <v>4.3526785714285719E-2</v>
      </c>
      <c r="BB248" s="25">
        <f t="shared" si="88"/>
        <v>2.0089285714285716E-2</v>
      </c>
      <c r="BC248" s="25">
        <f t="shared" si="89"/>
        <v>1.40625</v>
      </c>
      <c r="BD248" s="25">
        <f t="shared" si="90"/>
        <v>2.1205357142857146E-3</v>
      </c>
      <c r="BE248" s="25">
        <f t="shared" si="91"/>
        <v>0.57142857142857151</v>
      </c>
      <c r="BF248" s="25">
        <f t="shared" si="92"/>
        <v>4.8000000000000001E-2</v>
      </c>
      <c r="BG248" s="25">
        <f t="shared" si="93"/>
        <v>1.3291139240506329</v>
      </c>
      <c r="BH248" s="25">
        <f t="shared" si="94"/>
        <v>0.65789473684210531</v>
      </c>
      <c r="BI248" s="25">
        <f t="shared" si="95"/>
        <v>3.8208955223880596</v>
      </c>
      <c r="BJ248" s="25">
        <f t="shared" si="96"/>
        <v>0.91208791208791218</v>
      </c>
      <c r="BK248" s="25">
        <f t="shared" si="97"/>
        <v>0.19780219780219782</v>
      </c>
      <c r="BL248" s="25">
        <f t="shared" si="98"/>
        <v>0.38169642857142855</v>
      </c>
      <c r="BM248" s="25">
        <f t="shared" si="99"/>
        <v>3.6830357142857144E-2</v>
      </c>
      <c r="BN248" s="18" t="str">
        <f t="shared" si="105"/>
        <v>Baja fuente de proteína</v>
      </c>
      <c r="BO248" s="18" t="str">
        <f t="shared" si="106"/>
        <v>Media fuente de fibra</v>
      </c>
      <c r="BP248" s="18" t="str">
        <f t="shared" si="107"/>
        <v>Media fuente de calcio</v>
      </c>
      <c r="BQ248" s="18" t="str">
        <f t="shared" si="108"/>
        <v>Baja fuente de hierro</v>
      </c>
      <c r="BR248" s="18" t="str">
        <f t="shared" si="109"/>
        <v>Moderado en sodio</v>
      </c>
      <c r="BS248" s="6" t="str">
        <f t="shared" si="100"/>
        <v>Proinflamatorio</v>
      </c>
      <c r="BT248" s="6" t="str">
        <f t="shared" si="101"/>
        <v>Alto en grasas</v>
      </c>
      <c r="BU248" s="18" t="str">
        <f t="shared" si="110"/>
        <v>Alto riesgo de retención de líquidos</v>
      </c>
      <c r="BV248" s="18" t="str">
        <f t="shared" si="111"/>
        <v>Baja fuente de magnesio</v>
      </c>
      <c r="BW248" s="18" t="str">
        <f t="shared" si="112"/>
        <v>Sin aporte de Omega 3</v>
      </c>
      <c r="BX248" s="18" t="str">
        <f t="shared" si="113"/>
        <v>Contiene grasas trans</v>
      </c>
      <c r="BY248" s="18" t="str">
        <f t="shared" si="114"/>
        <v>Bajo poder antioxidante</v>
      </c>
      <c r="BZ248" s="6" t="str">
        <f t="shared" si="102"/>
        <v>Probiótico activo</v>
      </c>
      <c r="CA248" s="18" t="str">
        <f t="shared" si="115"/>
        <v>Moderadamente inflamatorio</v>
      </c>
      <c r="CB248" s="18" t="str">
        <f>IF(ISNUMBER(SEARCH("miel", D248)), "No irritante (Uso condicionado SII)", IF(OR(J248&gt;0, ISNUMBER(SEARCH("cacao", D248)), ISNUMBER(SEARCH("chocolate puro", D248))), "Altamente irritante", IF(OR(AND(O248&gt;15, BI248&gt;1), ISNUMBER(SEARCH("chocolate", D248))), "Moderadamente irritante", "No irritante")))</f>
        <v>No irritante</v>
      </c>
      <c r="CC248" s="6" t="str">
        <f t="shared" si="103"/>
        <v>Balance de omegas favorable</v>
      </c>
    </row>
    <row r="249" spans="1:81" ht="15" customHeight="1" x14ac:dyDescent="0.3">
      <c r="A249" s="2">
        <f t="shared" si="104"/>
        <v>248</v>
      </c>
      <c r="B249" s="3" t="s">
        <v>323</v>
      </c>
      <c r="C249" s="3" t="s">
        <v>366</v>
      </c>
      <c r="D249" s="3" t="s">
        <v>376</v>
      </c>
      <c r="E249" s="3"/>
      <c r="F249" s="4">
        <v>2</v>
      </c>
      <c r="G249" s="5">
        <v>1</v>
      </c>
      <c r="H249" s="5">
        <v>94.9</v>
      </c>
      <c r="I249" s="5">
        <v>78</v>
      </c>
      <c r="J249" s="5">
        <v>0</v>
      </c>
      <c r="K249" s="5">
        <v>3.8</v>
      </c>
      <c r="L249" s="5">
        <v>14.3</v>
      </c>
      <c r="M249" s="5">
        <v>0</v>
      </c>
      <c r="N249" s="5">
        <v>14.3</v>
      </c>
      <c r="O249" s="5">
        <v>8.8000000000000007</v>
      </c>
      <c r="P249" s="5">
        <v>0.9</v>
      </c>
      <c r="Q249" s="5">
        <v>2.2999999999999998</v>
      </c>
      <c r="R249" s="5">
        <v>1.4</v>
      </c>
      <c r="S249" s="5">
        <v>0.6</v>
      </c>
      <c r="T249" s="5">
        <v>0.1</v>
      </c>
      <c r="U249" s="5">
        <v>10.7</v>
      </c>
      <c r="V249" s="5">
        <v>14.5</v>
      </c>
      <c r="W249" s="5">
        <v>13.6</v>
      </c>
      <c r="X249" s="5">
        <v>5.6</v>
      </c>
      <c r="Y249" s="5">
        <v>0.04</v>
      </c>
      <c r="Z249" s="5">
        <v>0.03</v>
      </c>
      <c r="AA249" s="5">
        <v>0.7</v>
      </c>
      <c r="AB249" s="5">
        <v>0.03</v>
      </c>
      <c r="AC249" s="5">
        <v>0.2</v>
      </c>
      <c r="AD249" s="5">
        <v>1.4</v>
      </c>
      <c r="AE249" s="5">
        <v>1.2999999999999999E-2</v>
      </c>
      <c r="AF249" s="5">
        <v>18.100000000000001</v>
      </c>
      <c r="AG249" s="5">
        <v>0.18</v>
      </c>
      <c r="AH249" s="5">
        <v>0.3</v>
      </c>
      <c r="AI249" s="5">
        <v>2</v>
      </c>
      <c r="AJ249" s="5">
        <v>0.7</v>
      </c>
      <c r="AK249" s="5">
        <v>109</v>
      </c>
      <c r="AL249" s="5">
        <v>130</v>
      </c>
      <c r="AM249" s="5">
        <v>0.14000000000000001</v>
      </c>
      <c r="AN249" s="5">
        <v>28.6</v>
      </c>
      <c r="AO249" s="5">
        <v>0.3</v>
      </c>
      <c r="AP249" s="5">
        <v>12.8</v>
      </c>
      <c r="AQ249" s="5">
        <v>82</v>
      </c>
      <c r="AR249" s="5">
        <v>210</v>
      </c>
      <c r="AS249" s="5">
        <v>0</v>
      </c>
      <c r="AT249" s="5">
        <v>0</v>
      </c>
      <c r="AU249" s="5">
        <v>1</v>
      </c>
      <c r="AV249" s="5">
        <f>IFERROR(VLOOKUP(IFERROR(VLOOKUP(D249,Mapa_Similitud!$A$2:$B$2000,2,FALSE()),D249),Hoja1!$A$2:$K$1000,2,FALSE()),IFERROR(VLOOKUP(IFERROR(VLOOKUP(D249,Mapa_Similitud!$A$2:$B$2000,2,FALSE()),D249),Omega3_Referencia!$A$2:$E$100,3,FALSE()),0))</f>
        <v>0.05</v>
      </c>
      <c r="AW249" s="3" t="str">
        <f>IFERROR(VLOOKUP(IFERROR(VLOOKUP(D249,Mapa_Similitud!$A$2:$B$2000,2,FALSE()),D249),Hoja1!$A$2:$K$1000,3,FALSE()),IFERROR(VLOOKUP(IFERROR(VLOOKUP(D249,Mapa_Similitud!$A$2:$B$2000,2,FALSE()),D249),Omega3_Referencia!$A$2:$E$100,4,FALSE()),"N/A"))</f>
        <v>ALA/EPA</v>
      </c>
      <c r="AX249" s="5">
        <f>IFERROR(VLOOKUP(IFERROR(VLOOKUP(D249,Mapa_Similitud!$A$2:$B$2000,2,FALSE()),D249),Hoja1!$A$2:$K$1000,5,FALSE()),0)</f>
        <v>0.1</v>
      </c>
      <c r="AY249" s="5">
        <f>IFERROR(VLOOKUP(IFERROR(VLOOKUP(D249,Mapa_Similitud!$A$2:$B$2000,2,FALSE()),D249),Hoja1!$A$2:$K$1000,7,FALSE()),0)</f>
        <v>5</v>
      </c>
      <c r="AZ249" s="5">
        <f>IFERROR(VLOOKUP(IFERROR(VLOOKUP(D249,Mapa_Similitud!$A$2:$B$2000,2,FALSE()),D249),Hoja1!$A$2:$K$1000,9,FALSE()),0)</f>
        <v>3</v>
      </c>
      <c r="BA249" s="25">
        <f t="shared" si="87"/>
        <v>4.0042149631190724E-2</v>
      </c>
      <c r="BB249" s="25">
        <f t="shared" si="88"/>
        <v>9.4836670179135937E-3</v>
      </c>
      <c r="BC249" s="25">
        <f t="shared" si="89"/>
        <v>1.1485774499473129</v>
      </c>
      <c r="BD249" s="25">
        <f t="shared" si="90"/>
        <v>1.475237091675448E-3</v>
      </c>
      <c r="BE249" s="25">
        <f t="shared" si="91"/>
        <v>0.86406743940990516</v>
      </c>
      <c r="BF249" s="25">
        <f t="shared" si="92"/>
        <v>7.1428571428571438E-2</v>
      </c>
      <c r="BG249" s="25">
        <f t="shared" si="93"/>
        <v>0.83846153846153848</v>
      </c>
      <c r="BH249" s="25">
        <f t="shared" si="94"/>
        <v>0.60869565217391308</v>
      </c>
      <c r="BI249" s="25">
        <f t="shared" si="95"/>
        <v>0.39047619047619048</v>
      </c>
      <c r="BJ249" s="25">
        <f t="shared" si="96"/>
        <v>1</v>
      </c>
      <c r="BK249" s="25">
        <f t="shared" si="97"/>
        <v>6.2937062937062929E-2</v>
      </c>
      <c r="BL249" s="25">
        <f t="shared" si="98"/>
        <v>0.21812434141201262</v>
      </c>
      <c r="BM249" s="25">
        <f t="shared" si="99"/>
        <v>0.13487881981032665</v>
      </c>
      <c r="BN249" s="18" t="str">
        <f t="shared" si="105"/>
        <v>Baja fuente de proteína</v>
      </c>
      <c r="BO249" s="18" t="str">
        <f t="shared" si="106"/>
        <v>Baja fuente de fibra</v>
      </c>
      <c r="BP249" s="18" t="str">
        <f t="shared" si="107"/>
        <v>Media fuente de calcio</v>
      </c>
      <c r="BQ249" s="18" t="str">
        <f t="shared" si="108"/>
        <v>Baja fuente de hierro</v>
      </c>
      <c r="BR249" s="18" t="str">
        <f t="shared" si="109"/>
        <v>Moderado en sodio</v>
      </c>
      <c r="BS249" s="6" t="str">
        <f t="shared" si="100"/>
        <v>Proinflamatorio</v>
      </c>
      <c r="BT249" s="6" t="str">
        <f t="shared" si="101"/>
        <v>Moderado en grasas</v>
      </c>
      <c r="BU249" s="18" t="str">
        <f t="shared" si="110"/>
        <v>Equilibrio de líquidos ideal</v>
      </c>
      <c r="BV249" s="18" t="str">
        <f t="shared" si="111"/>
        <v>Baja fuente de magnesio</v>
      </c>
      <c r="BW249" s="18" t="str">
        <f t="shared" si="112"/>
        <v>Sin aporte de Omega 3</v>
      </c>
      <c r="BX249" s="18" t="str">
        <f t="shared" si="113"/>
        <v>Contiene grasas trans</v>
      </c>
      <c r="BY249" s="18" t="str">
        <f t="shared" si="114"/>
        <v>Bajo poder antioxidante</v>
      </c>
      <c r="BZ249" s="6" t="str">
        <f t="shared" si="102"/>
        <v>Probiótico activo</v>
      </c>
      <c r="CA249" s="18" t="str">
        <f t="shared" si="115"/>
        <v>Moderadamente inflamatorio</v>
      </c>
      <c r="CB249" s="18" t="str">
        <f>IF(ISNUMBER(SEARCH("miel", D249)), "No irritante (Uso condicionado SII)", IF(OR(J249&gt;0, ISNUMBER(SEARCH("cacao", D249)), ISNUMBER(SEARCH("chocolate puro", D249))), "Altamente irritante", IF(OR(AND(O249&gt;15, BI249&gt;1), ISNUMBER(SEARCH("chocolate", D249))), "Moderadamente irritante", "No irritante")))</f>
        <v>No irritante</v>
      </c>
      <c r="CC249" s="6" t="str">
        <f t="shared" si="103"/>
        <v>Balance de omegas favorable</v>
      </c>
    </row>
    <row r="250" spans="1:81" ht="15" customHeight="1" x14ac:dyDescent="0.3">
      <c r="A250" s="2">
        <f t="shared" si="104"/>
        <v>249</v>
      </c>
      <c r="B250" s="3" t="s">
        <v>323</v>
      </c>
      <c r="C250" s="3" t="s">
        <v>366</v>
      </c>
      <c r="D250" s="3" t="s">
        <v>377</v>
      </c>
      <c r="E250" s="3"/>
      <c r="F250" s="4">
        <v>1.8</v>
      </c>
      <c r="G250" s="5">
        <v>1</v>
      </c>
      <c r="H250" s="5">
        <v>115</v>
      </c>
      <c r="I250" s="5">
        <v>75.599999999999994</v>
      </c>
      <c r="J250" s="5">
        <v>0</v>
      </c>
      <c r="K250" s="5">
        <v>5.4</v>
      </c>
      <c r="L250" s="5">
        <v>15.6</v>
      </c>
      <c r="M250" s="5">
        <v>0</v>
      </c>
      <c r="N250" s="5">
        <v>15.6</v>
      </c>
      <c r="O250" s="5">
        <v>10.1</v>
      </c>
      <c r="P250" s="5">
        <v>0</v>
      </c>
      <c r="Q250" s="5">
        <v>3.4</v>
      </c>
      <c r="R250" s="5">
        <v>2.1</v>
      </c>
      <c r="S250" s="5">
        <v>0.97</v>
      </c>
      <c r="T250" s="5">
        <v>0.08</v>
      </c>
      <c r="U250" s="5">
        <v>11</v>
      </c>
      <c r="V250" s="5">
        <v>27.4</v>
      </c>
      <c r="W250" s="5">
        <v>25.7</v>
      </c>
      <c r="X250" s="5">
        <v>10.199999999999999</v>
      </c>
      <c r="Y250" s="5">
        <v>0.05</v>
      </c>
      <c r="Z250" s="5">
        <v>0.08</v>
      </c>
      <c r="AA250" s="5">
        <v>0.7</v>
      </c>
      <c r="AB250" s="5">
        <v>0.03</v>
      </c>
      <c r="AC250" s="5">
        <v>0.17</v>
      </c>
      <c r="AD250" s="5">
        <v>0.44</v>
      </c>
      <c r="AE250" s="5">
        <v>0.05</v>
      </c>
      <c r="AF250" s="5">
        <v>13.5</v>
      </c>
      <c r="AG250" s="5">
        <v>0.17</v>
      </c>
      <c r="AH250" s="5">
        <v>0.35</v>
      </c>
      <c r="AI250" s="5">
        <v>0</v>
      </c>
      <c r="AJ250" s="5">
        <v>0.94</v>
      </c>
      <c r="AK250" s="5">
        <v>121</v>
      </c>
      <c r="AL250" s="5">
        <v>140</v>
      </c>
      <c r="AM250" s="5">
        <v>0.1</v>
      </c>
      <c r="AN250" s="5">
        <v>6</v>
      </c>
      <c r="AO250" s="5">
        <v>0.52</v>
      </c>
      <c r="AP250" s="5">
        <v>14.2</v>
      </c>
      <c r="AQ250" s="5">
        <v>65</v>
      </c>
      <c r="AR250" s="5">
        <v>240</v>
      </c>
      <c r="AS250" s="5">
        <v>0</v>
      </c>
      <c r="AT250" s="5">
        <v>0</v>
      </c>
      <c r="AU250" s="5">
        <v>1</v>
      </c>
      <c r="AV250" s="5">
        <f>IFERROR(VLOOKUP(IFERROR(VLOOKUP(D250,Mapa_Similitud!$A$2:$B$2000,2,FALSE()),D250),Hoja1!$A$2:$K$1000,2,FALSE()),IFERROR(VLOOKUP(IFERROR(VLOOKUP(D250,Mapa_Similitud!$A$2:$B$2000,2,FALSE()),D250),Omega3_Referencia!$A$2:$E$100,3,FALSE()),0))</f>
        <v>0.04</v>
      </c>
      <c r="AW250" s="3" t="str">
        <f>IFERROR(VLOOKUP(IFERROR(VLOOKUP(D250,Mapa_Similitud!$A$2:$B$2000,2,FALSE()),D250),Hoja1!$A$2:$K$1000,3,FALSE()),IFERROR(VLOOKUP(IFERROR(VLOOKUP(D250,Mapa_Similitud!$A$2:$B$2000,2,FALSE()),D250),Omega3_Referencia!$A$2:$E$100,4,FALSE()),"N/A"))</f>
        <v>ALA/EPA</v>
      </c>
      <c r="AX250" s="5">
        <f>IFERROR(VLOOKUP(IFERROR(VLOOKUP(D250,Mapa_Similitud!$A$2:$B$2000,2,FALSE()),D250),Hoja1!$A$2:$K$1000,5,FALSE()),0)</f>
        <v>0.1</v>
      </c>
      <c r="AY250" s="5">
        <f>IFERROR(VLOOKUP(IFERROR(VLOOKUP(D250,Mapa_Similitud!$A$2:$B$2000,2,FALSE()),D250),Hoja1!$A$2:$K$1000,7,FALSE()),0)</f>
        <v>0</v>
      </c>
      <c r="AZ250" s="5">
        <f>IFERROR(VLOOKUP(IFERROR(VLOOKUP(D250,Mapa_Similitud!$A$2:$B$2000,2,FALSE()),D250),Hoja1!$A$2:$K$1000,9,FALSE()),0)</f>
        <v>3</v>
      </c>
      <c r="BA250" s="25">
        <f t="shared" si="87"/>
        <v>4.6956521739130438E-2</v>
      </c>
      <c r="BB250" s="25">
        <f t="shared" si="88"/>
        <v>0</v>
      </c>
      <c r="BC250" s="25">
        <f t="shared" si="89"/>
        <v>1.0521739130434782</v>
      </c>
      <c r="BD250" s="25">
        <f t="shared" si="90"/>
        <v>8.6956521739130438E-4</v>
      </c>
      <c r="BE250" s="25">
        <f t="shared" si="91"/>
        <v>0.56521739130434778</v>
      </c>
      <c r="BF250" s="25">
        <f t="shared" si="92"/>
        <v>3.8095238095238092E-2</v>
      </c>
      <c r="BG250" s="25">
        <f t="shared" si="93"/>
        <v>0.86428571428571432</v>
      </c>
      <c r="BH250" s="25">
        <f t="shared" si="94"/>
        <v>0.61764705882352944</v>
      </c>
      <c r="BI250" s="25">
        <f t="shared" si="95"/>
        <v>0.27083333333333331</v>
      </c>
      <c r="BJ250" s="25">
        <f t="shared" si="96"/>
        <v>1</v>
      </c>
      <c r="BK250" s="25">
        <f t="shared" si="97"/>
        <v>0</v>
      </c>
      <c r="BL250" s="25">
        <f t="shared" si="98"/>
        <v>0.26608695652173914</v>
      </c>
      <c r="BM250" s="25">
        <f t="shared" si="99"/>
        <v>0.12347826086956522</v>
      </c>
      <c r="BN250" s="18" t="str">
        <f t="shared" si="105"/>
        <v>Baja fuente de proteína</v>
      </c>
      <c r="BO250" s="18" t="str">
        <f t="shared" si="106"/>
        <v>Baja fuente de fibra</v>
      </c>
      <c r="BP250" s="18" t="str">
        <f t="shared" si="107"/>
        <v>Media fuente de calcio</v>
      </c>
      <c r="BQ250" s="18" t="str">
        <f t="shared" si="108"/>
        <v>Baja fuente de hierro</v>
      </c>
      <c r="BR250" s="18" t="str">
        <f t="shared" si="109"/>
        <v>Moderado en sodio</v>
      </c>
      <c r="BS250" s="6" t="str">
        <f t="shared" si="100"/>
        <v>Proinflamatorio</v>
      </c>
      <c r="BT250" s="6" t="str">
        <f t="shared" si="101"/>
        <v>Moderado en grasas</v>
      </c>
      <c r="BU250" s="18" t="str">
        <f t="shared" si="110"/>
        <v>Equilibrio de líquidos ideal</v>
      </c>
      <c r="BV250" s="18" t="str">
        <f t="shared" si="111"/>
        <v>Baja fuente de magnesio</v>
      </c>
      <c r="BW250" s="18" t="str">
        <f t="shared" si="112"/>
        <v>Sin aporte de Omega 3</v>
      </c>
      <c r="BX250" s="18" t="str">
        <f t="shared" si="113"/>
        <v>Contiene grasas trans</v>
      </c>
      <c r="BY250" s="18" t="str">
        <f t="shared" si="114"/>
        <v>Bajo poder antioxidante</v>
      </c>
      <c r="BZ250" s="6" t="str">
        <f t="shared" si="102"/>
        <v>Probiótico activo</v>
      </c>
      <c r="CA250" s="18" t="str">
        <f t="shared" si="115"/>
        <v>Moderadamente inflamatorio</v>
      </c>
      <c r="CB250" s="18" t="str">
        <f>IF(ISNUMBER(SEARCH("miel", D250)), "No irritante (Uso condicionado SII)", IF(OR(J250&gt;0, ISNUMBER(SEARCH("cacao", D250)), ISNUMBER(SEARCH("chocolate puro", D250))), "Altamente irritante", IF(OR(AND(O250&gt;15, BI250&gt;1), ISNUMBER(SEARCH("chocolate", D250))), "Moderadamente irritante", "No irritante")))</f>
        <v>No irritante</v>
      </c>
      <c r="CC250" s="6" t="str">
        <f t="shared" si="103"/>
        <v>Balance de omegas favorable</v>
      </c>
    </row>
    <row r="251" spans="1:81" ht="15" customHeight="1" x14ac:dyDescent="0.3">
      <c r="A251" s="2">
        <f t="shared" si="104"/>
        <v>250</v>
      </c>
      <c r="B251" s="3" t="s">
        <v>323</v>
      </c>
      <c r="C251" s="3" t="s">
        <v>366</v>
      </c>
      <c r="D251" s="3" t="s">
        <v>378</v>
      </c>
      <c r="E251" s="3"/>
      <c r="F251" s="4">
        <v>1.8</v>
      </c>
      <c r="G251" s="5">
        <v>1</v>
      </c>
      <c r="H251" s="5">
        <v>85.9</v>
      </c>
      <c r="I251" s="5">
        <v>80.900000000000006</v>
      </c>
      <c r="J251" s="5">
        <v>0</v>
      </c>
      <c r="K251" s="5">
        <v>3.5</v>
      </c>
      <c r="L251" s="5">
        <v>13.7</v>
      </c>
      <c r="M251" s="5">
        <v>0</v>
      </c>
      <c r="N251" s="5">
        <v>13.7</v>
      </c>
      <c r="O251" s="5">
        <v>8.1999999999999993</v>
      </c>
      <c r="P251" s="5">
        <v>0</v>
      </c>
      <c r="Q251" s="5">
        <v>1.9</v>
      </c>
      <c r="R251" s="5">
        <v>1.2</v>
      </c>
      <c r="S251" s="5">
        <v>0.6</v>
      </c>
      <c r="T251" s="5">
        <v>0</v>
      </c>
      <c r="U251" s="5">
        <v>4</v>
      </c>
      <c r="V251" s="5">
        <v>27</v>
      </c>
      <c r="W251" s="5">
        <v>27</v>
      </c>
      <c r="X251" s="5">
        <v>0</v>
      </c>
      <c r="Y251" s="5">
        <v>0.35</v>
      </c>
      <c r="Z251" s="5">
        <v>0.03</v>
      </c>
      <c r="AA251" s="5">
        <v>0.7</v>
      </c>
      <c r="AB251" s="5">
        <v>0.04</v>
      </c>
      <c r="AC251" s="5">
        <v>0.15</v>
      </c>
      <c r="AD251" s="5">
        <v>0.46</v>
      </c>
      <c r="AE251" s="5">
        <v>7.0000000000000007E-2</v>
      </c>
      <c r="AF251" s="5">
        <v>4</v>
      </c>
      <c r="AG251" s="5">
        <v>0.3</v>
      </c>
      <c r="AH251" s="5">
        <v>0.35</v>
      </c>
      <c r="AI251" s="5">
        <v>0</v>
      </c>
      <c r="AJ251" s="5">
        <v>0.7</v>
      </c>
      <c r="AK251" s="5">
        <v>131</v>
      </c>
      <c r="AL251" s="5">
        <v>140</v>
      </c>
      <c r="AM251" s="5">
        <v>0.1</v>
      </c>
      <c r="AN251" s="5">
        <v>4</v>
      </c>
      <c r="AO251" s="5">
        <v>0.3</v>
      </c>
      <c r="AP251" s="5">
        <v>14</v>
      </c>
      <c r="AQ251" s="5">
        <v>49</v>
      </c>
      <c r="AR251" s="5">
        <v>157</v>
      </c>
      <c r="AS251" s="5">
        <v>0</v>
      </c>
      <c r="AT251" s="5">
        <v>0</v>
      </c>
      <c r="AU251" s="5">
        <v>1</v>
      </c>
      <c r="AV251" s="5">
        <f>IFERROR(VLOOKUP(IFERROR(VLOOKUP(D251,Mapa_Similitud!$A$2:$B$2000,2,FALSE()),D251),Hoja1!$A$2:$K$1000,2,FALSE()),IFERROR(VLOOKUP(IFERROR(VLOOKUP(D251,Mapa_Similitud!$A$2:$B$2000,2,FALSE()),D251),Omega3_Referencia!$A$2:$E$100,3,FALSE()),0))</f>
        <v>0.04</v>
      </c>
      <c r="AW251" s="3" t="str">
        <f>IFERROR(VLOOKUP(IFERROR(VLOOKUP(D251,Mapa_Similitud!$A$2:$B$2000,2,FALSE()),D251),Hoja1!$A$2:$K$1000,3,FALSE()),IFERROR(VLOOKUP(IFERROR(VLOOKUP(D251,Mapa_Similitud!$A$2:$B$2000,2,FALSE()),D251),Omega3_Referencia!$A$2:$E$100,4,FALSE()),"N/A"))</f>
        <v>ALA/EPA</v>
      </c>
      <c r="AX251" s="5">
        <f>IFERROR(VLOOKUP(IFERROR(VLOOKUP(D251,Mapa_Similitud!$A$2:$B$2000,2,FALSE()),D251),Hoja1!$A$2:$K$1000,5,FALSE()),0)</f>
        <v>0.1</v>
      </c>
      <c r="AY251" s="5">
        <f>IFERROR(VLOOKUP(IFERROR(VLOOKUP(D251,Mapa_Similitud!$A$2:$B$2000,2,FALSE()),D251),Hoja1!$A$2:$K$1000,7,FALSE()),0)</f>
        <v>0</v>
      </c>
      <c r="AZ251" s="5">
        <f>IFERROR(VLOOKUP(IFERROR(VLOOKUP(D251,Mapa_Similitud!$A$2:$B$2000,2,FALSE()),D251),Hoja1!$A$2:$K$1000,9,FALSE()),0)</f>
        <v>6</v>
      </c>
      <c r="BA251" s="25">
        <f t="shared" si="87"/>
        <v>4.0745052386495922E-2</v>
      </c>
      <c r="BB251" s="25">
        <f t="shared" si="88"/>
        <v>0</v>
      </c>
      <c r="BC251" s="25">
        <f t="shared" si="89"/>
        <v>1.5250291036088475</v>
      </c>
      <c r="BD251" s="25">
        <f t="shared" si="90"/>
        <v>1.1641443538998836E-3</v>
      </c>
      <c r="BE251" s="25">
        <f t="shared" si="91"/>
        <v>0.57043073341094297</v>
      </c>
      <c r="BF251" s="25">
        <f t="shared" si="92"/>
        <v>0</v>
      </c>
      <c r="BG251" s="25">
        <f t="shared" si="93"/>
        <v>0.93571428571428572</v>
      </c>
      <c r="BH251" s="25">
        <f t="shared" si="94"/>
        <v>0.63157894736842102</v>
      </c>
      <c r="BI251" s="25">
        <f t="shared" si="95"/>
        <v>0.31210191082802546</v>
      </c>
      <c r="BJ251" s="25">
        <f t="shared" si="96"/>
        <v>1</v>
      </c>
      <c r="BK251" s="25">
        <f t="shared" si="97"/>
        <v>0</v>
      </c>
      <c r="BL251" s="25">
        <f t="shared" si="98"/>
        <v>0.19906868451688006</v>
      </c>
      <c r="BM251" s="25">
        <f t="shared" si="99"/>
        <v>0.16298020954598369</v>
      </c>
      <c r="BN251" s="18" t="str">
        <f t="shared" si="105"/>
        <v>Baja fuente de proteína</v>
      </c>
      <c r="BO251" s="18" t="str">
        <f t="shared" si="106"/>
        <v>Baja fuente de fibra</v>
      </c>
      <c r="BP251" s="18" t="str">
        <f t="shared" si="107"/>
        <v>Alta fuente de calcio</v>
      </c>
      <c r="BQ251" s="18" t="str">
        <f t="shared" si="108"/>
        <v>Baja fuente de hierro</v>
      </c>
      <c r="BR251" s="18" t="str">
        <f t="shared" si="109"/>
        <v>Moderado en sodio</v>
      </c>
      <c r="BS251" s="6" t="str">
        <f t="shared" si="100"/>
        <v>Proinflamatorio</v>
      </c>
      <c r="BT251" s="6" t="str">
        <f t="shared" si="101"/>
        <v>Bajo en grasas</v>
      </c>
      <c r="BU251" s="18" t="str">
        <f t="shared" si="110"/>
        <v>Equilibrio de líquidos ideal</v>
      </c>
      <c r="BV251" s="18" t="str">
        <f t="shared" si="111"/>
        <v>Baja fuente de magnesio</v>
      </c>
      <c r="BW251" s="18" t="str">
        <f t="shared" si="112"/>
        <v>Sin aporte de Omega 3</v>
      </c>
      <c r="BX251" s="18" t="str">
        <f t="shared" si="113"/>
        <v>Contiene grasas trans</v>
      </c>
      <c r="BY251" s="18" t="str">
        <f t="shared" si="114"/>
        <v>Bajo poder antioxidante</v>
      </c>
      <c r="BZ251" s="6" t="str">
        <f t="shared" si="102"/>
        <v>Probiótico activo</v>
      </c>
      <c r="CA251" s="18" t="str">
        <f t="shared" si="115"/>
        <v>Moderadamente inflamatorio</v>
      </c>
      <c r="CB251" s="18" t="str">
        <f>IF(ISNUMBER(SEARCH("miel", D251)), "No irritante (Uso condicionado SII)", IF(OR(J251&gt;0, ISNUMBER(SEARCH("cacao", D251)), ISNUMBER(SEARCH("chocolate puro", D251))), "Altamente irritante", IF(OR(AND(O251&gt;15, BI251&gt;1), ISNUMBER(SEARCH("chocolate", D251))), "Moderadamente irritante", "No irritante")))</f>
        <v>No irritante</v>
      </c>
      <c r="CC251" s="6" t="str">
        <f t="shared" si="103"/>
        <v>Balance de omegas favorable</v>
      </c>
    </row>
    <row r="252" spans="1:81" ht="15" customHeight="1" x14ac:dyDescent="0.3">
      <c r="A252" s="2">
        <f t="shared" si="104"/>
        <v>251</v>
      </c>
      <c r="B252" s="3" t="s">
        <v>323</v>
      </c>
      <c r="C252" s="3" t="s">
        <v>366</v>
      </c>
      <c r="D252" s="3" t="s">
        <v>379</v>
      </c>
      <c r="E252" s="3"/>
      <c r="F252" s="4">
        <v>1.8</v>
      </c>
      <c r="G252" s="5">
        <v>1</v>
      </c>
      <c r="H252" s="5">
        <v>81.900000000000006</v>
      </c>
      <c r="I252" s="5">
        <v>81.400000000000006</v>
      </c>
      <c r="J252" s="5">
        <v>0</v>
      </c>
      <c r="K252" s="5">
        <v>2.8</v>
      </c>
      <c r="L252" s="5">
        <v>14.3</v>
      </c>
      <c r="M252" s="5">
        <v>0</v>
      </c>
      <c r="N252" s="5">
        <v>14.3</v>
      </c>
      <c r="O252" s="5">
        <v>8.8000000000000007</v>
      </c>
      <c r="P252" s="5">
        <v>0</v>
      </c>
      <c r="Q252" s="5">
        <v>1.5</v>
      </c>
      <c r="R252" s="5">
        <v>1</v>
      </c>
      <c r="S252" s="5">
        <v>0.4</v>
      </c>
      <c r="T252" s="5">
        <v>0</v>
      </c>
      <c r="U252" s="5">
        <v>0</v>
      </c>
      <c r="V252" s="5">
        <v>2.7</v>
      </c>
      <c r="W252" s="5">
        <v>2</v>
      </c>
      <c r="X252" s="5">
        <v>4</v>
      </c>
      <c r="Y252" s="5">
        <v>0.1</v>
      </c>
      <c r="Z252" s="5">
        <v>0</v>
      </c>
      <c r="AA252" s="5">
        <v>0.3</v>
      </c>
      <c r="AB252" s="5">
        <v>0.03</v>
      </c>
      <c r="AC252" s="5">
        <v>0.14000000000000001</v>
      </c>
      <c r="AD252" s="5">
        <v>0.42</v>
      </c>
      <c r="AE252" s="5">
        <v>7.0000000000000007E-2</v>
      </c>
      <c r="AF252" s="5">
        <v>4</v>
      </c>
      <c r="AG252" s="5">
        <v>0.3</v>
      </c>
      <c r="AH252" s="5">
        <v>0.3</v>
      </c>
      <c r="AI252" s="5">
        <v>0</v>
      </c>
      <c r="AJ252" s="5">
        <v>0</v>
      </c>
      <c r="AK252" s="5">
        <v>110</v>
      </c>
      <c r="AL252" s="5">
        <v>86</v>
      </c>
      <c r="AM252" s="5">
        <v>0.1</v>
      </c>
      <c r="AN252" s="5">
        <v>4</v>
      </c>
      <c r="AO252" s="5">
        <v>0.3</v>
      </c>
      <c r="AP252" s="5">
        <v>12</v>
      </c>
      <c r="AQ252" s="5">
        <v>41</v>
      </c>
      <c r="AR252" s="5">
        <v>139</v>
      </c>
      <c r="AS252" s="5">
        <v>0</v>
      </c>
      <c r="AT252" s="5">
        <v>0</v>
      </c>
      <c r="AU252" s="5">
        <v>1</v>
      </c>
      <c r="AV252" s="5">
        <f>IFERROR(VLOOKUP(IFERROR(VLOOKUP(D252,Mapa_Similitud!$A$2:$B$2000,2,FALSE()),D252),Hoja1!$A$2:$K$1000,2,FALSE()),IFERROR(VLOOKUP(IFERROR(VLOOKUP(D252,Mapa_Similitud!$A$2:$B$2000,2,FALSE()),D252),Omega3_Referencia!$A$2:$E$100,3,FALSE()),0))</f>
        <v>0.03</v>
      </c>
      <c r="AW252" s="3" t="str">
        <f>IFERROR(VLOOKUP(IFERROR(VLOOKUP(D252,Mapa_Similitud!$A$2:$B$2000,2,FALSE()),D252),Hoja1!$A$2:$K$1000,3,FALSE()),IFERROR(VLOOKUP(IFERROR(VLOOKUP(D252,Mapa_Similitud!$A$2:$B$2000,2,FALSE()),D252),Omega3_Referencia!$A$2:$E$100,4,FALSE()),"N/A"))</f>
        <v>ALA/EPA</v>
      </c>
      <c r="AX252" s="5">
        <f>IFERROR(VLOOKUP(IFERROR(VLOOKUP(D252,Mapa_Similitud!$A$2:$B$2000,2,FALSE()),D252),Hoja1!$A$2:$K$1000,5,FALSE()),0)</f>
        <v>0</v>
      </c>
      <c r="AY252" s="5">
        <f>IFERROR(VLOOKUP(IFERROR(VLOOKUP(D252,Mapa_Similitud!$A$2:$B$2000,2,FALSE()),D252),Hoja1!$A$2:$K$1000,7,FALSE()),0)</f>
        <v>2</v>
      </c>
      <c r="AZ252" s="5">
        <f>IFERROR(VLOOKUP(IFERROR(VLOOKUP(D252,Mapa_Similitud!$A$2:$B$2000,2,FALSE()),D252),Hoja1!$A$2:$K$1000,9,FALSE()),0)</f>
        <v>2</v>
      </c>
      <c r="BA252" s="25">
        <f t="shared" si="87"/>
        <v>3.4188034188034185E-2</v>
      </c>
      <c r="BB252" s="25">
        <f t="shared" si="88"/>
        <v>0</v>
      </c>
      <c r="BC252" s="25">
        <f t="shared" si="89"/>
        <v>1.343101343101343</v>
      </c>
      <c r="BD252" s="25">
        <f t="shared" si="90"/>
        <v>1.221001221001221E-3</v>
      </c>
      <c r="BE252" s="25">
        <f t="shared" si="91"/>
        <v>0.50061050061050061</v>
      </c>
      <c r="BF252" s="25">
        <f t="shared" si="92"/>
        <v>0</v>
      </c>
      <c r="BG252" s="25">
        <f t="shared" si="93"/>
        <v>1.2790697674418605</v>
      </c>
      <c r="BH252" s="25">
        <f t="shared" si="94"/>
        <v>0.66666666666666663</v>
      </c>
      <c r="BI252" s="25">
        <f t="shared" si="95"/>
        <v>0.29496402877697842</v>
      </c>
      <c r="BJ252" s="25">
        <f t="shared" si="96"/>
        <v>1</v>
      </c>
      <c r="BK252" s="25">
        <f t="shared" si="97"/>
        <v>0</v>
      </c>
      <c r="BL252" s="25">
        <f t="shared" si="98"/>
        <v>0.16483516483516483</v>
      </c>
      <c r="BM252" s="25">
        <f t="shared" si="99"/>
        <v>0.1465201465201465</v>
      </c>
      <c r="BN252" s="18" t="str">
        <f t="shared" si="105"/>
        <v>Baja fuente de proteína</v>
      </c>
      <c r="BO252" s="18" t="str">
        <f t="shared" si="106"/>
        <v>Baja fuente de fibra</v>
      </c>
      <c r="BP252" s="18" t="str">
        <f t="shared" si="107"/>
        <v>Media fuente de calcio</v>
      </c>
      <c r="BQ252" s="18" t="str">
        <f t="shared" si="108"/>
        <v>Baja fuente de hierro</v>
      </c>
      <c r="BR252" s="18" t="str">
        <f t="shared" si="109"/>
        <v>Moderado en sodio</v>
      </c>
      <c r="BS252" s="6" t="str">
        <f t="shared" si="100"/>
        <v>Proinflamatorio</v>
      </c>
      <c r="BT252" s="6" t="str">
        <f t="shared" si="101"/>
        <v>Bajo en grasas</v>
      </c>
      <c r="BU252" s="18" t="str">
        <f t="shared" si="110"/>
        <v>Equilibrio de líquidos ideal</v>
      </c>
      <c r="BV252" s="18" t="str">
        <f t="shared" si="111"/>
        <v>Baja fuente de magnesio</v>
      </c>
      <c r="BW252" s="18" t="str">
        <f t="shared" si="112"/>
        <v>Sin aporte de Omega 3</v>
      </c>
      <c r="BX252" s="18" t="str">
        <f t="shared" si="113"/>
        <v>Libre de grasas trans</v>
      </c>
      <c r="BY252" s="18" t="str">
        <f t="shared" si="114"/>
        <v>Bajo poder antioxidante</v>
      </c>
      <c r="BZ252" s="6" t="str">
        <f t="shared" si="102"/>
        <v>Probiótico activo</v>
      </c>
      <c r="CA252" s="18" t="str">
        <f t="shared" si="115"/>
        <v>Moderadamente inflamatorio</v>
      </c>
      <c r="CB252" s="18" t="str">
        <f>IF(ISNUMBER(SEARCH("miel", D252)), "No irritante (Uso condicionado SII)", IF(OR(J252&gt;0, ISNUMBER(SEARCH("cacao", D252)), ISNUMBER(SEARCH("chocolate puro", D252))), "Altamente irritante", IF(OR(AND(O252&gt;15, BI252&gt;1), ISNUMBER(SEARCH("chocolate", D252))), "Moderadamente irritante", "No irritante")))</f>
        <v>No irritante</v>
      </c>
      <c r="CC252" s="6" t="str">
        <f t="shared" si="103"/>
        <v>Balance de omegas favorable</v>
      </c>
    </row>
    <row r="253" spans="1:81" ht="15" customHeight="1" x14ac:dyDescent="0.3">
      <c r="A253" s="2">
        <f t="shared" si="104"/>
        <v>252</v>
      </c>
      <c r="B253" s="3" t="s">
        <v>323</v>
      </c>
      <c r="C253" s="3" t="s">
        <v>366</v>
      </c>
      <c r="D253" s="3" t="s">
        <v>380</v>
      </c>
      <c r="E253" s="3"/>
      <c r="F253" s="4">
        <v>1.5</v>
      </c>
      <c r="G253" s="5">
        <v>1</v>
      </c>
      <c r="H253" s="5">
        <v>75.400000000000006</v>
      </c>
      <c r="I253" s="5">
        <v>82.9</v>
      </c>
      <c r="J253" s="5">
        <v>0</v>
      </c>
      <c r="K253" s="5">
        <v>2.9</v>
      </c>
      <c r="L253" s="5">
        <v>12.8</v>
      </c>
      <c r="M253" s="5">
        <v>0</v>
      </c>
      <c r="N253" s="5">
        <v>12.8</v>
      </c>
      <c r="O253" s="5">
        <v>7.3</v>
      </c>
      <c r="P253" s="5">
        <v>0</v>
      </c>
      <c r="Q253" s="5">
        <v>1.4</v>
      </c>
      <c r="R253" s="5">
        <v>0.9</v>
      </c>
      <c r="S253" s="5">
        <v>0.4</v>
      </c>
      <c r="T253" s="5">
        <v>0</v>
      </c>
      <c r="U253" s="5">
        <v>0</v>
      </c>
      <c r="V253" s="5">
        <v>17</v>
      </c>
      <c r="W253" s="5">
        <v>17</v>
      </c>
      <c r="X253" s="5">
        <v>0</v>
      </c>
      <c r="Y253" s="5">
        <v>0</v>
      </c>
      <c r="Z253" s="5">
        <v>0</v>
      </c>
      <c r="AA253" s="5">
        <v>0.3</v>
      </c>
      <c r="AB253" s="5">
        <v>0.03</v>
      </c>
      <c r="AC253" s="5">
        <v>0.16</v>
      </c>
      <c r="AD253" s="5">
        <v>0.42</v>
      </c>
      <c r="AE253" s="5">
        <v>0.05</v>
      </c>
      <c r="AF253" s="5">
        <v>5</v>
      </c>
      <c r="AG253" s="5">
        <v>0.2</v>
      </c>
      <c r="AH253" s="5">
        <v>0.3</v>
      </c>
      <c r="AI253" s="5">
        <v>0</v>
      </c>
      <c r="AJ253" s="5">
        <v>0</v>
      </c>
      <c r="AK253" s="5">
        <v>107</v>
      </c>
      <c r="AL253" s="5">
        <v>81</v>
      </c>
      <c r="AM253" s="5">
        <v>0.1</v>
      </c>
      <c r="AN253" s="5">
        <v>4</v>
      </c>
      <c r="AO253" s="5">
        <v>0.3</v>
      </c>
      <c r="AP253" s="5">
        <v>11</v>
      </c>
      <c r="AQ253" s="5">
        <v>45</v>
      </c>
      <c r="AR253" s="5">
        <v>135</v>
      </c>
      <c r="AS253" s="5">
        <v>0</v>
      </c>
      <c r="AT253" s="5">
        <v>0</v>
      </c>
      <c r="AU253" s="5">
        <v>1</v>
      </c>
      <c r="AV253" s="5">
        <f>IFERROR(VLOOKUP(IFERROR(VLOOKUP(D253,Mapa_Similitud!$A$2:$B$2000,2,FALSE()),D253),Hoja1!$A$2:$K$1000,2,FALSE()),IFERROR(VLOOKUP(IFERROR(VLOOKUP(D253,Mapa_Similitud!$A$2:$B$2000,2,FALSE()),D253),Omega3_Referencia!$A$2:$E$100,3,FALSE()),0))</f>
        <v>0.02</v>
      </c>
      <c r="AW253" s="3" t="str">
        <f>IFERROR(VLOOKUP(IFERROR(VLOOKUP(D253,Mapa_Similitud!$A$2:$B$2000,2,FALSE()),D253),Hoja1!$A$2:$K$1000,3,FALSE()),IFERROR(VLOOKUP(IFERROR(VLOOKUP(D253,Mapa_Similitud!$A$2:$B$2000,2,FALSE()),D253),Omega3_Referencia!$A$2:$E$100,4,FALSE()),"N/A"))</f>
        <v>ALA/EPA</v>
      </c>
      <c r="AX253" s="5">
        <f>IFERROR(VLOOKUP(IFERROR(VLOOKUP(D253,Mapa_Similitud!$A$2:$B$2000,2,FALSE()),D253),Hoja1!$A$2:$K$1000,5,FALSE()),0)</f>
        <v>0</v>
      </c>
      <c r="AY253" s="5">
        <f>IFERROR(VLOOKUP(IFERROR(VLOOKUP(D253,Mapa_Similitud!$A$2:$B$2000,2,FALSE()),D253),Hoja1!$A$2:$K$1000,7,FALSE()),0)</f>
        <v>0</v>
      </c>
      <c r="AZ253" s="5">
        <f>IFERROR(VLOOKUP(IFERROR(VLOOKUP(D253,Mapa_Similitud!$A$2:$B$2000,2,FALSE()),D253),Hoja1!$A$2:$K$1000,9,FALSE()),0)</f>
        <v>2</v>
      </c>
      <c r="BA253" s="25">
        <f t="shared" si="87"/>
        <v>3.8461538461538457E-2</v>
      </c>
      <c r="BB253" s="25">
        <f t="shared" si="88"/>
        <v>0</v>
      </c>
      <c r="BC253" s="25">
        <f t="shared" si="89"/>
        <v>1.4190981432360741</v>
      </c>
      <c r="BD253" s="25">
        <f t="shared" si="90"/>
        <v>1.3262599469496021E-3</v>
      </c>
      <c r="BE253" s="25">
        <f t="shared" si="91"/>
        <v>0.59681697612732088</v>
      </c>
      <c r="BF253" s="25">
        <f t="shared" si="92"/>
        <v>0</v>
      </c>
      <c r="BG253" s="25">
        <f t="shared" si="93"/>
        <v>1.3209876543209877</v>
      </c>
      <c r="BH253" s="25">
        <f t="shared" si="94"/>
        <v>0.6428571428571429</v>
      </c>
      <c r="BI253" s="25">
        <f t="shared" si="95"/>
        <v>0.33333333333333331</v>
      </c>
      <c r="BJ253" s="25">
        <f t="shared" si="96"/>
        <v>1</v>
      </c>
      <c r="BK253" s="25">
        <f t="shared" si="97"/>
        <v>0</v>
      </c>
      <c r="BL253" s="25">
        <f t="shared" si="98"/>
        <v>0.16710875331564984</v>
      </c>
      <c r="BM253" s="25">
        <f t="shared" si="99"/>
        <v>0.14588859416445621</v>
      </c>
      <c r="BN253" s="18" t="str">
        <f t="shared" si="105"/>
        <v>Baja fuente de proteína</v>
      </c>
      <c r="BO253" s="18" t="str">
        <f t="shared" si="106"/>
        <v>Baja fuente de fibra</v>
      </c>
      <c r="BP253" s="18" t="str">
        <f t="shared" si="107"/>
        <v>Media fuente de calcio</v>
      </c>
      <c r="BQ253" s="18" t="str">
        <f t="shared" si="108"/>
        <v>Baja fuente de hierro</v>
      </c>
      <c r="BR253" s="18" t="str">
        <f t="shared" si="109"/>
        <v>Moderado en sodio</v>
      </c>
      <c r="BS253" s="6" t="str">
        <f t="shared" si="100"/>
        <v>Proinflamatorio</v>
      </c>
      <c r="BT253" s="6" t="str">
        <f t="shared" si="101"/>
        <v>Bajo en grasas</v>
      </c>
      <c r="BU253" s="18" t="str">
        <f t="shared" si="110"/>
        <v>Equilibrio de líquidos ideal</v>
      </c>
      <c r="BV253" s="18" t="str">
        <f t="shared" si="111"/>
        <v>Baja fuente de magnesio</v>
      </c>
      <c r="BW253" s="18" t="str">
        <f t="shared" si="112"/>
        <v>Sin aporte de Omega 3</v>
      </c>
      <c r="BX253" s="18" t="str">
        <f t="shared" si="113"/>
        <v>Libre de grasas trans</v>
      </c>
      <c r="BY253" s="18" t="str">
        <f t="shared" si="114"/>
        <v>Bajo poder antioxidante</v>
      </c>
      <c r="BZ253" s="6" t="str">
        <f t="shared" si="102"/>
        <v>Probiótico activo</v>
      </c>
      <c r="CA253" s="18" t="str">
        <f t="shared" si="115"/>
        <v>Moderadamente inflamatorio</v>
      </c>
      <c r="CB253" s="18" t="str">
        <f>IF(ISNUMBER(SEARCH("miel", D253)), "No irritante (Uso condicionado SII)", IF(OR(J253&gt;0, ISNUMBER(SEARCH("cacao", D253)), ISNUMBER(SEARCH("chocolate puro", D253))), "Altamente irritante", IF(OR(AND(O253&gt;15, BI253&gt;1), ISNUMBER(SEARCH("chocolate", D253))), "Moderadamente irritante", "No irritante")))</f>
        <v>No irritante</v>
      </c>
      <c r="CC253" s="6" t="str">
        <f t="shared" si="103"/>
        <v>Balance de omegas favorable</v>
      </c>
    </row>
    <row r="254" spans="1:81" ht="15" customHeight="1" x14ac:dyDescent="0.3">
      <c r="A254" s="2">
        <f t="shared" si="104"/>
        <v>253</v>
      </c>
      <c r="B254" s="3" t="s">
        <v>323</v>
      </c>
      <c r="C254" s="3" t="s">
        <v>366</v>
      </c>
      <c r="D254" s="3" t="s">
        <v>381</v>
      </c>
      <c r="E254" s="3"/>
      <c r="F254" s="4">
        <v>1.5</v>
      </c>
      <c r="G254" s="5">
        <v>1</v>
      </c>
      <c r="H254" s="5">
        <v>69.2</v>
      </c>
      <c r="I254" s="5">
        <v>84.2</v>
      </c>
      <c r="J254" s="5">
        <v>0</v>
      </c>
      <c r="K254" s="5">
        <v>3</v>
      </c>
      <c r="L254" s="5">
        <v>11.6</v>
      </c>
      <c r="M254" s="5">
        <v>0</v>
      </c>
      <c r="N254" s="5">
        <v>11.6</v>
      </c>
      <c r="O254" s="5">
        <v>6.1</v>
      </c>
      <c r="P254" s="5">
        <v>0</v>
      </c>
      <c r="Q254" s="5">
        <v>1.2</v>
      </c>
      <c r="R254" s="5">
        <v>0.8</v>
      </c>
      <c r="S254" s="5">
        <v>0.3</v>
      </c>
      <c r="T254" s="5">
        <v>0</v>
      </c>
      <c r="U254" s="5">
        <v>0</v>
      </c>
      <c r="V254" s="5">
        <v>27</v>
      </c>
      <c r="W254" s="5">
        <v>27</v>
      </c>
      <c r="X254" s="5">
        <v>0</v>
      </c>
      <c r="Y254" s="5">
        <v>0.12</v>
      </c>
      <c r="Z254" s="5">
        <v>0</v>
      </c>
      <c r="AA254" s="5">
        <v>0.3</v>
      </c>
      <c r="AB254" s="5">
        <v>0.03</v>
      </c>
      <c r="AC254" s="5">
        <v>0.15</v>
      </c>
      <c r="AD254" s="5">
        <v>0.42</v>
      </c>
      <c r="AE254" s="5">
        <v>7.0000000000000007E-2</v>
      </c>
      <c r="AF254" s="5">
        <v>5</v>
      </c>
      <c r="AG254" s="5">
        <v>0.3</v>
      </c>
      <c r="AH254" s="5">
        <v>0.3</v>
      </c>
      <c r="AI254" s="5">
        <v>0</v>
      </c>
      <c r="AJ254" s="5">
        <v>0</v>
      </c>
      <c r="AK254" s="5">
        <v>115</v>
      </c>
      <c r="AL254" s="5">
        <v>90</v>
      </c>
      <c r="AM254" s="5">
        <v>0.1</v>
      </c>
      <c r="AN254" s="5">
        <v>4</v>
      </c>
      <c r="AO254" s="5">
        <v>0.3</v>
      </c>
      <c r="AP254" s="5">
        <v>13</v>
      </c>
      <c r="AQ254" s="5">
        <v>43</v>
      </c>
      <c r="AR254" s="5">
        <v>145</v>
      </c>
      <c r="AS254" s="5">
        <v>0</v>
      </c>
      <c r="AT254" s="5">
        <v>0</v>
      </c>
      <c r="AU254" s="5">
        <v>1</v>
      </c>
      <c r="AV254" s="5">
        <f>IFERROR(VLOOKUP(IFERROR(VLOOKUP(D254,Mapa_Similitud!$A$2:$B$2000,2,FALSE()),D254),Hoja1!$A$2:$K$1000,2,FALSE()),IFERROR(VLOOKUP(IFERROR(VLOOKUP(D254,Mapa_Similitud!$A$2:$B$2000,2,FALSE()),D254),Omega3_Referencia!$A$2:$E$100,3,FALSE()),0))</f>
        <v>0.03</v>
      </c>
      <c r="AW254" s="3" t="str">
        <f>IFERROR(VLOOKUP(IFERROR(VLOOKUP(D254,Mapa_Similitud!$A$2:$B$2000,2,FALSE()),D254),Hoja1!$A$2:$K$1000,3,FALSE()),IFERROR(VLOOKUP(IFERROR(VLOOKUP(D254,Mapa_Similitud!$A$2:$B$2000,2,FALSE()),D254),Omega3_Referencia!$A$2:$E$100,4,FALSE()),"N/A"))</f>
        <v>ALA/EPA</v>
      </c>
      <c r="AX254" s="5">
        <f>IFERROR(VLOOKUP(IFERROR(VLOOKUP(D254,Mapa_Similitud!$A$2:$B$2000,2,FALSE()),D254),Hoja1!$A$2:$K$1000,5,FALSE()),0)</f>
        <v>0</v>
      </c>
      <c r="AY254" s="5">
        <f>IFERROR(VLOOKUP(IFERROR(VLOOKUP(D254,Mapa_Similitud!$A$2:$B$2000,2,FALSE()),D254),Hoja1!$A$2:$K$1000,7,FALSE()),0)</f>
        <v>0</v>
      </c>
      <c r="AZ254" s="5">
        <f>IFERROR(VLOOKUP(IFERROR(VLOOKUP(D254,Mapa_Similitud!$A$2:$B$2000,2,FALSE()),D254),Hoja1!$A$2:$K$1000,9,FALSE()),0)</f>
        <v>2</v>
      </c>
      <c r="BA254" s="25">
        <f t="shared" si="87"/>
        <v>4.3352601156069363E-2</v>
      </c>
      <c r="BB254" s="25">
        <f t="shared" si="88"/>
        <v>0</v>
      </c>
      <c r="BC254" s="25">
        <f t="shared" si="89"/>
        <v>1.6618497109826589</v>
      </c>
      <c r="BD254" s="25">
        <f t="shared" si="90"/>
        <v>1.4450867052023121E-3</v>
      </c>
      <c r="BE254" s="25">
        <f t="shared" si="91"/>
        <v>0.62138728323699421</v>
      </c>
      <c r="BF254" s="25">
        <f t="shared" si="92"/>
        <v>0</v>
      </c>
      <c r="BG254" s="25">
        <f t="shared" si="93"/>
        <v>1.2777777777777777</v>
      </c>
      <c r="BH254" s="25">
        <f t="shared" si="94"/>
        <v>0.66666666666666674</v>
      </c>
      <c r="BI254" s="25">
        <f t="shared" si="95"/>
        <v>0.29655172413793102</v>
      </c>
      <c r="BJ254" s="25">
        <f t="shared" si="96"/>
        <v>1</v>
      </c>
      <c r="BK254" s="25">
        <f t="shared" si="97"/>
        <v>0</v>
      </c>
      <c r="BL254" s="25">
        <f t="shared" si="98"/>
        <v>0.15606936416184969</v>
      </c>
      <c r="BM254" s="25">
        <f t="shared" si="99"/>
        <v>0.18786127167630057</v>
      </c>
      <c r="BN254" s="18" t="str">
        <f t="shared" si="105"/>
        <v>Baja fuente de proteína</v>
      </c>
      <c r="BO254" s="18" t="str">
        <f t="shared" si="106"/>
        <v>Baja fuente de fibra</v>
      </c>
      <c r="BP254" s="18" t="str">
        <f t="shared" si="107"/>
        <v>Alta fuente de calcio</v>
      </c>
      <c r="BQ254" s="18" t="str">
        <f t="shared" si="108"/>
        <v>Baja fuente de hierro</v>
      </c>
      <c r="BR254" s="18" t="str">
        <f t="shared" si="109"/>
        <v>Moderado en sodio</v>
      </c>
      <c r="BS254" s="6" t="str">
        <f t="shared" si="100"/>
        <v>Proinflamatorio</v>
      </c>
      <c r="BT254" s="6" t="str">
        <f t="shared" si="101"/>
        <v>Bajo en grasas</v>
      </c>
      <c r="BU254" s="18" t="str">
        <f t="shared" si="110"/>
        <v>Equilibrio de líquidos ideal</v>
      </c>
      <c r="BV254" s="18" t="str">
        <f t="shared" si="111"/>
        <v>Baja fuente de magnesio</v>
      </c>
      <c r="BW254" s="18" t="str">
        <f t="shared" si="112"/>
        <v>Sin aporte de Omega 3</v>
      </c>
      <c r="BX254" s="18" t="str">
        <f t="shared" si="113"/>
        <v>Libre de grasas trans</v>
      </c>
      <c r="BY254" s="18" t="str">
        <f t="shared" si="114"/>
        <v>Bajo poder antioxidante</v>
      </c>
      <c r="BZ254" s="6" t="str">
        <f t="shared" si="102"/>
        <v>Probiótico activo</v>
      </c>
      <c r="CA254" s="18" t="str">
        <f t="shared" si="115"/>
        <v>Moderadamente inflamatorio</v>
      </c>
      <c r="CB254" s="18" t="str">
        <f>IF(ISNUMBER(SEARCH("miel", D254)), "No irritante (Uso condicionado SII)", IF(OR(J254&gt;0, ISNUMBER(SEARCH("cacao", D254)), ISNUMBER(SEARCH("chocolate puro", D254))), "Altamente irritante", IF(OR(AND(O254&gt;15, BI254&gt;1), ISNUMBER(SEARCH("chocolate", D254))), "Moderadamente irritante", "No irritante")))</f>
        <v>No irritante</v>
      </c>
      <c r="CC254" s="6" t="str">
        <f t="shared" si="103"/>
        <v>Balance de omegas favorable</v>
      </c>
    </row>
    <row r="255" spans="1:81" ht="15" customHeight="1" x14ac:dyDescent="0.3">
      <c r="A255" s="2">
        <f t="shared" si="104"/>
        <v>254</v>
      </c>
      <c r="B255" s="3" t="s">
        <v>323</v>
      </c>
      <c r="C255" s="3" t="s">
        <v>366</v>
      </c>
      <c r="D255" s="3" t="s">
        <v>382</v>
      </c>
      <c r="E255" s="3"/>
      <c r="F255" s="4">
        <v>1.6</v>
      </c>
      <c r="G255" s="5">
        <v>1</v>
      </c>
      <c r="H255" s="5">
        <v>61.4</v>
      </c>
      <c r="I255" s="5">
        <v>87.9</v>
      </c>
      <c r="J255" s="5">
        <v>0</v>
      </c>
      <c r="K255" s="5">
        <v>4</v>
      </c>
      <c r="L255" s="5">
        <v>5.5</v>
      </c>
      <c r="M255" s="5">
        <v>0</v>
      </c>
      <c r="N255" s="5">
        <v>5.5</v>
      </c>
      <c r="O255" s="5">
        <v>0</v>
      </c>
      <c r="P255" s="5">
        <v>0</v>
      </c>
      <c r="Q255" s="5">
        <v>2.6</v>
      </c>
      <c r="R255" s="5">
        <v>1.5</v>
      </c>
      <c r="S255" s="5">
        <v>0.72</v>
      </c>
      <c r="T255" s="5">
        <v>0.13</v>
      </c>
      <c r="U255" s="5">
        <v>10.199999999999999</v>
      </c>
      <c r="V255" s="5">
        <v>9.8000000000000007</v>
      </c>
      <c r="W255" s="5">
        <v>9.1</v>
      </c>
      <c r="X255" s="5">
        <v>4.0999999999999996</v>
      </c>
      <c r="Y255" s="5">
        <v>0.06</v>
      </c>
      <c r="Z255" s="5">
        <v>0.04</v>
      </c>
      <c r="AA255" s="5">
        <v>0.7</v>
      </c>
      <c r="AB255" s="5">
        <v>0.04</v>
      </c>
      <c r="AC255" s="5">
        <v>0.18</v>
      </c>
      <c r="AD255" s="5">
        <v>0.44</v>
      </c>
      <c r="AE255" s="5">
        <v>0.05</v>
      </c>
      <c r="AF255" s="5">
        <v>3.7</v>
      </c>
      <c r="AG255" s="5">
        <v>0.2</v>
      </c>
      <c r="AH255" s="5">
        <v>0.5</v>
      </c>
      <c r="AI255" s="5">
        <v>2.6</v>
      </c>
      <c r="AJ255" s="5">
        <v>0.7</v>
      </c>
      <c r="AK255" s="5">
        <v>142</v>
      </c>
      <c r="AL255" s="5">
        <v>170</v>
      </c>
      <c r="AM255" s="5">
        <v>0.09</v>
      </c>
      <c r="AN255" s="5">
        <v>3.7</v>
      </c>
      <c r="AO255" s="5">
        <v>0.59</v>
      </c>
      <c r="AP255" s="5">
        <v>14.3</v>
      </c>
      <c r="AQ255" s="5">
        <v>80</v>
      </c>
      <c r="AR255" s="5">
        <v>280</v>
      </c>
      <c r="AS255" s="5">
        <v>0</v>
      </c>
      <c r="AT255" s="5">
        <v>0</v>
      </c>
      <c r="AU255" s="5">
        <v>2</v>
      </c>
      <c r="AV255" s="5">
        <f>IFERROR(VLOOKUP(IFERROR(VLOOKUP(D255,Mapa_Similitud!$A$2:$B$2000,2,FALSE()),D255),Hoja1!$A$2:$K$1000,2,FALSE()),IFERROR(VLOOKUP(IFERROR(VLOOKUP(D255,Mapa_Similitud!$A$2:$B$2000,2,FALSE()),D255),Omega3_Referencia!$A$2:$E$100,3,FALSE()),0))</f>
        <v>0.04</v>
      </c>
      <c r="AW255" s="3" t="str">
        <f>IFERROR(VLOOKUP(IFERROR(VLOOKUP(D255,Mapa_Similitud!$A$2:$B$2000,2,FALSE()),D255),Hoja1!$A$2:$K$1000,3,FALSE()),IFERROR(VLOOKUP(IFERROR(VLOOKUP(D255,Mapa_Similitud!$A$2:$B$2000,2,FALSE()),D255),Omega3_Referencia!$A$2:$E$100,4,FALSE()),"N/A"))</f>
        <v>ALA/EPA</v>
      </c>
      <c r="AX255" s="5">
        <f>IFERROR(VLOOKUP(IFERROR(VLOOKUP(D255,Mapa_Similitud!$A$2:$B$2000,2,FALSE()),D255),Hoja1!$A$2:$K$1000,5,FALSE()),0)</f>
        <v>0.1</v>
      </c>
      <c r="AY255" s="5">
        <f>IFERROR(VLOOKUP(IFERROR(VLOOKUP(D255,Mapa_Similitud!$A$2:$B$2000,2,FALSE()),D255),Hoja1!$A$2:$K$1000,7,FALSE()),0)</f>
        <v>0</v>
      </c>
      <c r="AZ255" s="5">
        <f>IFERROR(VLOOKUP(IFERROR(VLOOKUP(D255,Mapa_Similitud!$A$2:$B$2000,2,FALSE()),D255),Hoja1!$A$2:$K$1000,9,FALSE()),0)</f>
        <v>6</v>
      </c>
      <c r="BA255" s="25">
        <f t="shared" si="87"/>
        <v>6.5146579804560262E-2</v>
      </c>
      <c r="BB255" s="25">
        <f t="shared" si="88"/>
        <v>0</v>
      </c>
      <c r="BC255" s="25">
        <f t="shared" si="89"/>
        <v>2.3127035830618894</v>
      </c>
      <c r="BD255" s="25">
        <f t="shared" si="90"/>
        <v>1.4657980456026058E-3</v>
      </c>
      <c r="BE255" s="25">
        <f t="shared" si="91"/>
        <v>1.3029315960912053</v>
      </c>
      <c r="BF255" s="25">
        <f t="shared" si="92"/>
        <v>8.666666666666667E-2</v>
      </c>
      <c r="BG255" s="25">
        <f t="shared" si="93"/>
        <v>0.83529411764705885</v>
      </c>
      <c r="BH255" s="25">
        <f t="shared" si="94"/>
        <v>0.57692307692307687</v>
      </c>
      <c r="BI255" s="25">
        <f t="shared" si="95"/>
        <v>0.2857142857142857</v>
      </c>
      <c r="BJ255" s="25">
        <f t="shared" si="96"/>
        <v>1</v>
      </c>
      <c r="BK255" s="25">
        <f t="shared" si="97"/>
        <v>0</v>
      </c>
      <c r="BL255" s="25">
        <f t="shared" si="98"/>
        <v>0.38110749185667758</v>
      </c>
      <c r="BM255" s="25">
        <f t="shared" si="99"/>
        <v>0.23289902280130295</v>
      </c>
      <c r="BN255" s="18" t="str">
        <f t="shared" si="105"/>
        <v>Baja fuente de proteína</v>
      </c>
      <c r="BO255" s="18" t="str">
        <f t="shared" si="106"/>
        <v>Baja fuente de fibra</v>
      </c>
      <c r="BP255" s="18" t="str">
        <f t="shared" si="107"/>
        <v>Alta fuente de calcio</v>
      </c>
      <c r="BQ255" s="18" t="str">
        <f t="shared" si="108"/>
        <v>Baja fuente de hierro</v>
      </c>
      <c r="BR255" s="18" t="str">
        <f t="shared" si="109"/>
        <v>Alto en sodio</v>
      </c>
      <c r="BS255" s="6" t="str">
        <f t="shared" si="100"/>
        <v>Proinflamatorio</v>
      </c>
      <c r="BT255" s="6" t="str">
        <f t="shared" si="101"/>
        <v>Alto en grasas</v>
      </c>
      <c r="BU255" s="18" t="str">
        <f t="shared" si="110"/>
        <v>Equilibrio de líquidos ideal</v>
      </c>
      <c r="BV255" s="18" t="str">
        <f t="shared" si="111"/>
        <v>Media fuente de magnesio</v>
      </c>
      <c r="BW255" s="18" t="str">
        <f t="shared" si="112"/>
        <v>Sin aporte de Omega 3</v>
      </c>
      <c r="BX255" s="18" t="str">
        <f t="shared" si="113"/>
        <v>Contiene grasas trans</v>
      </c>
      <c r="BY255" s="18" t="str">
        <f t="shared" si="114"/>
        <v>Bajo poder antioxidante</v>
      </c>
      <c r="BZ255" s="6" t="str">
        <f t="shared" si="102"/>
        <v>Probiótico activo</v>
      </c>
      <c r="CA255" s="18" t="str">
        <f t="shared" si="115"/>
        <v>Moderadamente inflamatorio</v>
      </c>
      <c r="CB255" s="18" t="str">
        <f>IF(ISNUMBER(SEARCH("miel", D255)), "No irritante (Uso condicionado SII)", IF(OR(J255&gt;0, ISNUMBER(SEARCH("cacao", D255)), ISNUMBER(SEARCH("chocolate puro", D255))), "Altamente irritante", IF(OR(AND(O255&gt;15, BI255&gt;1), ISNUMBER(SEARCH("chocolate", D255))), "Moderadamente irritante", "No irritante")))</f>
        <v>No irritante</v>
      </c>
      <c r="CC255" s="6" t="str">
        <f t="shared" si="103"/>
        <v>Balance de omegas favorable</v>
      </c>
    </row>
    <row r="256" spans="1:81" ht="15" customHeight="1" x14ac:dyDescent="0.3">
      <c r="A256" s="2">
        <f t="shared" si="104"/>
        <v>255</v>
      </c>
      <c r="B256" s="3" t="s">
        <v>323</v>
      </c>
      <c r="C256" s="3" t="s">
        <v>366</v>
      </c>
      <c r="D256" s="3" t="s">
        <v>383</v>
      </c>
      <c r="E256" s="3"/>
      <c r="F256" s="4">
        <v>2</v>
      </c>
      <c r="G256" s="5">
        <v>1</v>
      </c>
      <c r="H256" s="5">
        <v>70.7</v>
      </c>
      <c r="I256" s="5">
        <v>84.7</v>
      </c>
      <c r="J256" s="5">
        <v>0</v>
      </c>
      <c r="K256" s="5">
        <v>3.5</v>
      </c>
      <c r="L256" s="5">
        <v>9.9</v>
      </c>
      <c r="M256" s="5">
        <v>0</v>
      </c>
      <c r="N256" s="5">
        <v>9.8000000000000007</v>
      </c>
      <c r="O256" s="5">
        <v>4.3</v>
      </c>
      <c r="P256" s="5">
        <v>0</v>
      </c>
      <c r="Q256" s="5">
        <v>1.9</v>
      </c>
      <c r="R256" s="5">
        <v>1.2</v>
      </c>
      <c r="S256" s="5">
        <v>0.6</v>
      </c>
      <c r="T256" s="5">
        <v>0</v>
      </c>
      <c r="U256" s="5">
        <v>4</v>
      </c>
      <c r="V256" s="5">
        <v>16</v>
      </c>
      <c r="W256" s="5">
        <v>15</v>
      </c>
      <c r="X256" s="5">
        <v>5</v>
      </c>
      <c r="Y256" s="5">
        <v>0.35</v>
      </c>
      <c r="Z256" s="5">
        <v>0.03</v>
      </c>
      <c r="AA256" s="5">
        <v>0.7</v>
      </c>
      <c r="AB256" s="5">
        <v>0.04</v>
      </c>
      <c r="AC256" s="5">
        <v>0.15</v>
      </c>
      <c r="AD256" s="5">
        <v>0.46</v>
      </c>
      <c r="AE256" s="5">
        <v>7.0000000000000007E-2</v>
      </c>
      <c r="AF256" s="5">
        <v>4</v>
      </c>
      <c r="AG256" s="5">
        <v>0.3</v>
      </c>
      <c r="AH256" s="5">
        <v>0.35</v>
      </c>
      <c r="AI256" s="5">
        <v>0</v>
      </c>
      <c r="AJ256" s="5">
        <v>0.7</v>
      </c>
      <c r="AK256" s="5">
        <v>131</v>
      </c>
      <c r="AL256" s="5">
        <v>140</v>
      </c>
      <c r="AM256" s="5">
        <v>0.1</v>
      </c>
      <c r="AN256" s="5">
        <v>4</v>
      </c>
      <c r="AO256" s="5">
        <v>0.3</v>
      </c>
      <c r="AP256" s="5">
        <v>14</v>
      </c>
      <c r="AQ256" s="5">
        <v>49</v>
      </c>
      <c r="AR256" s="5">
        <v>157</v>
      </c>
      <c r="AS256" s="5">
        <v>0</v>
      </c>
      <c r="AT256" s="5">
        <v>0</v>
      </c>
      <c r="AU256" s="5">
        <v>1</v>
      </c>
      <c r="AV256" s="5">
        <f>IFERROR(VLOOKUP(IFERROR(VLOOKUP(D256,Mapa_Similitud!$A$2:$B$2000,2,FALSE()),D256),Hoja1!$A$2:$K$1000,2,FALSE()),IFERROR(VLOOKUP(IFERROR(VLOOKUP(D256,Mapa_Similitud!$A$2:$B$2000,2,FALSE()),D256),Omega3_Referencia!$A$2:$E$100,3,FALSE()),0))</f>
        <v>0.04</v>
      </c>
      <c r="AW256" s="3" t="str">
        <f>IFERROR(VLOOKUP(IFERROR(VLOOKUP(D256,Mapa_Similitud!$A$2:$B$2000,2,FALSE()),D256),Hoja1!$A$2:$K$1000,3,FALSE()),IFERROR(VLOOKUP(IFERROR(VLOOKUP(D256,Mapa_Similitud!$A$2:$B$2000,2,FALSE()),D256),Omega3_Referencia!$A$2:$E$100,4,FALSE()),"N/A"))</f>
        <v>ALA/EPA</v>
      </c>
      <c r="AX256" s="5">
        <f>IFERROR(VLOOKUP(IFERROR(VLOOKUP(D256,Mapa_Similitud!$A$2:$B$2000,2,FALSE()),D256),Hoja1!$A$2:$K$1000,5,FALSE()),0)</f>
        <v>0.1</v>
      </c>
      <c r="AY256" s="5">
        <f>IFERROR(VLOOKUP(IFERROR(VLOOKUP(D256,Mapa_Similitud!$A$2:$B$2000,2,FALSE()),D256),Hoja1!$A$2:$K$1000,7,FALSE()),0)</f>
        <v>0</v>
      </c>
      <c r="AZ256" s="5">
        <f>IFERROR(VLOOKUP(IFERROR(VLOOKUP(D256,Mapa_Similitud!$A$2:$B$2000,2,FALSE()),D256),Hoja1!$A$2:$K$1000,9,FALSE()),0)</f>
        <v>6</v>
      </c>
      <c r="BA256" s="25">
        <f t="shared" si="87"/>
        <v>4.95049504950495E-2</v>
      </c>
      <c r="BB256" s="25">
        <f t="shared" si="88"/>
        <v>0</v>
      </c>
      <c r="BC256" s="25">
        <f t="shared" si="89"/>
        <v>1.8528995756718529</v>
      </c>
      <c r="BD256" s="25">
        <f t="shared" si="90"/>
        <v>1.4144271570014145E-3</v>
      </c>
      <c r="BE256" s="25">
        <f t="shared" si="91"/>
        <v>0.69306930693069302</v>
      </c>
      <c r="BF256" s="25">
        <f t="shared" si="92"/>
        <v>0</v>
      </c>
      <c r="BG256" s="25">
        <f t="shared" si="93"/>
        <v>0.93571428571428572</v>
      </c>
      <c r="BH256" s="25">
        <f t="shared" si="94"/>
        <v>0.63157894736842102</v>
      </c>
      <c r="BI256" s="25">
        <f t="shared" si="95"/>
        <v>0.31210191082802546</v>
      </c>
      <c r="BJ256" s="25">
        <f t="shared" si="96"/>
        <v>0.98989898989898994</v>
      </c>
      <c r="BK256" s="25">
        <f t="shared" si="97"/>
        <v>0</v>
      </c>
      <c r="BL256" s="25">
        <f t="shared" si="98"/>
        <v>0.24186704384724184</v>
      </c>
      <c r="BM256" s="25">
        <f t="shared" si="99"/>
        <v>0.198019801980198</v>
      </c>
      <c r="BN256" s="18" t="str">
        <f t="shared" si="105"/>
        <v>Baja fuente de proteína</v>
      </c>
      <c r="BO256" s="18" t="str">
        <f t="shared" si="106"/>
        <v>Baja fuente de fibra</v>
      </c>
      <c r="BP256" s="18" t="str">
        <f t="shared" si="107"/>
        <v>Alta fuente de calcio</v>
      </c>
      <c r="BQ256" s="18" t="str">
        <f t="shared" si="108"/>
        <v>Baja fuente de hierro</v>
      </c>
      <c r="BR256" s="18" t="str">
        <f t="shared" si="109"/>
        <v>Moderado en sodio</v>
      </c>
      <c r="BS256" s="6" t="str">
        <f t="shared" si="100"/>
        <v>Proinflamatorio</v>
      </c>
      <c r="BT256" s="6" t="str">
        <f t="shared" si="101"/>
        <v>Moderado en grasas</v>
      </c>
      <c r="BU256" s="18" t="str">
        <f t="shared" si="110"/>
        <v>Equilibrio de líquidos ideal</v>
      </c>
      <c r="BV256" s="18" t="str">
        <f t="shared" si="111"/>
        <v>Baja fuente de magnesio</v>
      </c>
      <c r="BW256" s="18" t="str">
        <f t="shared" si="112"/>
        <v>Sin aporte de Omega 3</v>
      </c>
      <c r="BX256" s="18" t="str">
        <f t="shared" si="113"/>
        <v>Contiene grasas trans</v>
      </c>
      <c r="BY256" s="18" t="str">
        <f t="shared" si="114"/>
        <v>Bajo poder antioxidante</v>
      </c>
      <c r="BZ256" s="6" t="str">
        <f t="shared" si="102"/>
        <v>Probiótico activo</v>
      </c>
      <c r="CA256" s="18" t="str">
        <f t="shared" si="115"/>
        <v>Moderadamente inflamatorio</v>
      </c>
      <c r="CB256" s="18" t="str">
        <f>IF(ISNUMBER(SEARCH("miel", D256)), "No irritante (Uso condicionado SII)", IF(OR(J256&gt;0, ISNUMBER(SEARCH("cacao", D256)), ISNUMBER(SEARCH("chocolate puro", D256))), "Altamente irritante", IF(OR(AND(O256&gt;15, BI256&gt;1), ISNUMBER(SEARCH("chocolate", D256))), "Moderadamente irritante", "No irritante")))</f>
        <v>No irritante</v>
      </c>
      <c r="CC256" s="6" t="str">
        <f t="shared" si="103"/>
        <v>Balance de omegas favorable</v>
      </c>
    </row>
    <row r="257" spans="1:81" ht="15" customHeight="1" x14ac:dyDescent="0.3">
      <c r="A257" s="2">
        <f t="shared" si="104"/>
        <v>256</v>
      </c>
      <c r="B257" s="3" t="s">
        <v>323</v>
      </c>
      <c r="C257" s="3" t="s">
        <v>366</v>
      </c>
      <c r="D257" s="3" t="s">
        <v>384</v>
      </c>
      <c r="E257" s="3"/>
      <c r="F257" s="4">
        <v>3.5</v>
      </c>
      <c r="G257" s="5">
        <v>1</v>
      </c>
      <c r="H257" s="5">
        <v>139</v>
      </c>
      <c r="I257" s="5">
        <v>78</v>
      </c>
      <c r="J257" s="5">
        <v>0</v>
      </c>
      <c r="K257" s="5">
        <v>6.4</v>
      </c>
      <c r="L257" s="5">
        <v>5.4</v>
      </c>
      <c r="M257" s="5">
        <v>0</v>
      </c>
      <c r="N257" s="5">
        <v>5.4</v>
      </c>
      <c r="O257" s="5">
        <v>0</v>
      </c>
      <c r="P257" s="5">
        <v>0</v>
      </c>
      <c r="Q257" s="5">
        <v>10.199999999999999</v>
      </c>
      <c r="R257" s="5">
        <v>6.8</v>
      </c>
      <c r="S257" s="5">
        <v>2.4</v>
      </c>
      <c r="T257" s="5">
        <v>0.28000000000000003</v>
      </c>
      <c r="U257" s="5">
        <v>11</v>
      </c>
      <c r="V257" s="5">
        <v>121</v>
      </c>
      <c r="W257" s="5">
        <v>115</v>
      </c>
      <c r="X257" s="5">
        <v>36</v>
      </c>
      <c r="Y257" s="5">
        <v>0.05</v>
      </c>
      <c r="Z257" s="5">
        <v>0.38</v>
      </c>
      <c r="AA257" s="5">
        <v>0.8</v>
      </c>
      <c r="AB257" s="5">
        <v>0.03</v>
      </c>
      <c r="AC257" s="5">
        <v>0.36</v>
      </c>
      <c r="AD257" s="5">
        <v>1.6</v>
      </c>
      <c r="AE257" s="5">
        <v>0.05</v>
      </c>
      <c r="AF257" s="5">
        <v>6</v>
      </c>
      <c r="AG257" s="5">
        <v>0.2</v>
      </c>
      <c r="AH257" s="5">
        <v>0.3</v>
      </c>
      <c r="AI257" s="5">
        <v>0</v>
      </c>
      <c r="AJ257" s="5">
        <v>0</v>
      </c>
      <c r="AK257" s="5">
        <v>150</v>
      </c>
      <c r="AL257" s="5">
        <v>130</v>
      </c>
      <c r="AM257" s="5">
        <v>0.3</v>
      </c>
      <c r="AN257" s="5">
        <v>4</v>
      </c>
      <c r="AO257" s="5">
        <v>0.5</v>
      </c>
      <c r="AP257" s="5">
        <v>12</v>
      </c>
      <c r="AQ257" s="5">
        <v>71</v>
      </c>
      <c r="AR257" s="5">
        <v>150</v>
      </c>
      <c r="AS257" s="5">
        <v>0</v>
      </c>
      <c r="AT257" s="5">
        <v>0</v>
      </c>
      <c r="AU257" s="5">
        <v>2</v>
      </c>
      <c r="AV257" s="5">
        <f>IFERROR(VLOOKUP(IFERROR(VLOOKUP(D257,Mapa_Similitud!$A$2:$B$2000,2,FALSE()),D257),Hoja1!$A$2:$K$1000,2,FALSE()),IFERROR(VLOOKUP(IFERROR(VLOOKUP(D257,Mapa_Similitud!$A$2:$B$2000,2,FALSE()),D257),Omega3_Referencia!$A$2:$E$100,3,FALSE()),0))</f>
        <v>0.06</v>
      </c>
      <c r="AW257" s="3" t="str">
        <f>IFERROR(VLOOKUP(IFERROR(VLOOKUP(D257,Mapa_Similitud!$A$2:$B$2000,2,FALSE()),D257),Hoja1!$A$2:$K$1000,3,FALSE()),IFERROR(VLOOKUP(IFERROR(VLOOKUP(D257,Mapa_Similitud!$A$2:$B$2000,2,FALSE()),D257),Omega3_Referencia!$A$2:$E$100,4,FALSE()),"N/A"))</f>
        <v>ALA/EPA</v>
      </c>
      <c r="AX257" s="5">
        <f>IFERROR(VLOOKUP(IFERROR(VLOOKUP(D257,Mapa_Similitud!$A$2:$B$2000,2,FALSE()),D257),Hoja1!$A$2:$K$1000,5,FALSE()),0)</f>
        <v>0.2</v>
      </c>
      <c r="AY257" s="5">
        <f>IFERROR(VLOOKUP(IFERROR(VLOOKUP(D257,Mapa_Similitud!$A$2:$B$2000,2,FALSE()),D257),Hoja1!$A$2:$K$1000,7,FALSE()),0)</f>
        <v>0</v>
      </c>
      <c r="AZ257" s="5">
        <f>IFERROR(VLOOKUP(IFERROR(VLOOKUP(D257,Mapa_Similitud!$A$2:$B$2000,2,FALSE()),D257),Hoja1!$A$2:$K$1000,9,FALSE()),0)</f>
        <v>6</v>
      </c>
      <c r="BA257" s="25">
        <f t="shared" si="87"/>
        <v>4.60431654676259E-2</v>
      </c>
      <c r="BB257" s="25">
        <f t="shared" si="88"/>
        <v>0</v>
      </c>
      <c r="BC257" s="25">
        <f t="shared" si="89"/>
        <v>1.079136690647482</v>
      </c>
      <c r="BD257" s="25">
        <f t="shared" si="90"/>
        <v>2.158273381294964E-3</v>
      </c>
      <c r="BE257" s="25">
        <f t="shared" si="91"/>
        <v>0.51079136690647486</v>
      </c>
      <c r="BF257" s="25">
        <f t="shared" si="92"/>
        <v>4.11764705882353E-2</v>
      </c>
      <c r="BG257" s="25">
        <f t="shared" si="93"/>
        <v>1.1538461538461537</v>
      </c>
      <c r="BH257" s="25">
        <f t="shared" si="94"/>
        <v>0.66666666666666674</v>
      </c>
      <c r="BI257" s="25">
        <f t="shared" si="95"/>
        <v>0.47333333333333333</v>
      </c>
      <c r="BJ257" s="25">
        <f t="shared" si="96"/>
        <v>1</v>
      </c>
      <c r="BK257" s="25">
        <f t="shared" si="97"/>
        <v>0</v>
      </c>
      <c r="BL257" s="25">
        <f t="shared" si="98"/>
        <v>0.66043165467625897</v>
      </c>
      <c r="BM257" s="25">
        <f t="shared" si="99"/>
        <v>8.6330935251798566E-2</v>
      </c>
      <c r="BN257" s="18" t="str">
        <f t="shared" si="105"/>
        <v>Baja fuente de proteína</v>
      </c>
      <c r="BO257" s="18" t="str">
        <f t="shared" si="106"/>
        <v>Baja fuente de fibra</v>
      </c>
      <c r="BP257" s="18" t="str">
        <f t="shared" si="107"/>
        <v>Media fuente de calcio</v>
      </c>
      <c r="BQ257" s="18" t="str">
        <f t="shared" si="108"/>
        <v>Baja fuente de hierro</v>
      </c>
      <c r="BR257" s="18" t="str">
        <f t="shared" si="109"/>
        <v>Moderado en sodio</v>
      </c>
      <c r="BS257" s="6" t="str">
        <f t="shared" si="100"/>
        <v>Proinflamatorio</v>
      </c>
      <c r="BT257" s="6" t="str">
        <f t="shared" si="101"/>
        <v>Muy alto en grasas</v>
      </c>
      <c r="BU257" s="18" t="str">
        <f t="shared" si="110"/>
        <v>Equilibrio de líquidos ideal</v>
      </c>
      <c r="BV257" s="18" t="str">
        <f t="shared" si="111"/>
        <v>Baja fuente de magnesio</v>
      </c>
      <c r="BW257" s="18" t="str">
        <f t="shared" si="112"/>
        <v>Sin aporte de Omega 3</v>
      </c>
      <c r="BX257" s="18" t="str">
        <f t="shared" si="113"/>
        <v>Contiene grasas trans</v>
      </c>
      <c r="BY257" s="18" t="str">
        <f t="shared" si="114"/>
        <v>Bajo poder antioxidante</v>
      </c>
      <c r="BZ257" s="6" t="str">
        <f t="shared" si="102"/>
        <v>Probiótico activo</v>
      </c>
      <c r="CA257" s="18" t="str">
        <f t="shared" si="115"/>
        <v>Moderadamente inflamatorio</v>
      </c>
      <c r="CB257" s="18" t="str">
        <f>IF(ISNUMBER(SEARCH("miel", D257)), "No irritante (Uso condicionado SII)", IF(OR(J257&gt;0, ISNUMBER(SEARCH("cacao", D257)), ISNUMBER(SEARCH("chocolate puro", D257))), "Altamente irritante", IF(OR(AND(O257&gt;15, BI257&gt;1), ISNUMBER(SEARCH("chocolate", D257))), "Moderadamente irritante", "No irritante")))</f>
        <v>No irritante</v>
      </c>
      <c r="CC257" s="6" t="str">
        <f t="shared" si="103"/>
        <v>Balance de omegas favorable</v>
      </c>
    </row>
    <row r="258" spans="1:81" ht="15" customHeight="1" x14ac:dyDescent="0.3">
      <c r="A258" s="2">
        <f t="shared" si="104"/>
        <v>257</v>
      </c>
      <c r="B258" s="3" t="s">
        <v>385</v>
      </c>
      <c r="C258" s="3" t="s">
        <v>386</v>
      </c>
      <c r="D258" s="3" t="s">
        <v>387</v>
      </c>
      <c r="E258" s="3"/>
      <c r="F258" s="4">
        <v>1.5</v>
      </c>
      <c r="G258" s="5">
        <v>1</v>
      </c>
      <c r="H258" s="5">
        <v>49</v>
      </c>
      <c r="I258" s="5">
        <v>88</v>
      </c>
      <c r="J258" s="5">
        <v>0</v>
      </c>
      <c r="K258" s="5">
        <v>11.1</v>
      </c>
      <c r="L258" s="5">
        <v>0.7</v>
      </c>
      <c r="M258" s="5">
        <v>0</v>
      </c>
      <c r="N258" s="5">
        <v>0.7</v>
      </c>
      <c r="O258" s="5">
        <v>0</v>
      </c>
      <c r="P258" s="5">
        <v>0</v>
      </c>
      <c r="Q258" s="5">
        <v>0.2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0.01</v>
      </c>
      <c r="AB258" s="5">
        <v>2.1999999999999999E-2</v>
      </c>
      <c r="AC258" s="5">
        <v>0.32</v>
      </c>
      <c r="AD258" s="5">
        <v>3.4</v>
      </c>
      <c r="AE258" s="5">
        <v>1.2E-2</v>
      </c>
      <c r="AF258" s="5">
        <v>9.1999999999999993</v>
      </c>
      <c r="AG258" s="5">
        <v>0.1</v>
      </c>
      <c r="AH258" s="5">
        <v>0.14000000000000001</v>
      </c>
      <c r="AI258" s="5">
        <v>7</v>
      </c>
      <c r="AJ258" s="5">
        <v>0.3</v>
      </c>
      <c r="AK258" s="5">
        <v>11</v>
      </c>
      <c r="AL258" s="5">
        <v>21</v>
      </c>
      <c r="AM258" s="5">
        <v>0.2</v>
      </c>
      <c r="AN258" s="5">
        <v>6.8</v>
      </c>
      <c r="AO258" s="5">
        <v>0.02</v>
      </c>
      <c r="AP258" s="5">
        <v>12</v>
      </c>
      <c r="AQ258" s="5">
        <v>170</v>
      </c>
      <c r="AR258" s="5">
        <v>154</v>
      </c>
      <c r="AS258" s="5">
        <v>0.04</v>
      </c>
      <c r="AT258" s="5">
        <v>6.0000000000000001E-3</v>
      </c>
      <c r="AU258" s="5">
        <v>5.4</v>
      </c>
      <c r="AV258" s="5">
        <f>IFERROR(VLOOKUP(IFERROR(VLOOKUP(D258,Mapa_Similitud!$A$2:$B$2000,2,FALSE()),D258),Hoja1!$A$2:$K$1000,2,FALSE()),IFERROR(VLOOKUP(IFERROR(VLOOKUP(D258,Mapa_Similitud!$A$2:$B$2000,2,FALSE()),D258),Omega3_Referencia!$A$2:$E$100,3,FALSE()),0))</f>
        <v>0</v>
      </c>
      <c r="AW258" s="3" t="str">
        <f>IFERROR(VLOOKUP(IFERROR(VLOOKUP(D258,Mapa_Similitud!$A$2:$B$2000,2,FALSE()),D258),Hoja1!$A$2:$K$1000,3,FALSE()),IFERROR(VLOOKUP(IFERROR(VLOOKUP(D258,Mapa_Similitud!$A$2:$B$2000,2,FALSE()),D258),Omega3_Referencia!$A$2:$E$100,4,FALSE()),"N/A"))</f>
        <v>N/A</v>
      </c>
      <c r="AX258" s="5">
        <f>IFERROR(VLOOKUP(IFERROR(VLOOKUP(D258,Mapa_Similitud!$A$2:$B$2000,2,FALSE()),D258),Hoja1!$A$2:$K$1000,5,FALSE()),0)</f>
        <v>0</v>
      </c>
      <c r="AY258" s="5">
        <f>IFERROR(VLOOKUP(IFERROR(VLOOKUP(D258,Mapa_Similitud!$A$2:$B$2000,2,FALSE()),D258),Hoja1!$A$2:$K$1000,7,FALSE()),0)</f>
        <v>0</v>
      </c>
      <c r="AZ258" s="5">
        <f>IFERROR(VLOOKUP(IFERROR(VLOOKUP(D258,Mapa_Similitud!$A$2:$B$2000,2,FALSE()),D258),Hoja1!$A$2:$K$1000,9,FALSE()),0)</f>
        <v>0</v>
      </c>
      <c r="BA258" s="25">
        <f t="shared" ref="BA258:BA321" si="116">IFERROR(K258/H258,0)</f>
        <v>0.22653061224489796</v>
      </c>
      <c r="BB258" s="25">
        <f t="shared" ref="BB258:BB321" si="117">IFERROR(P258/H258,0)</f>
        <v>0</v>
      </c>
      <c r="BC258" s="25">
        <f t="shared" ref="BC258:BC321" si="118">IFERROR(AK258/H258,0)</f>
        <v>0.22448979591836735</v>
      </c>
      <c r="BD258" s="25">
        <f t="shared" ref="BD258:BD321" si="119">IFERROR(AM258/H258,0)</f>
        <v>4.0816326530612249E-3</v>
      </c>
      <c r="BE258" s="25">
        <f t="shared" ref="BE258:BE321" si="120">IFERROR(AQ258/H258,0)</f>
        <v>3.4693877551020407</v>
      </c>
      <c r="BF258" s="25">
        <f t="shared" ref="BF258:BF321" si="121">IFERROR(T258/R258,0)</f>
        <v>0</v>
      </c>
      <c r="BG258" s="25">
        <f t="shared" ref="BG258:BG321" si="122">IFERROR(AK258/AL258,0)</f>
        <v>0.52380952380952384</v>
      </c>
      <c r="BH258" s="25">
        <f t="shared" ref="BH258:BH321" si="123">IFERROR(R258/Q258,0)</f>
        <v>0</v>
      </c>
      <c r="BI258" s="25">
        <f t="shared" ref="BI258:BI321" si="124">IFERROR(AQ258/AR258,0)</f>
        <v>1.1038961038961039</v>
      </c>
      <c r="BJ258" s="25">
        <f t="shared" ref="BJ258:BJ321" si="125">IFERROR(N258/L258,0)</f>
        <v>1</v>
      </c>
      <c r="BK258" s="25">
        <f t="shared" ref="BK258:BK321" si="126">IFERROR(P258/L258,0)</f>
        <v>0</v>
      </c>
      <c r="BL258" s="25">
        <f t="shared" ref="BL258:BL321" si="127">IFERROR((Q258*9)/H258,0)</f>
        <v>3.6734693877551024E-2</v>
      </c>
      <c r="BM258" s="25">
        <f t="shared" ref="BM258:BM321" si="128">IFERROR(AP258/H258,0)</f>
        <v>0.24489795918367346</v>
      </c>
      <c r="BN258" s="18" t="str">
        <f t="shared" si="105"/>
        <v>Muy alta fuente de proteína</v>
      </c>
      <c r="BO258" s="18" t="str">
        <f t="shared" si="106"/>
        <v>Baja fuente de fibra</v>
      </c>
      <c r="BP258" s="18" t="str">
        <f t="shared" si="107"/>
        <v>Baja fuente de calcio</v>
      </c>
      <c r="BQ258" s="18" t="str">
        <f t="shared" si="108"/>
        <v>Baja fuente de hierro</v>
      </c>
      <c r="BR258" s="18" t="str">
        <f t="shared" si="109"/>
        <v>Muy alto en sodio</v>
      </c>
      <c r="BS258" s="6" t="str">
        <f t="shared" ref="BS258:BS321" si="129">IF(BF258&gt;2,"Altamente antiinflamatorio",IF(BF258&gt;1,"Ligeramente antiinflamatorio",IF(BF258&gt;0.5,"Neutro","Proinflamatorio")))</f>
        <v>Proinflamatorio</v>
      </c>
      <c r="BT258" s="6" t="str">
        <f t="shared" ref="BT258:BT321" si="130">IF(BL258&gt;0.4,"Muy alto en grasas",IF(BL258&gt;0.3,"Alto en grasas",IF(BL258&gt;0.2,"Moderado en grasas","Bajo en grasas")))</f>
        <v>Bajo en grasas</v>
      </c>
      <c r="BU258" s="18" t="str">
        <f t="shared" si="110"/>
        <v>Alto riesgo de retención de líquidos</v>
      </c>
      <c r="BV258" s="18" t="str">
        <f t="shared" si="111"/>
        <v>Media fuente de magnesio</v>
      </c>
      <c r="BW258" s="18" t="str">
        <f t="shared" si="112"/>
        <v>Sin aporte de Omega 3</v>
      </c>
      <c r="BX258" s="18" t="str">
        <f t="shared" si="113"/>
        <v>Libre de grasas trans</v>
      </c>
      <c r="BY258" s="18" t="str">
        <f t="shared" si="114"/>
        <v>Bajo poder antioxidante</v>
      </c>
      <c r="BZ258" s="6" t="str">
        <f t="shared" ref="BZ258:BZ321" si="131">IF(AZ258&gt;=1,"Probiótico activo","Sin probióticos")</f>
        <v>Sin probióticos</v>
      </c>
      <c r="CA258" s="18" t="str">
        <f t="shared" si="115"/>
        <v>Poco inflamatorio</v>
      </c>
      <c r="CB258" s="18" t="str">
        <f>IF(ISNUMBER(SEARCH("miel", D258)), "No irritante (Uso condicionado SII)", IF(OR(J258&gt;0, ISNUMBER(SEARCH("cacao", D258)), ISNUMBER(SEARCH("chocolate puro", D258))), "Altamente irritante", IF(OR(AND(O258&gt;15, BI258&gt;1), ISNUMBER(SEARCH("chocolate", D258))), "Moderadamente irritante", "No irritante")))</f>
        <v>No irritante</v>
      </c>
      <c r="CC258" s="6" t="str">
        <f t="shared" ref="CC258:CC321" si="132">IF(AV258=0,"Sin Omega 3 para evaluar",IFERROR(IF(((T258-AV258)/AV258)&gt;4,"Exceso relativo de Omega 6","Balance de omegas favorable"),"Sin Omega 3 para evaluar"))</f>
        <v>Sin Omega 3 para evaluar</v>
      </c>
    </row>
    <row r="259" spans="1:81" ht="15" customHeight="1" x14ac:dyDescent="0.3">
      <c r="A259" s="2">
        <f t="shared" ref="A259:A322" si="133">1+A258</f>
        <v>258</v>
      </c>
      <c r="B259" s="3" t="s">
        <v>385</v>
      </c>
      <c r="C259" s="3" t="s">
        <v>386</v>
      </c>
      <c r="D259" s="3" t="s">
        <v>388</v>
      </c>
      <c r="E259" s="3"/>
      <c r="F259" s="4">
        <v>8</v>
      </c>
      <c r="G259" s="5">
        <v>0.88</v>
      </c>
      <c r="H259" s="5">
        <v>155</v>
      </c>
      <c r="I259" s="5">
        <v>75.3</v>
      </c>
      <c r="J259" s="5">
        <v>0</v>
      </c>
      <c r="K259" s="5">
        <v>13.1</v>
      </c>
      <c r="L259" s="5">
        <v>0.41</v>
      </c>
      <c r="M259" s="5">
        <v>0</v>
      </c>
      <c r="N259" s="5">
        <v>0.41</v>
      </c>
      <c r="O259" s="5">
        <v>0</v>
      </c>
      <c r="P259" s="5">
        <v>0</v>
      </c>
      <c r="Q259" s="5">
        <v>11.2</v>
      </c>
      <c r="R259" s="5">
        <v>3.1</v>
      </c>
      <c r="S259" s="5">
        <v>4.9000000000000004</v>
      </c>
      <c r="T259" s="5">
        <v>1.3</v>
      </c>
      <c r="U259" s="5">
        <v>844</v>
      </c>
      <c r="V259" s="5">
        <v>90</v>
      </c>
      <c r="W259" s="5">
        <v>90</v>
      </c>
      <c r="X259" s="5">
        <v>0</v>
      </c>
      <c r="Y259" s="5">
        <v>5.0999999999999996</v>
      </c>
      <c r="Z259" s="5">
        <v>0.74</v>
      </c>
      <c r="AA259" s="5">
        <v>0.3</v>
      </c>
      <c r="AB259" s="5">
        <v>0.43</v>
      </c>
      <c r="AC259" s="5">
        <v>0.79</v>
      </c>
      <c r="AD259" s="5">
        <v>3.5</v>
      </c>
      <c r="AE259" s="5">
        <v>0.15</v>
      </c>
      <c r="AF259" s="5">
        <v>66</v>
      </c>
      <c r="AG259" s="5">
        <v>1.6</v>
      </c>
      <c r="AH259" s="5">
        <v>1.8</v>
      </c>
      <c r="AI259" s="5">
        <v>0</v>
      </c>
      <c r="AJ259" s="5">
        <v>0</v>
      </c>
      <c r="AK259" s="5">
        <v>64</v>
      </c>
      <c r="AL259" s="5">
        <v>226</v>
      </c>
      <c r="AM259" s="5">
        <v>3.7</v>
      </c>
      <c r="AN259" s="5">
        <v>13</v>
      </c>
      <c r="AO259" s="5">
        <v>1.5</v>
      </c>
      <c r="AP259" s="5">
        <v>13</v>
      </c>
      <c r="AQ259" s="5">
        <v>141</v>
      </c>
      <c r="AR259" s="5">
        <v>132</v>
      </c>
      <c r="AS259" s="5">
        <v>3.7999999999999999E-2</v>
      </c>
      <c r="AT259" s="5">
        <v>6.2E-2</v>
      </c>
      <c r="AU259" s="5">
        <v>32</v>
      </c>
      <c r="AV259" s="5">
        <f>IFERROR(VLOOKUP(IFERROR(VLOOKUP(D259,Mapa_Similitud!$A$2:$B$2000,2,FALSE()),D259),Hoja1!$A$2:$K$1000,2,FALSE()),IFERROR(VLOOKUP(IFERROR(VLOOKUP(D259,Mapa_Similitud!$A$2:$B$2000,2,FALSE()),D259),Omega3_Referencia!$A$2:$E$100,3,FALSE()),0))</f>
        <v>0.05</v>
      </c>
      <c r="AW259" s="3" t="str">
        <f>IFERROR(VLOOKUP(IFERROR(VLOOKUP(D259,Mapa_Similitud!$A$2:$B$2000,2,FALSE()),D259),Hoja1!$A$2:$K$1000,3,FALSE()),IFERROR(VLOOKUP(IFERROR(VLOOKUP(D259,Mapa_Similitud!$A$2:$B$2000,2,FALSE()),D259),Omega3_Referencia!$A$2:$E$100,4,FALSE()),"N/A"))</f>
        <v>ALA/DHA</v>
      </c>
      <c r="AX259" s="5">
        <f>IFERROR(VLOOKUP(IFERROR(VLOOKUP(D259,Mapa_Similitud!$A$2:$B$2000,2,FALSE()),D259),Hoja1!$A$2:$K$1000,5,FALSE()),0)</f>
        <v>0</v>
      </c>
      <c r="AY259" s="5">
        <f>IFERROR(VLOOKUP(IFERROR(VLOOKUP(D259,Mapa_Similitud!$A$2:$B$2000,2,FALSE()),D259),Hoja1!$A$2:$K$1000,7,FALSE()),0)</f>
        <v>0</v>
      </c>
      <c r="AZ259" s="5">
        <f>IFERROR(VLOOKUP(IFERROR(VLOOKUP(D259,Mapa_Similitud!$A$2:$B$2000,2,FALSE()),D259),Hoja1!$A$2:$K$1000,9,FALSE()),0)</f>
        <v>0</v>
      </c>
      <c r="BA259" s="25">
        <f t="shared" si="116"/>
        <v>8.4516129032258067E-2</v>
      </c>
      <c r="BB259" s="25">
        <f t="shared" si="117"/>
        <v>0</v>
      </c>
      <c r="BC259" s="25">
        <f t="shared" si="118"/>
        <v>0.41290322580645161</v>
      </c>
      <c r="BD259" s="25">
        <f t="shared" si="119"/>
        <v>2.3870967741935485E-2</v>
      </c>
      <c r="BE259" s="25">
        <f t="shared" si="120"/>
        <v>0.9096774193548387</v>
      </c>
      <c r="BF259" s="25">
        <f t="shared" si="121"/>
        <v>0.41935483870967744</v>
      </c>
      <c r="BG259" s="25">
        <f t="shared" si="122"/>
        <v>0.2831858407079646</v>
      </c>
      <c r="BH259" s="25">
        <f t="shared" si="123"/>
        <v>0.2767857142857143</v>
      </c>
      <c r="BI259" s="25">
        <f t="shared" si="124"/>
        <v>1.0681818181818181</v>
      </c>
      <c r="BJ259" s="25">
        <f t="shared" si="125"/>
        <v>1</v>
      </c>
      <c r="BK259" s="25">
        <f t="shared" si="126"/>
        <v>0</v>
      </c>
      <c r="BL259" s="25">
        <f t="shared" si="127"/>
        <v>0.65032258064516124</v>
      </c>
      <c r="BM259" s="25">
        <f t="shared" si="128"/>
        <v>8.387096774193549E-2</v>
      </c>
      <c r="BN259" s="18" t="str">
        <f t="shared" ref="BN259:BN322" si="134">IF(BA259&gt;0.2,"Muy alta fuente de proteína",IF(BA259&gt;0.15,"Alta fuente de proteína",IF(BA259&gt;0.1,"Media fuente de proteína","Baja fuente de proteína")))</f>
        <v>Baja fuente de proteína</v>
      </c>
      <c r="BO259" s="18" t="str">
        <f t="shared" ref="BO259:BO322" si="135">IF(BB259&gt;0.03,"Alta",IF(BB259&gt;0.015,"Media","Baja")) &amp; " fuente de fibra"</f>
        <v>Baja fuente de fibra</v>
      </c>
      <c r="BP259" s="18" t="str">
        <f t="shared" ref="BP259:BP322" si="136">IF(BC259&gt;1.5,"Alta fuente de calcio",IF(BC259&gt;0.8,"Media fuente de calcio","Baja fuente de calcio"))</f>
        <v>Baja fuente de calcio</v>
      </c>
      <c r="BQ259" s="18" t="str">
        <f t="shared" ref="BQ259:BQ322" si="137">IF(BD259&gt;0.015,"Alta fuente de hierro",IF(BD259&gt;0.008,"Media fuente de hierro","Baja fuente de hierro"))</f>
        <v>Alta fuente de hierro</v>
      </c>
      <c r="BR259" s="18" t="str">
        <f t="shared" ref="BR259:BR322" si="138">IF(BE259&gt;2,"Muy alto",IF(BE259&gt;1,"Alto",IF(BE259&gt;0.5,"Moderado","Bajo"))) &amp; " en sodio"</f>
        <v>Moderado en sodio</v>
      </c>
      <c r="BS259" s="6" t="str">
        <f t="shared" si="129"/>
        <v>Proinflamatorio</v>
      </c>
      <c r="BT259" s="6" t="str">
        <f t="shared" si="130"/>
        <v>Muy alto en grasas</v>
      </c>
      <c r="BU259" s="18" t="str">
        <f t="shared" ref="BU259:BU322" si="139">IF(BI259&gt;1,"Alto riesgo de retención de líquidos",IF(BI259&gt;0.5,"Riesgo moderado de retención","Equilibrio de líquidos ideal"))</f>
        <v>Alto riesgo de retención de líquidos</v>
      </c>
      <c r="BV259" s="18" t="str">
        <f t="shared" ref="BV259:BV322" si="140">IF(BM259&gt;0.5,"Alta",IF(BM259&gt;0.2,"Media","Baja")) &amp; " fuente de magnesio"</f>
        <v>Baja fuente de magnesio</v>
      </c>
      <c r="BW259" s="18" t="str">
        <f t="shared" ref="BW259:BW322" si="141">IF(AV259&gt;=0.5,"Alta fuente de Omega 3",IF(AV259&gt;0.1,"Ligera fuente de Omega 3","Sin aporte de Omega 3"))</f>
        <v>Sin aporte de Omega 3</v>
      </c>
      <c r="BX259" s="18" t="str">
        <f t="shared" ref="BX259:BX322" si="142">IF(AX259&gt;0.5,"Alerta: Alto en grasas trans",IF(AX259&gt;0,"Contiene grasas trans","Libre de grasas trans"))</f>
        <v>Libre de grasas trans</v>
      </c>
      <c r="BY259" s="18" t="str">
        <f t="shared" ref="BY259:BY322" si="143">IF(AY259&gt;=50,"Alto",IF(AY259&gt;=10,"Medio","Bajo")) &amp; " poder antioxidante"</f>
        <v>Bajo poder antioxidante</v>
      </c>
      <c r="BZ259" s="6" t="str">
        <f t="shared" si="131"/>
        <v>Sin probióticos</v>
      </c>
      <c r="CA259" s="18" t="str">
        <f t="shared" ref="CA259:CA322" si="144">IF(OR(AX259&gt;0.5, O259&gt;15, J259&gt;0), "Altamente inflamatorio", IF(OR(AV259&gt;=0.5, AY259&gt;=50), "Antiinflamatorio", IF(OR(AX259&gt;0, O259&gt;5), "Moderadamente inflamatorio", "Poco inflamatorio")))</f>
        <v>Poco inflamatorio</v>
      </c>
      <c r="CB259" s="18" t="str">
        <f>IF(ISNUMBER(SEARCH("miel", D259)), "No irritante (Uso condicionado SII)", IF(OR(J259&gt;0, ISNUMBER(SEARCH("cacao", D259)), ISNUMBER(SEARCH("chocolate puro", D259))), "Altamente irritante", IF(OR(AND(O259&gt;15, BI259&gt;1), ISNUMBER(SEARCH("chocolate", D259))), "Moderadamente irritante", "No irritante")))</f>
        <v>No irritante</v>
      </c>
      <c r="CC259" s="6" t="str">
        <f t="shared" si="132"/>
        <v>Exceso relativo de Omega 6</v>
      </c>
    </row>
    <row r="260" spans="1:81" ht="15" customHeight="1" x14ac:dyDescent="0.3">
      <c r="A260" s="2">
        <f t="shared" si="133"/>
        <v>259</v>
      </c>
      <c r="B260" s="3" t="s">
        <v>385</v>
      </c>
      <c r="C260" s="3" t="s">
        <v>386</v>
      </c>
      <c r="D260" s="3" t="s">
        <v>389</v>
      </c>
      <c r="E260" s="3"/>
      <c r="F260" s="4">
        <v>7</v>
      </c>
      <c r="G260" s="5">
        <v>0.89</v>
      </c>
      <c r="H260" s="5">
        <v>0.16</v>
      </c>
      <c r="I260" s="5">
        <v>0.53</v>
      </c>
      <c r="J260" s="5">
        <v>4.5</v>
      </c>
      <c r="K260" s="5">
        <v>0.25</v>
      </c>
      <c r="L260" s="5">
        <v>80</v>
      </c>
      <c r="M260" s="5">
        <v>5.4</v>
      </c>
      <c r="N260" s="5">
        <v>1.9</v>
      </c>
      <c r="O260" s="5">
        <v>0</v>
      </c>
      <c r="P260" s="5">
        <v>0</v>
      </c>
      <c r="Q260" s="5">
        <v>63</v>
      </c>
      <c r="R260" s="5">
        <v>178</v>
      </c>
      <c r="S260" s="5">
        <v>2.7</v>
      </c>
      <c r="T260" s="5">
        <v>13</v>
      </c>
      <c r="U260" s="5">
        <v>1.4</v>
      </c>
      <c r="V260" s="5">
        <v>16</v>
      </c>
      <c r="W260" s="5">
        <v>100</v>
      </c>
      <c r="X260" s="5">
        <v>150</v>
      </c>
      <c r="Y260" s="5">
        <v>0.1</v>
      </c>
      <c r="Z260" s="5">
        <v>0.5</v>
      </c>
      <c r="AA260" s="5">
        <v>36.4</v>
      </c>
      <c r="AB260" s="5">
        <v>184</v>
      </c>
      <c r="AC260" s="5">
        <v>71.900000000000006</v>
      </c>
      <c r="AD260" s="5">
        <v>0</v>
      </c>
      <c r="AE260" s="5">
        <v>13</v>
      </c>
      <c r="AF260" s="5">
        <v>0.7</v>
      </c>
      <c r="AG260" s="5">
        <v>0</v>
      </c>
      <c r="AH260" s="5">
        <v>0.7</v>
      </c>
      <c r="AI260" s="5">
        <v>0</v>
      </c>
      <c r="AJ260" s="5">
        <v>0</v>
      </c>
      <c r="AK260" s="5">
        <v>14.4</v>
      </c>
      <c r="AL260" s="5">
        <v>3.9</v>
      </c>
      <c r="AM260" s="5">
        <v>6.9</v>
      </c>
      <c r="AN260" s="5">
        <v>1</v>
      </c>
      <c r="AO260" s="5">
        <v>680</v>
      </c>
      <c r="AP260" s="5">
        <v>740</v>
      </c>
      <c r="AQ260" s="5">
        <v>540</v>
      </c>
      <c r="AR260" s="5">
        <v>1200</v>
      </c>
      <c r="AS260" s="5">
        <v>5</v>
      </c>
      <c r="AT260" s="5">
        <v>0.74</v>
      </c>
      <c r="AU260" s="5">
        <v>0.3</v>
      </c>
      <c r="AV260" s="5">
        <f>IFERROR(VLOOKUP(IFERROR(VLOOKUP(D260,Mapa_Similitud!$A$2:$B$2000,2,FALSE()),D260),Hoja1!$A$2:$K$1000,2,FALSE()),IFERROR(VLOOKUP(IFERROR(VLOOKUP(D260,Mapa_Similitud!$A$2:$B$2000,2,FALSE()),D260),Omega3_Referencia!$A$2:$E$100,3,FALSE()),0))</f>
        <v>0</v>
      </c>
      <c r="AW260" s="3" t="str">
        <f>IFERROR(VLOOKUP(IFERROR(VLOOKUP(D260,Mapa_Similitud!$A$2:$B$2000,2,FALSE()),D260),Hoja1!$A$2:$K$1000,3,FALSE()),IFERROR(VLOOKUP(IFERROR(VLOOKUP(D260,Mapa_Similitud!$A$2:$B$2000,2,FALSE()),D260),Omega3_Referencia!$A$2:$E$100,4,FALSE()),"N/A"))</f>
        <v>N/A</v>
      </c>
      <c r="AX260" s="5">
        <f>IFERROR(VLOOKUP(IFERROR(VLOOKUP(D260,Mapa_Similitud!$A$2:$B$2000,2,FALSE()),D260),Hoja1!$A$2:$K$1000,5,FALSE()),0)</f>
        <v>0</v>
      </c>
      <c r="AY260" s="5">
        <f>IFERROR(VLOOKUP(IFERROR(VLOOKUP(D260,Mapa_Similitud!$A$2:$B$2000,2,FALSE()),D260),Hoja1!$A$2:$K$1000,7,FALSE()),0)</f>
        <v>0</v>
      </c>
      <c r="AZ260" s="5">
        <f>IFERROR(VLOOKUP(IFERROR(VLOOKUP(D260,Mapa_Similitud!$A$2:$B$2000,2,FALSE()),D260),Hoja1!$A$2:$K$1000,9,FALSE()),0)</f>
        <v>0</v>
      </c>
      <c r="BA260" s="25">
        <f t="shared" si="116"/>
        <v>1.5625</v>
      </c>
      <c r="BB260" s="25">
        <f t="shared" si="117"/>
        <v>0</v>
      </c>
      <c r="BC260" s="25">
        <f t="shared" si="118"/>
        <v>90</v>
      </c>
      <c r="BD260" s="25">
        <f t="shared" si="119"/>
        <v>43.125</v>
      </c>
      <c r="BE260" s="25">
        <f t="shared" si="120"/>
        <v>3375</v>
      </c>
      <c r="BF260" s="25">
        <f t="shared" si="121"/>
        <v>7.3033707865168537E-2</v>
      </c>
      <c r="BG260" s="25">
        <f t="shared" si="122"/>
        <v>3.6923076923076925</v>
      </c>
      <c r="BH260" s="25">
        <f t="shared" si="123"/>
        <v>2.8253968253968256</v>
      </c>
      <c r="BI260" s="25">
        <f t="shared" si="124"/>
        <v>0.45</v>
      </c>
      <c r="BJ260" s="25">
        <f t="shared" si="125"/>
        <v>2.375E-2</v>
      </c>
      <c r="BK260" s="25">
        <f t="shared" si="126"/>
        <v>0</v>
      </c>
      <c r="BL260" s="25">
        <f t="shared" si="127"/>
        <v>3543.75</v>
      </c>
      <c r="BM260" s="25">
        <f t="shared" si="128"/>
        <v>4625</v>
      </c>
      <c r="BN260" s="18" t="str">
        <f t="shared" si="134"/>
        <v>Muy alta fuente de proteína</v>
      </c>
      <c r="BO260" s="18" t="str">
        <f t="shared" si="135"/>
        <v>Baja fuente de fibra</v>
      </c>
      <c r="BP260" s="18" t="str">
        <f t="shared" si="136"/>
        <v>Alta fuente de calcio</v>
      </c>
      <c r="BQ260" s="18" t="str">
        <f t="shared" si="137"/>
        <v>Alta fuente de hierro</v>
      </c>
      <c r="BR260" s="18" t="str">
        <f t="shared" si="138"/>
        <v>Muy alto en sodio</v>
      </c>
      <c r="BS260" s="6" t="str">
        <f t="shared" si="129"/>
        <v>Proinflamatorio</v>
      </c>
      <c r="BT260" s="6" t="str">
        <f t="shared" si="130"/>
        <v>Muy alto en grasas</v>
      </c>
      <c r="BU260" s="18" t="str">
        <f t="shared" si="139"/>
        <v>Equilibrio de líquidos ideal</v>
      </c>
      <c r="BV260" s="18" t="str">
        <f t="shared" si="140"/>
        <v>Alta fuente de magnesio</v>
      </c>
      <c r="BW260" s="18" t="str">
        <f t="shared" si="141"/>
        <v>Sin aporte de Omega 3</v>
      </c>
      <c r="BX260" s="18" t="str">
        <f t="shared" si="142"/>
        <v>Libre de grasas trans</v>
      </c>
      <c r="BY260" s="18" t="str">
        <f t="shared" si="143"/>
        <v>Bajo poder antioxidante</v>
      </c>
      <c r="BZ260" s="6" t="str">
        <f t="shared" si="131"/>
        <v>Sin probióticos</v>
      </c>
      <c r="CA260" s="18" t="str">
        <f t="shared" si="144"/>
        <v>Altamente inflamatorio</v>
      </c>
      <c r="CB260" s="18" t="str">
        <f>IF(ISNUMBER(SEARCH("miel", D260)), "No irritante (Uso condicionado SII)", IF(OR(J260&gt;0, ISNUMBER(SEARCH("cacao", D260)), ISNUMBER(SEARCH("chocolate puro", D260))), "Altamente irritante", IF(OR(AND(O260&gt;15, BI260&gt;1), ISNUMBER(SEARCH("chocolate", D260))), "Moderadamente irritante", "No irritante")))</f>
        <v>Altamente irritante</v>
      </c>
      <c r="CC260" s="6" t="str">
        <f t="shared" si="132"/>
        <v>Sin Omega 3 para evaluar</v>
      </c>
    </row>
    <row r="261" spans="1:81" ht="15" customHeight="1" x14ac:dyDescent="0.3">
      <c r="A261" s="2">
        <f t="shared" si="133"/>
        <v>260</v>
      </c>
      <c r="B261" s="3" t="s">
        <v>385</v>
      </c>
      <c r="C261" s="3" t="s">
        <v>386</v>
      </c>
      <c r="D261" s="3" t="s">
        <v>390</v>
      </c>
      <c r="E261" s="3"/>
      <c r="F261" s="4">
        <v>1.5</v>
      </c>
      <c r="G261" s="5">
        <v>1</v>
      </c>
      <c r="H261" s="5">
        <v>0.28999999999999998</v>
      </c>
      <c r="I261" s="5">
        <v>0.4</v>
      </c>
      <c r="J261" s="5">
        <v>4.2</v>
      </c>
      <c r="K261" s="5">
        <v>0.3</v>
      </c>
      <c r="L261" s="5">
        <v>159</v>
      </c>
      <c r="M261" s="5">
        <v>2</v>
      </c>
      <c r="N261" s="5">
        <v>3.7</v>
      </c>
      <c r="O261" s="5">
        <v>53</v>
      </c>
      <c r="P261" s="5">
        <v>0</v>
      </c>
      <c r="Q261" s="5">
        <v>140</v>
      </c>
      <c r="R261" s="5">
        <v>590</v>
      </c>
      <c r="S261" s="5">
        <v>7.2</v>
      </c>
      <c r="T261" s="5">
        <v>12</v>
      </c>
      <c r="U261" s="5">
        <v>3.8</v>
      </c>
      <c r="V261" s="5">
        <v>16</v>
      </c>
      <c r="W261" s="5">
        <v>51</v>
      </c>
      <c r="X261" s="5">
        <v>138</v>
      </c>
      <c r="Y261" s="5">
        <v>0.13</v>
      </c>
      <c r="Z261" s="5">
        <v>0.35</v>
      </c>
      <c r="AA261" s="5">
        <v>19</v>
      </c>
      <c r="AB261" s="5">
        <v>353</v>
      </c>
      <c r="AC261" s="5">
        <v>51.7</v>
      </c>
      <c r="AD261" s="5">
        <v>0</v>
      </c>
      <c r="AE261" s="5">
        <v>16.100000000000001</v>
      </c>
      <c r="AF261" s="5">
        <v>0.3</v>
      </c>
      <c r="AG261" s="5">
        <v>0</v>
      </c>
      <c r="AH261" s="5">
        <v>0.3</v>
      </c>
      <c r="AI261" s="5">
        <v>0</v>
      </c>
      <c r="AJ261" s="5">
        <v>0</v>
      </c>
      <c r="AK261" s="5">
        <v>31.9</v>
      </c>
      <c r="AL261" s="5">
        <v>8.6</v>
      </c>
      <c r="AM261" s="5">
        <v>12.3</v>
      </c>
      <c r="AN261" s="5">
        <v>5.7</v>
      </c>
      <c r="AO261" s="5">
        <v>1260</v>
      </c>
      <c r="AP261" s="5">
        <v>886</v>
      </c>
      <c r="AQ261" s="5">
        <v>881</v>
      </c>
      <c r="AR261" s="5">
        <v>29</v>
      </c>
      <c r="AS261" s="5">
        <v>5.6</v>
      </c>
      <c r="AT261" s="5">
        <v>5.5</v>
      </c>
      <c r="AU261" s="5">
        <v>2</v>
      </c>
      <c r="AV261" s="5">
        <f>IFERROR(VLOOKUP(IFERROR(VLOOKUP(D261,Mapa_Similitud!$A$2:$B$2000,2,FALSE()),D261),Hoja1!$A$2:$K$1000,2,FALSE()),IFERROR(VLOOKUP(IFERROR(VLOOKUP(D261,Mapa_Similitud!$A$2:$B$2000,2,FALSE()),D261),Omega3_Referencia!$A$2:$E$100,3,FALSE()),0))</f>
        <v>0.03</v>
      </c>
      <c r="AW261" s="3" t="str">
        <f>IFERROR(VLOOKUP(IFERROR(VLOOKUP(D261,Mapa_Similitud!$A$2:$B$2000,2,FALSE()),D261),Hoja1!$A$2:$K$1000,3,FALSE()),IFERROR(VLOOKUP(IFERROR(VLOOKUP(D261,Mapa_Similitud!$A$2:$B$2000,2,FALSE()),D261),Omega3_Referencia!$A$2:$E$100,4,FALSE()),"N/A"))</f>
        <v>DHA</v>
      </c>
      <c r="AX261" s="5">
        <f>IFERROR(VLOOKUP(IFERROR(VLOOKUP(D261,Mapa_Similitud!$A$2:$B$2000,2,FALSE()),D261),Hoja1!$A$2:$K$1000,5,FALSE()),0)</f>
        <v>0</v>
      </c>
      <c r="AY261" s="5">
        <f>IFERROR(VLOOKUP(IFERROR(VLOOKUP(D261,Mapa_Similitud!$A$2:$B$2000,2,FALSE()),D261),Hoja1!$A$2:$K$1000,7,FALSE()),0)</f>
        <v>0</v>
      </c>
      <c r="AZ261" s="5">
        <f>IFERROR(VLOOKUP(IFERROR(VLOOKUP(D261,Mapa_Similitud!$A$2:$B$2000,2,FALSE()),D261),Hoja1!$A$2:$K$1000,9,FALSE()),0)</f>
        <v>0</v>
      </c>
      <c r="BA261" s="25">
        <f t="shared" si="116"/>
        <v>1.0344827586206897</v>
      </c>
      <c r="BB261" s="25">
        <f t="shared" si="117"/>
        <v>0</v>
      </c>
      <c r="BC261" s="25">
        <f t="shared" si="118"/>
        <v>110</v>
      </c>
      <c r="BD261" s="25">
        <f t="shared" si="119"/>
        <v>42.413793103448285</v>
      </c>
      <c r="BE261" s="25">
        <f t="shared" si="120"/>
        <v>3037.9310344827586</v>
      </c>
      <c r="BF261" s="25">
        <f t="shared" si="121"/>
        <v>2.0338983050847456E-2</v>
      </c>
      <c r="BG261" s="25">
        <f t="shared" si="122"/>
        <v>3.7093023255813953</v>
      </c>
      <c r="BH261" s="25">
        <f t="shared" si="123"/>
        <v>4.2142857142857144</v>
      </c>
      <c r="BI261" s="25">
        <f t="shared" si="124"/>
        <v>30.379310344827587</v>
      </c>
      <c r="BJ261" s="25">
        <f t="shared" si="125"/>
        <v>2.3270440251572329E-2</v>
      </c>
      <c r="BK261" s="25">
        <f t="shared" si="126"/>
        <v>0</v>
      </c>
      <c r="BL261" s="25">
        <f t="shared" si="127"/>
        <v>4344.8275862068967</v>
      </c>
      <c r="BM261" s="25">
        <f t="shared" si="128"/>
        <v>3055.1724137931037</v>
      </c>
      <c r="BN261" s="18" t="str">
        <f t="shared" si="134"/>
        <v>Muy alta fuente de proteína</v>
      </c>
      <c r="BO261" s="18" t="str">
        <f t="shared" si="135"/>
        <v>Baja fuente de fibra</v>
      </c>
      <c r="BP261" s="18" t="str">
        <f t="shared" si="136"/>
        <v>Alta fuente de calcio</v>
      </c>
      <c r="BQ261" s="18" t="str">
        <f t="shared" si="137"/>
        <v>Alta fuente de hierro</v>
      </c>
      <c r="BR261" s="18" t="str">
        <f t="shared" si="138"/>
        <v>Muy alto en sodio</v>
      </c>
      <c r="BS261" s="6" t="str">
        <f t="shared" si="129"/>
        <v>Proinflamatorio</v>
      </c>
      <c r="BT261" s="6" t="str">
        <f t="shared" si="130"/>
        <v>Muy alto en grasas</v>
      </c>
      <c r="BU261" s="18" t="str">
        <f t="shared" si="139"/>
        <v>Alto riesgo de retención de líquidos</v>
      </c>
      <c r="BV261" s="18" t="str">
        <f t="shared" si="140"/>
        <v>Alta fuente de magnesio</v>
      </c>
      <c r="BW261" s="18" t="str">
        <f t="shared" si="141"/>
        <v>Sin aporte de Omega 3</v>
      </c>
      <c r="BX261" s="18" t="str">
        <f t="shared" si="142"/>
        <v>Libre de grasas trans</v>
      </c>
      <c r="BY261" s="18" t="str">
        <f t="shared" si="143"/>
        <v>Bajo poder antioxidante</v>
      </c>
      <c r="BZ261" s="6" t="str">
        <f t="shared" si="131"/>
        <v>Sin probióticos</v>
      </c>
      <c r="CA261" s="18" t="str">
        <f t="shared" si="144"/>
        <v>Altamente inflamatorio</v>
      </c>
      <c r="CB261" s="18" t="str">
        <f>IF(ISNUMBER(SEARCH("miel", D261)), "No irritante (Uso condicionado SII)", IF(OR(J261&gt;0, ISNUMBER(SEARCH("cacao", D261)), ISNUMBER(SEARCH("chocolate puro", D261))), "Altamente irritante", IF(OR(AND(O261&gt;15, BI261&gt;1), ISNUMBER(SEARCH("chocolate", D261))), "Moderadamente irritante", "No irritante")))</f>
        <v>Altamente irritante</v>
      </c>
      <c r="CC261" s="6" t="str">
        <f t="shared" si="132"/>
        <v>Exceso relativo de Omega 6</v>
      </c>
    </row>
    <row r="262" spans="1:81" ht="15" customHeight="1" x14ac:dyDescent="0.3">
      <c r="A262" s="2">
        <f t="shared" si="133"/>
        <v>261</v>
      </c>
      <c r="B262" s="3" t="s">
        <v>391</v>
      </c>
      <c r="C262" s="3" t="s">
        <v>392</v>
      </c>
      <c r="D262" s="3" t="s">
        <v>393</v>
      </c>
      <c r="E262" s="3"/>
      <c r="F262" s="4">
        <v>1.5</v>
      </c>
      <c r="G262" s="5">
        <v>0.74</v>
      </c>
      <c r="H262" s="5">
        <v>217</v>
      </c>
      <c r="I262" s="5">
        <v>65.7</v>
      </c>
      <c r="J262" s="5">
        <v>0</v>
      </c>
      <c r="K262" s="5">
        <v>18.3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16</v>
      </c>
      <c r="R262" s="5">
        <v>4.4000000000000004</v>
      </c>
      <c r="S262" s="5">
        <v>6.3</v>
      </c>
      <c r="T262" s="5">
        <v>3.3</v>
      </c>
      <c r="U262" s="5">
        <v>77</v>
      </c>
      <c r="V262" s="5">
        <v>44</v>
      </c>
      <c r="W262" s="5">
        <v>44</v>
      </c>
      <c r="X262" s="5">
        <v>0</v>
      </c>
      <c r="Y262" s="5">
        <v>0.1</v>
      </c>
      <c r="Z262" s="5">
        <v>0.3</v>
      </c>
      <c r="AA262" s="5">
        <v>1</v>
      </c>
      <c r="AB262" s="5">
        <v>4.8000000000000001E-2</v>
      </c>
      <c r="AC262" s="5">
        <v>8.7999999999999995E-2</v>
      </c>
      <c r="AD262" s="5">
        <v>9.1999999999999993</v>
      </c>
      <c r="AE262" s="5">
        <v>4</v>
      </c>
      <c r="AF262" s="5">
        <v>4</v>
      </c>
      <c r="AG262" s="5">
        <v>0.32</v>
      </c>
      <c r="AH262" s="5">
        <v>0.77</v>
      </c>
      <c r="AI262" s="5">
        <v>0</v>
      </c>
      <c r="AJ262" s="5">
        <v>0.7</v>
      </c>
      <c r="AK262" s="5">
        <v>12</v>
      </c>
      <c r="AL262" s="5">
        <v>132</v>
      </c>
      <c r="AM262" s="5">
        <v>0.95</v>
      </c>
      <c r="AN262" s="5">
        <v>6.9</v>
      </c>
      <c r="AO262" s="5">
        <v>1.3</v>
      </c>
      <c r="AP262" s="5">
        <v>18</v>
      </c>
      <c r="AQ262" s="5">
        <v>73</v>
      </c>
      <c r="AR262" s="5">
        <v>156</v>
      </c>
      <c r="AS262" s="5">
        <v>1.7999999999999999E-2</v>
      </c>
      <c r="AT262" s="5">
        <v>4.1000000000000002E-2</v>
      </c>
      <c r="AU262" s="5">
        <v>15.5</v>
      </c>
      <c r="AV262" s="5">
        <f>IFERROR(VLOOKUP(IFERROR(VLOOKUP(D262,Mapa_Similitud!$A$2:$B$2000,2,FALSE()),D262),Hoja1!$A$2:$K$1000,2,FALSE()),IFERROR(VLOOKUP(IFERROR(VLOOKUP(D262,Mapa_Similitud!$A$2:$B$2000,2,FALSE()),D262),Omega3_Referencia!$A$2:$E$100,3,FALSE()),0))</f>
        <v>0.04</v>
      </c>
      <c r="AW262" s="3" t="str">
        <f>IFERROR(VLOOKUP(IFERROR(VLOOKUP(D262,Mapa_Similitud!$A$2:$B$2000,2,FALSE()),D262),Hoja1!$A$2:$K$1000,3,FALSE()),IFERROR(VLOOKUP(IFERROR(VLOOKUP(D262,Mapa_Similitud!$A$2:$B$2000,2,FALSE()),D262),Omega3_Referencia!$A$2:$E$100,4,FALSE()),"N/A"))</f>
        <v>ALA</v>
      </c>
      <c r="AX262" s="5">
        <f>IFERROR(VLOOKUP(IFERROR(VLOOKUP(D262,Mapa_Similitud!$A$2:$B$2000,2,FALSE()),D262),Hoja1!$A$2:$K$1000,5,FALSE()),0)</f>
        <v>0.1</v>
      </c>
      <c r="AY262" s="5">
        <f>IFERROR(VLOOKUP(IFERROR(VLOOKUP(D262,Mapa_Similitud!$A$2:$B$2000,2,FALSE()),D262),Hoja1!$A$2:$K$1000,7,FALSE()),0)</f>
        <v>0</v>
      </c>
      <c r="AZ262" s="5">
        <f>IFERROR(VLOOKUP(IFERROR(VLOOKUP(D262,Mapa_Similitud!$A$2:$B$2000,2,FALSE()),D262),Hoja1!$A$2:$K$1000,9,FALSE()),0)</f>
        <v>0</v>
      </c>
      <c r="BA262" s="25">
        <f t="shared" si="116"/>
        <v>8.4331797235023043E-2</v>
      </c>
      <c r="BB262" s="25">
        <f t="shared" si="117"/>
        <v>0</v>
      </c>
      <c r="BC262" s="25">
        <f t="shared" si="118"/>
        <v>5.5299539170506916E-2</v>
      </c>
      <c r="BD262" s="25">
        <f t="shared" si="119"/>
        <v>4.377880184331797E-3</v>
      </c>
      <c r="BE262" s="25">
        <f t="shared" si="120"/>
        <v>0.33640552995391704</v>
      </c>
      <c r="BF262" s="25">
        <f t="shared" si="121"/>
        <v>0.74999999999999989</v>
      </c>
      <c r="BG262" s="25">
        <f t="shared" si="122"/>
        <v>9.0909090909090912E-2</v>
      </c>
      <c r="BH262" s="25">
        <f t="shared" si="123"/>
        <v>0.27500000000000002</v>
      </c>
      <c r="BI262" s="25">
        <f t="shared" si="124"/>
        <v>0.46794871794871795</v>
      </c>
      <c r="BJ262" s="25">
        <f t="shared" si="125"/>
        <v>0</v>
      </c>
      <c r="BK262" s="25">
        <f t="shared" si="126"/>
        <v>0</v>
      </c>
      <c r="BL262" s="25">
        <f t="shared" si="127"/>
        <v>0.66359447004608296</v>
      </c>
      <c r="BM262" s="25">
        <f t="shared" si="128"/>
        <v>8.294930875576037E-2</v>
      </c>
      <c r="BN262" s="18" t="str">
        <f t="shared" si="134"/>
        <v>Baja fuente de proteína</v>
      </c>
      <c r="BO262" s="18" t="str">
        <f t="shared" si="135"/>
        <v>Baja fuente de fibra</v>
      </c>
      <c r="BP262" s="18" t="str">
        <f t="shared" si="136"/>
        <v>Baja fuente de calcio</v>
      </c>
      <c r="BQ262" s="18" t="str">
        <f t="shared" si="137"/>
        <v>Baja fuente de hierro</v>
      </c>
      <c r="BR262" s="18" t="str">
        <f t="shared" si="138"/>
        <v>Bajo en sodio</v>
      </c>
      <c r="BS262" s="6" t="str">
        <f t="shared" si="129"/>
        <v>Neutro</v>
      </c>
      <c r="BT262" s="6" t="str">
        <f t="shared" si="130"/>
        <v>Muy alto en grasas</v>
      </c>
      <c r="BU262" s="18" t="str">
        <f t="shared" si="139"/>
        <v>Equilibrio de líquidos ideal</v>
      </c>
      <c r="BV262" s="18" t="str">
        <f t="shared" si="140"/>
        <v>Baja fuente de magnesio</v>
      </c>
      <c r="BW262" s="18" t="str">
        <f t="shared" si="141"/>
        <v>Sin aporte de Omega 3</v>
      </c>
      <c r="BX262" s="18" t="str">
        <f t="shared" si="142"/>
        <v>Contiene grasas trans</v>
      </c>
      <c r="BY262" s="18" t="str">
        <f t="shared" si="143"/>
        <v>Bajo poder antioxidante</v>
      </c>
      <c r="BZ262" s="6" t="str">
        <f t="shared" si="131"/>
        <v>Sin probióticos</v>
      </c>
      <c r="CA262" s="18" t="str">
        <f t="shared" si="144"/>
        <v>Moderadamente inflamatorio</v>
      </c>
      <c r="CB262" s="18" t="str">
        <f>IF(ISNUMBER(SEARCH("miel", D262)), "No irritante (Uso condicionado SII)", IF(OR(J262&gt;0, ISNUMBER(SEARCH("cacao", D262)), ISNUMBER(SEARCH("chocolate puro", D262))), "Altamente irritante", IF(OR(AND(O262&gt;15, BI262&gt;1), ISNUMBER(SEARCH("chocolate", D262))), "Moderadamente irritante", "No irritante")))</f>
        <v>No irritante</v>
      </c>
      <c r="CC262" s="6" t="str">
        <f t="shared" si="132"/>
        <v>Exceso relativo de Omega 6</v>
      </c>
    </row>
    <row r="263" spans="1:81" ht="15" customHeight="1" x14ac:dyDescent="0.3">
      <c r="A263" s="2">
        <f t="shared" si="133"/>
        <v>262</v>
      </c>
      <c r="B263" s="3" t="s">
        <v>391</v>
      </c>
      <c r="C263" s="3" t="s">
        <v>392</v>
      </c>
      <c r="D263" s="3" t="s">
        <v>394</v>
      </c>
      <c r="E263" s="3"/>
      <c r="F263" s="4">
        <v>4.5</v>
      </c>
      <c r="G263" s="5">
        <v>0.7</v>
      </c>
      <c r="H263" s="5">
        <v>110</v>
      </c>
      <c r="I263" s="5">
        <v>75.3</v>
      </c>
      <c r="J263" s="5">
        <v>0</v>
      </c>
      <c r="K263" s="5">
        <v>22.4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2.2999999999999998</v>
      </c>
      <c r="R263" s="5">
        <v>0.77</v>
      </c>
      <c r="S263" s="5">
        <v>0.6</v>
      </c>
      <c r="T263" s="5">
        <v>0.55000000000000004</v>
      </c>
      <c r="U263" s="5">
        <v>76</v>
      </c>
      <c r="V263" s="5">
        <v>17</v>
      </c>
      <c r="W263" s="5">
        <v>17</v>
      </c>
      <c r="X263" s="5">
        <v>0</v>
      </c>
      <c r="Y263" s="5">
        <v>0</v>
      </c>
      <c r="Z263" s="5">
        <v>0.01</v>
      </c>
      <c r="AA263" s="5">
        <v>6</v>
      </c>
      <c r="AB263" s="5">
        <v>0.14000000000000001</v>
      </c>
      <c r="AC263" s="5">
        <v>0.18</v>
      </c>
      <c r="AD263" s="5">
        <v>12</v>
      </c>
      <c r="AE263" s="5">
        <v>0.67</v>
      </c>
      <c r="AF263" s="5">
        <v>8</v>
      </c>
      <c r="AG263" s="5">
        <v>0.43</v>
      </c>
      <c r="AH263" s="5">
        <v>0.66</v>
      </c>
      <c r="AI263" s="5">
        <v>0</v>
      </c>
      <c r="AJ263" s="5">
        <v>6.1</v>
      </c>
      <c r="AK263" s="5">
        <v>15</v>
      </c>
      <c r="AL263" s="5">
        <v>179</v>
      </c>
      <c r="AM263" s="5">
        <v>4</v>
      </c>
      <c r="AN263" s="5">
        <v>2</v>
      </c>
      <c r="AO263" s="5">
        <v>0.1</v>
      </c>
      <c r="AP263" s="5">
        <v>31</v>
      </c>
      <c r="AQ263" s="5">
        <v>47</v>
      </c>
      <c r="AR263" s="5">
        <v>281</v>
      </c>
      <c r="AS263" s="5">
        <v>1.9E-2</v>
      </c>
      <c r="AT263" s="5">
        <v>0.5</v>
      </c>
      <c r="AU263" s="5">
        <v>16.600000000000001</v>
      </c>
      <c r="AV263" s="5">
        <f>IFERROR(VLOOKUP(IFERROR(VLOOKUP(D263,Mapa_Similitud!$A$2:$B$2000,2,FALSE()),D263),Hoja1!$A$2:$K$1000,2,FALSE()),IFERROR(VLOOKUP(IFERROR(VLOOKUP(D263,Mapa_Similitud!$A$2:$B$2000,2,FALSE()),D263),Omega3_Referencia!$A$2:$E$100,3,FALSE()),0))</f>
        <v>0.03</v>
      </c>
      <c r="AW263" s="3" t="str">
        <f>IFERROR(VLOOKUP(IFERROR(VLOOKUP(D263,Mapa_Similitud!$A$2:$B$2000,2,FALSE()),D263),Hoja1!$A$2:$K$1000,3,FALSE()),IFERROR(VLOOKUP(IFERROR(VLOOKUP(D263,Mapa_Similitud!$A$2:$B$2000,2,FALSE()),D263),Omega3_Referencia!$A$2:$E$100,4,FALSE()),"N/A"))</f>
        <v>ALA</v>
      </c>
      <c r="AX263" s="5">
        <f>IFERROR(VLOOKUP(IFERROR(VLOOKUP(D263,Mapa_Similitud!$A$2:$B$2000,2,FALSE()),D263),Hoja1!$A$2:$K$1000,5,FALSE()),0)</f>
        <v>0.1</v>
      </c>
      <c r="AY263" s="5">
        <f>IFERROR(VLOOKUP(IFERROR(VLOOKUP(D263,Mapa_Similitud!$A$2:$B$2000,2,FALSE()),D263),Hoja1!$A$2:$K$1000,7,FALSE()),0)</f>
        <v>0</v>
      </c>
      <c r="AZ263" s="5">
        <f>IFERROR(VLOOKUP(IFERROR(VLOOKUP(D263,Mapa_Similitud!$A$2:$B$2000,2,FALSE()),D263),Hoja1!$A$2:$K$1000,9,FALSE()),0)</f>
        <v>0</v>
      </c>
      <c r="BA263" s="25">
        <f t="shared" si="116"/>
        <v>0.20363636363636362</v>
      </c>
      <c r="BB263" s="25">
        <f t="shared" si="117"/>
        <v>0</v>
      </c>
      <c r="BC263" s="25">
        <f t="shared" si="118"/>
        <v>0.13636363636363635</v>
      </c>
      <c r="BD263" s="25">
        <f t="shared" si="119"/>
        <v>3.6363636363636362E-2</v>
      </c>
      <c r="BE263" s="25">
        <f t="shared" si="120"/>
        <v>0.42727272727272725</v>
      </c>
      <c r="BF263" s="25">
        <f t="shared" si="121"/>
        <v>0.7142857142857143</v>
      </c>
      <c r="BG263" s="25">
        <f t="shared" si="122"/>
        <v>8.3798882681564241E-2</v>
      </c>
      <c r="BH263" s="25">
        <f t="shared" si="123"/>
        <v>0.33478260869565218</v>
      </c>
      <c r="BI263" s="25">
        <f t="shared" si="124"/>
        <v>0.16725978647686832</v>
      </c>
      <c r="BJ263" s="25">
        <f t="shared" si="125"/>
        <v>0</v>
      </c>
      <c r="BK263" s="25">
        <f t="shared" si="126"/>
        <v>0</v>
      </c>
      <c r="BL263" s="25">
        <f t="shared" si="127"/>
        <v>0.18818181818181817</v>
      </c>
      <c r="BM263" s="25">
        <f t="shared" si="128"/>
        <v>0.2818181818181818</v>
      </c>
      <c r="BN263" s="18" t="str">
        <f t="shared" si="134"/>
        <v>Muy alta fuente de proteína</v>
      </c>
      <c r="BO263" s="18" t="str">
        <f t="shared" si="135"/>
        <v>Baja fuente de fibra</v>
      </c>
      <c r="BP263" s="18" t="str">
        <f t="shared" si="136"/>
        <v>Baja fuente de calcio</v>
      </c>
      <c r="BQ263" s="18" t="str">
        <f t="shared" si="137"/>
        <v>Alta fuente de hierro</v>
      </c>
      <c r="BR263" s="18" t="str">
        <f t="shared" si="138"/>
        <v>Bajo en sodio</v>
      </c>
      <c r="BS263" s="6" t="str">
        <f t="shared" si="129"/>
        <v>Neutro</v>
      </c>
      <c r="BT263" s="6" t="str">
        <f t="shared" si="130"/>
        <v>Bajo en grasas</v>
      </c>
      <c r="BU263" s="18" t="str">
        <f t="shared" si="139"/>
        <v>Equilibrio de líquidos ideal</v>
      </c>
      <c r="BV263" s="18" t="str">
        <f t="shared" si="140"/>
        <v>Media fuente de magnesio</v>
      </c>
      <c r="BW263" s="18" t="str">
        <f t="shared" si="141"/>
        <v>Sin aporte de Omega 3</v>
      </c>
      <c r="BX263" s="18" t="str">
        <f t="shared" si="142"/>
        <v>Contiene grasas trans</v>
      </c>
      <c r="BY263" s="18" t="str">
        <f t="shared" si="143"/>
        <v>Bajo poder antioxidante</v>
      </c>
      <c r="BZ263" s="6" t="str">
        <f t="shared" si="131"/>
        <v>Sin probióticos</v>
      </c>
      <c r="CA263" s="18" t="str">
        <f t="shared" si="144"/>
        <v>Moderadamente inflamatorio</v>
      </c>
      <c r="CB263" s="18" t="str">
        <f>IF(ISNUMBER(SEARCH("miel", D263)), "No irritante (Uso condicionado SII)", IF(OR(J263&gt;0, ISNUMBER(SEARCH("cacao", D263)), ISNUMBER(SEARCH("chocolate puro", D263))), "Altamente irritante", IF(OR(AND(O263&gt;15, BI263&gt;1), ISNUMBER(SEARCH("chocolate", D263))), "Moderadamente irritante", "No irritante")))</f>
        <v>No irritante</v>
      </c>
      <c r="CC263" s="6" t="str">
        <f t="shared" si="132"/>
        <v>Exceso relativo de Omega 6</v>
      </c>
    </row>
    <row r="264" spans="1:81" ht="15" customHeight="1" x14ac:dyDescent="0.3">
      <c r="A264" s="2">
        <f t="shared" si="133"/>
        <v>263</v>
      </c>
      <c r="B264" s="3" t="s">
        <v>391</v>
      </c>
      <c r="C264" s="3" t="s">
        <v>392</v>
      </c>
      <c r="D264" s="3" t="s">
        <v>395</v>
      </c>
      <c r="E264" s="3"/>
      <c r="F264" s="4">
        <v>1.2</v>
      </c>
      <c r="G264" s="5">
        <v>0.72</v>
      </c>
      <c r="H264" s="5">
        <v>232</v>
      </c>
      <c r="I264" s="5">
        <v>64.599999999999994</v>
      </c>
      <c r="J264" s="5">
        <v>0</v>
      </c>
      <c r="K264" s="5">
        <v>17.3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18.100000000000001</v>
      </c>
      <c r="R264" s="5">
        <v>5.0999999999999996</v>
      </c>
      <c r="S264" s="5">
        <v>7.4</v>
      </c>
      <c r="T264" s="5">
        <v>3.9</v>
      </c>
      <c r="U264" s="5">
        <v>72</v>
      </c>
      <c r="V264" s="5">
        <v>32</v>
      </c>
      <c r="W264" s="5">
        <v>32</v>
      </c>
      <c r="X264" s="5">
        <v>0</v>
      </c>
      <c r="Y264" s="5">
        <v>0.1</v>
      </c>
      <c r="Z264" s="5">
        <v>0.3</v>
      </c>
      <c r="AA264" s="5">
        <v>0.1</v>
      </c>
      <c r="AB264" s="5">
        <v>0.09</v>
      </c>
      <c r="AC264" s="5">
        <v>0.14000000000000001</v>
      </c>
      <c r="AD264" s="5">
        <v>6.4</v>
      </c>
      <c r="AE264" s="5">
        <v>0.32</v>
      </c>
      <c r="AF264" s="5">
        <v>8</v>
      </c>
      <c r="AG264" s="5">
        <v>0.31</v>
      </c>
      <c r="AH264" s="5">
        <v>0.96</v>
      </c>
      <c r="AI264" s="5">
        <v>0</v>
      </c>
      <c r="AJ264" s="5">
        <v>2</v>
      </c>
      <c r="AK264" s="5">
        <v>10</v>
      </c>
      <c r="AL264" s="5">
        <v>179</v>
      </c>
      <c r="AM264" s="5">
        <v>1</v>
      </c>
      <c r="AN264" s="5">
        <v>6.9</v>
      </c>
      <c r="AO264" s="5">
        <v>1</v>
      </c>
      <c r="AP264" s="5">
        <v>18.7</v>
      </c>
      <c r="AQ264" s="5">
        <v>61</v>
      </c>
      <c r="AR264" s="5">
        <v>196</v>
      </c>
      <c r="AS264" s="5">
        <v>0.02</v>
      </c>
      <c r="AT264" s="5">
        <v>0.04</v>
      </c>
      <c r="AU264" s="5">
        <v>10</v>
      </c>
      <c r="AV264" s="5">
        <f>IFERROR(VLOOKUP(IFERROR(VLOOKUP(D264,Mapa_Similitud!$A$2:$B$2000,2,FALSE()),D264),Hoja1!$A$2:$K$1000,2,FALSE()),IFERROR(VLOOKUP(IFERROR(VLOOKUP(D264,Mapa_Similitud!$A$2:$B$2000,2,FALSE()),D264),Omega3_Referencia!$A$2:$E$100,3,FALSE()),0))</f>
        <v>0.05</v>
      </c>
      <c r="AW264" s="3" t="str">
        <f>IFERROR(VLOOKUP(IFERROR(VLOOKUP(D264,Mapa_Similitud!$A$2:$B$2000,2,FALSE()),D264),Hoja1!$A$2:$K$1000,3,FALSE()),IFERROR(VLOOKUP(IFERROR(VLOOKUP(D264,Mapa_Similitud!$A$2:$B$2000,2,FALSE()),D264),Omega3_Referencia!$A$2:$E$100,4,FALSE()),"N/A"))</f>
        <v>ALA</v>
      </c>
      <c r="AX264" s="5">
        <f>IFERROR(VLOOKUP(IFERROR(VLOOKUP(D264,Mapa_Similitud!$A$2:$B$2000,2,FALSE()),D264),Hoja1!$A$2:$K$1000,5,FALSE()),0)</f>
        <v>0.1</v>
      </c>
      <c r="AY264" s="5">
        <f>IFERROR(VLOOKUP(IFERROR(VLOOKUP(D264,Mapa_Similitud!$A$2:$B$2000,2,FALSE()),D264),Hoja1!$A$2:$K$1000,7,FALSE()),0)</f>
        <v>0</v>
      </c>
      <c r="AZ264" s="5">
        <f>IFERROR(VLOOKUP(IFERROR(VLOOKUP(D264,Mapa_Similitud!$A$2:$B$2000,2,FALSE()),D264),Hoja1!$A$2:$K$1000,9,FALSE()),0)</f>
        <v>0</v>
      </c>
      <c r="BA264" s="25">
        <f t="shared" si="116"/>
        <v>7.4568965517241376E-2</v>
      </c>
      <c r="BB264" s="25">
        <f t="shared" si="117"/>
        <v>0</v>
      </c>
      <c r="BC264" s="25">
        <f t="shared" si="118"/>
        <v>4.3103448275862072E-2</v>
      </c>
      <c r="BD264" s="25">
        <f t="shared" si="119"/>
        <v>4.3103448275862068E-3</v>
      </c>
      <c r="BE264" s="25">
        <f t="shared" si="120"/>
        <v>0.26293103448275862</v>
      </c>
      <c r="BF264" s="25">
        <f t="shared" si="121"/>
        <v>0.76470588235294124</v>
      </c>
      <c r="BG264" s="25">
        <f t="shared" si="122"/>
        <v>5.5865921787709494E-2</v>
      </c>
      <c r="BH264" s="25">
        <f t="shared" si="123"/>
        <v>0.28176795580110492</v>
      </c>
      <c r="BI264" s="25">
        <f t="shared" si="124"/>
        <v>0.31122448979591838</v>
      </c>
      <c r="BJ264" s="25">
        <f t="shared" si="125"/>
        <v>0</v>
      </c>
      <c r="BK264" s="25">
        <f t="shared" si="126"/>
        <v>0</v>
      </c>
      <c r="BL264" s="25">
        <f t="shared" si="127"/>
        <v>0.7021551724137931</v>
      </c>
      <c r="BM264" s="25">
        <f t="shared" si="128"/>
        <v>8.0603448275862064E-2</v>
      </c>
      <c r="BN264" s="18" t="str">
        <f t="shared" si="134"/>
        <v>Baja fuente de proteína</v>
      </c>
      <c r="BO264" s="18" t="str">
        <f t="shared" si="135"/>
        <v>Baja fuente de fibra</v>
      </c>
      <c r="BP264" s="18" t="str">
        <f t="shared" si="136"/>
        <v>Baja fuente de calcio</v>
      </c>
      <c r="BQ264" s="18" t="str">
        <f t="shared" si="137"/>
        <v>Baja fuente de hierro</v>
      </c>
      <c r="BR264" s="18" t="str">
        <f t="shared" si="138"/>
        <v>Bajo en sodio</v>
      </c>
      <c r="BS264" s="6" t="str">
        <f t="shared" si="129"/>
        <v>Neutro</v>
      </c>
      <c r="BT264" s="6" t="str">
        <f t="shared" si="130"/>
        <v>Muy alto en grasas</v>
      </c>
      <c r="BU264" s="18" t="str">
        <f t="shared" si="139"/>
        <v>Equilibrio de líquidos ideal</v>
      </c>
      <c r="BV264" s="18" t="str">
        <f t="shared" si="140"/>
        <v>Baja fuente de magnesio</v>
      </c>
      <c r="BW264" s="18" t="str">
        <f t="shared" si="141"/>
        <v>Sin aporte de Omega 3</v>
      </c>
      <c r="BX264" s="18" t="str">
        <f t="shared" si="142"/>
        <v>Contiene grasas trans</v>
      </c>
      <c r="BY264" s="18" t="str">
        <f t="shared" si="143"/>
        <v>Bajo poder antioxidante</v>
      </c>
      <c r="BZ264" s="6" t="str">
        <f t="shared" si="131"/>
        <v>Sin probióticos</v>
      </c>
      <c r="CA264" s="18" t="str">
        <f t="shared" si="144"/>
        <v>Moderadamente inflamatorio</v>
      </c>
      <c r="CB264" s="18" t="str">
        <f>IF(ISNUMBER(SEARCH("miel", D264)), "No irritante (Uso condicionado SII)", IF(OR(J264&gt;0, ISNUMBER(SEARCH("cacao", D264)), ISNUMBER(SEARCH("chocolate puro", D264))), "Altamente irritante", IF(OR(AND(O264&gt;15, BI264&gt;1), ISNUMBER(SEARCH("chocolate", D264))), "Moderadamente irritante", "No irritante")))</f>
        <v>No irritante</v>
      </c>
      <c r="CC264" s="6" t="str">
        <f t="shared" si="132"/>
        <v>Exceso relativo de Omega 6</v>
      </c>
    </row>
    <row r="265" spans="1:81" ht="15" customHeight="1" x14ac:dyDescent="0.3">
      <c r="A265" s="2">
        <f t="shared" si="133"/>
        <v>264</v>
      </c>
      <c r="B265" s="3" t="s">
        <v>391</v>
      </c>
      <c r="C265" s="3" t="s">
        <v>392</v>
      </c>
      <c r="D265" s="3" t="s">
        <v>396</v>
      </c>
      <c r="E265" s="3"/>
      <c r="F265" s="4">
        <v>2.5</v>
      </c>
      <c r="G265" s="5">
        <v>0.81</v>
      </c>
      <c r="H265" s="5">
        <v>114</v>
      </c>
      <c r="I265" s="5">
        <v>75.900000000000006</v>
      </c>
      <c r="J265" s="5">
        <v>0</v>
      </c>
      <c r="K265" s="5">
        <v>20.5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3.6</v>
      </c>
      <c r="R265" s="5">
        <v>1.4</v>
      </c>
      <c r="S265" s="5">
        <v>0.85</v>
      </c>
      <c r="T265" s="5">
        <v>0.96</v>
      </c>
      <c r="U265" s="5">
        <v>72</v>
      </c>
      <c r="V265" s="5">
        <v>1</v>
      </c>
      <c r="W265" s="5">
        <v>1</v>
      </c>
      <c r="X265" s="5">
        <v>0</v>
      </c>
      <c r="Y265" s="5">
        <v>0</v>
      </c>
      <c r="Z265" s="5">
        <v>0</v>
      </c>
      <c r="AA265" s="5">
        <v>7</v>
      </c>
      <c r="AB265" s="5">
        <v>0.09</v>
      </c>
      <c r="AC265" s="5">
        <v>0.18</v>
      </c>
      <c r="AD265" s="5">
        <v>6.6</v>
      </c>
      <c r="AE265" s="5">
        <v>0.34</v>
      </c>
      <c r="AF265" s="5">
        <v>20</v>
      </c>
      <c r="AG265" s="5">
        <v>1.7</v>
      </c>
      <c r="AH265" s="5">
        <v>1.1000000000000001</v>
      </c>
      <c r="AI265" s="5">
        <v>0</v>
      </c>
      <c r="AJ265" s="5">
        <v>0</v>
      </c>
      <c r="AK265" s="5">
        <v>17</v>
      </c>
      <c r="AL265" s="5">
        <v>177</v>
      </c>
      <c r="AM265" s="5">
        <v>2</v>
      </c>
      <c r="AN265" s="5">
        <v>2</v>
      </c>
      <c r="AO265" s="5">
        <v>2.4</v>
      </c>
      <c r="AP265" s="5">
        <v>17</v>
      </c>
      <c r="AQ265" s="5">
        <v>86</v>
      </c>
      <c r="AR265" s="5">
        <v>289</v>
      </c>
      <c r="AS265" s="5">
        <v>0.05</v>
      </c>
      <c r="AT265" s="5">
        <v>0.16</v>
      </c>
      <c r="AU265" s="5">
        <v>26.4</v>
      </c>
      <c r="AV265" s="5">
        <f>IFERROR(VLOOKUP(IFERROR(VLOOKUP(D265,Mapa_Similitud!$A$2:$B$2000,2,FALSE()),D265),Hoja1!$A$2:$K$1000,2,FALSE()),IFERROR(VLOOKUP(IFERROR(VLOOKUP(D265,Mapa_Similitud!$A$2:$B$2000,2,FALSE()),D265),Omega3_Referencia!$A$2:$E$100,3,FALSE()),0))</f>
        <v>0.03</v>
      </c>
      <c r="AW265" s="3" t="str">
        <f>IFERROR(VLOOKUP(IFERROR(VLOOKUP(D265,Mapa_Similitud!$A$2:$B$2000,2,FALSE()),D265),Hoja1!$A$2:$K$1000,3,FALSE()),IFERROR(VLOOKUP(IFERROR(VLOOKUP(D265,Mapa_Similitud!$A$2:$B$2000,2,FALSE()),D265),Omega3_Referencia!$A$2:$E$100,4,FALSE()),"N/A"))</f>
        <v>ALA</v>
      </c>
      <c r="AX265" s="5">
        <f>IFERROR(VLOOKUP(IFERROR(VLOOKUP(D265,Mapa_Similitud!$A$2:$B$2000,2,FALSE()),D265),Hoja1!$A$2:$K$1000,5,FALSE()),0)</f>
        <v>0.1</v>
      </c>
      <c r="AY265" s="5">
        <f>IFERROR(VLOOKUP(IFERROR(VLOOKUP(D265,Mapa_Similitud!$A$2:$B$2000,2,FALSE()),D265),Hoja1!$A$2:$K$1000,7,FALSE()),0)</f>
        <v>0</v>
      </c>
      <c r="AZ265" s="5">
        <f>IFERROR(VLOOKUP(IFERROR(VLOOKUP(D265,Mapa_Similitud!$A$2:$B$2000,2,FALSE()),D265),Hoja1!$A$2:$K$1000,9,FALSE()),0)</f>
        <v>0</v>
      </c>
      <c r="BA265" s="25">
        <f t="shared" si="116"/>
        <v>0.17982456140350878</v>
      </c>
      <c r="BB265" s="25">
        <f t="shared" si="117"/>
        <v>0</v>
      </c>
      <c r="BC265" s="25">
        <f t="shared" si="118"/>
        <v>0.14912280701754385</v>
      </c>
      <c r="BD265" s="25">
        <f t="shared" si="119"/>
        <v>1.7543859649122806E-2</v>
      </c>
      <c r="BE265" s="25">
        <f t="shared" si="120"/>
        <v>0.75438596491228072</v>
      </c>
      <c r="BF265" s="25">
        <f t="shared" si="121"/>
        <v>0.68571428571428572</v>
      </c>
      <c r="BG265" s="25">
        <f t="shared" si="122"/>
        <v>9.6045197740112997E-2</v>
      </c>
      <c r="BH265" s="25">
        <f t="shared" si="123"/>
        <v>0.38888888888888884</v>
      </c>
      <c r="BI265" s="25">
        <f t="shared" si="124"/>
        <v>0.29757785467128028</v>
      </c>
      <c r="BJ265" s="25">
        <f t="shared" si="125"/>
        <v>0</v>
      </c>
      <c r="BK265" s="25">
        <f t="shared" si="126"/>
        <v>0</v>
      </c>
      <c r="BL265" s="25">
        <f t="shared" si="127"/>
        <v>0.28421052631578947</v>
      </c>
      <c r="BM265" s="25">
        <f t="shared" si="128"/>
        <v>0.14912280701754385</v>
      </c>
      <c r="BN265" s="18" t="str">
        <f t="shared" si="134"/>
        <v>Alta fuente de proteína</v>
      </c>
      <c r="BO265" s="18" t="str">
        <f t="shared" si="135"/>
        <v>Baja fuente de fibra</v>
      </c>
      <c r="BP265" s="18" t="str">
        <f t="shared" si="136"/>
        <v>Baja fuente de calcio</v>
      </c>
      <c r="BQ265" s="18" t="str">
        <f t="shared" si="137"/>
        <v>Alta fuente de hierro</v>
      </c>
      <c r="BR265" s="18" t="str">
        <f t="shared" si="138"/>
        <v>Moderado en sodio</v>
      </c>
      <c r="BS265" s="6" t="str">
        <f t="shared" si="129"/>
        <v>Neutro</v>
      </c>
      <c r="BT265" s="6" t="str">
        <f t="shared" si="130"/>
        <v>Moderado en grasas</v>
      </c>
      <c r="BU265" s="18" t="str">
        <f t="shared" si="139"/>
        <v>Equilibrio de líquidos ideal</v>
      </c>
      <c r="BV265" s="18" t="str">
        <f t="shared" si="140"/>
        <v>Baja fuente de magnesio</v>
      </c>
      <c r="BW265" s="18" t="str">
        <f t="shared" si="141"/>
        <v>Sin aporte de Omega 3</v>
      </c>
      <c r="BX265" s="18" t="str">
        <f t="shared" si="142"/>
        <v>Contiene grasas trans</v>
      </c>
      <c r="BY265" s="18" t="str">
        <f t="shared" si="143"/>
        <v>Bajo poder antioxidante</v>
      </c>
      <c r="BZ265" s="6" t="str">
        <f t="shared" si="131"/>
        <v>Sin probióticos</v>
      </c>
      <c r="CA265" s="18" t="str">
        <f t="shared" si="144"/>
        <v>Moderadamente inflamatorio</v>
      </c>
      <c r="CB265" s="18" t="str">
        <f>IF(ISNUMBER(SEARCH("miel", D265)), "No irritante (Uso condicionado SII)", IF(OR(J265&gt;0, ISNUMBER(SEARCH("cacao", D265)), ISNUMBER(SEARCH("chocolate puro", D265))), "Altamente irritante", IF(OR(AND(O265&gt;15, BI265&gt;1), ISNUMBER(SEARCH("chocolate", D265))), "Moderadamente irritante", "No irritante")))</f>
        <v>No irritante</v>
      </c>
      <c r="CC265" s="6" t="str">
        <f t="shared" si="132"/>
        <v>Exceso relativo de Omega 6</v>
      </c>
    </row>
    <row r="266" spans="1:81" ht="15" customHeight="1" x14ac:dyDescent="0.3">
      <c r="A266" s="2">
        <f t="shared" si="133"/>
        <v>265</v>
      </c>
      <c r="B266" s="3" t="s">
        <v>391</v>
      </c>
      <c r="C266" s="3" t="s">
        <v>392</v>
      </c>
      <c r="D266" s="3" t="s">
        <v>397</v>
      </c>
      <c r="E266" s="3"/>
      <c r="F266" s="4">
        <v>1.4</v>
      </c>
      <c r="G266" s="5">
        <v>0.38</v>
      </c>
      <c r="H266" s="5">
        <v>183</v>
      </c>
      <c r="I266" s="5">
        <v>68.2</v>
      </c>
      <c r="J266" s="5">
        <v>0</v>
      </c>
      <c r="K266" s="5">
        <v>20.6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11.2</v>
      </c>
      <c r="R266" s="5">
        <v>3.7</v>
      </c>
      <c r="S266" s="5">
        <v>3.2</v>
      </c>
      <c r="T266" s="5">
        <v>2.6</v>
      </c>
      <c r="U266" s="5">
        <v>86</v>
      </c>
      <c r="V266" s="5">
        <v>0</v>
      </c>
      <c r="W266" s="5">
        <v>0</v>
      </c>
      <c r="X266" s="5">
        <v>0</v>
      </c>
      <c r="Y266" s="5">
        <v>0</v>
      </c>
      <c r="Z266" s="5">
        <v>0.1</v>
      </c>
      <c r="AA266" s="5">
        <v>1</v>
      </c>
      <c r="AB266" s="5">
        <v>0.1</v>
      </c>
      <c r="AC266" s="5">
        <v>0.24</v>
      </c>
      <c r="AD266" s="5">
        <v>9.4</v>
      </c>
      <c r="AE266" s="5">
        <v>0.25</v>
      </c>
      <c r="AF266" s="5">
        <v>11.4</v>
      </c>
      <c r="AG266" s="5">
        <v>0</v>
      </c>
      <c r="AH266" s="5">
        <v>0.84</v>
      </c>
      <c r="AI266" s="5">
        <v>0</v>
      </c>
      <c r="AJ266" s="5">
        <v>1.7</v>
      </c>
      <c r="AK266" s="5">
        <v>15</v>
      </c>
      <c r="AL266" s="5">
        <v>188</v>
      </c>
      <c r="AM266" s="5">
        <v>1.8</v>
      </c>
      <c r="AN266" s="5">
        <v>6.9</v>
      </c>
      <c r="AO266" s="5">
        <v>0.8</v>
      </c>
      <c r="AP266" s="5">
        <v>21</v>
      </c>
      <c r="AQ266" s="5">
        <v>95</v>
      </c>
      <c r="AR266" s="5">
        <v>250</v>
      </c>
      <c r="AS266" s="5">
        <v>2.1000000000000001E-2</v>
      </c>
      <c r="AT266" s="5">
        <v>6.3E-2</v>
      </c>
      <c r="AU266" s="5">
        <v>7.3</v>
      </c>
      <c r="AV266" s="5">
        <f>IFERROR(VLOOKUP(IFERROR(VLOOKUP(D266,Mapa_Similitud!$A$2:$B$2000,2,FALSE()),D266),Hoja1!$A$2:$K$1000,2,FALSE()),IFERROR(VLOOKUP(IFERROR(VLOOKUP(D266,Mapa_Similitud!$A$2:$B$2000,2,FALSE()),D266),Omega3_Referencia!$A$2:$E$100,3,FALSE()),0))</f>
        <v>0.03</v>
      </c>
      <c r="AW266" s="3" t="str">
        <f>IFERROR(VLOOKUP(IFERROR(VLOOKUP(D266,Mapa_Similitud!$A$2:$B$2000,2,FALSE()),D266),Hoja1!$A$2:$K$1000,3,FALSE()),IFERROR(VLOOKUP(IFERROR(VLOOKUP(D266,Mapa_Similitud!$A$2:$B$2000,2,FALSE()),D266),Omega3_Referencia!$A$2:$E$100,4,FALSE()),"N/A"))</f>
        <v>ALA</v>
      </c>
      <c r="AX266" s="5">
        <f>IFERROR(VLOOKUP(IFERROR(VLOOKUP(D266,Mapa_Similitud!$A$2:$B$2000,2,FALSE()),D266),Hoja1!$A$2:$K$1000,5,FALSE()),0)</f>
        <v>0.1</v>
      </c>
      <c r="AY266" s="5">
        <f>IFERROR(VLOOKUP(IFERROR(VLOOKUP(D266,Mapa_Similitud!$A$2:$B$2000,2,FALSE()),D266),Hoja1!$A$2:$K$1000,7,FALSE()),0)</f>
        <v>0</v>
      </c>
      <c r="AZ266" s="5">
        <f>IFERROR(VLOOKUP(IFERROR(VLOOKUP(D266,Mapa_Similitud!$A$2:$B$2000,2,FALSE()),D266),Hoja1!$A$2:$K$1000,9,FALSE()),0)</f>
        <v>0</v>
      </c>
      <c r="BA266" s="25">
        <f t="shared" si="116"/>
        <v>0.11256830601092897</v>
      </c>
      <c r="BB266" s="25">
        <f t="shared" si="117"/>
        <v>0</v>
      </c>
      <c r="BC266" s="25">
        <f t="shared" si="118"/>
        <v>8.1967213114754092E-2</v>
      </c>
      <c r="BD266" s="25">
        <f t="shared" si="119"/>
        <v>9.8360655737704927E-3</v>
      </c>
      <c r="BE266" s="25">
        <f t="shared" si="120"/>
        <v>0.51912568306010931</v>
      </c>
      <c r="BF266" s="25">
        <f t="shared" si="121"/>
        <v>0.70270270270270274</v>
      </c>
      <c r="BG266" s="25">
        <f t="shared" si="122"/>
        <v>7.9787234042553196E-2</v>
      </c>
      <c r="BH266" s="25">
        <f t="shared" si="123"/>
        <v>0.3303571428571429</v>
      </c>
      <c r="BI266" s="25">
        <f t="shared" si="124"/>
        <v>0.38</v>
      </c>
      <c r="BJ266" s="25">
        <f t="shared" si="125"/>
        <v>0</v>
      </c>
      <c r="BK266" s="25">
        <f t="shared" si="126"/>
        <v>0</v>
      </c>
      <c r="BL266" s="25">
        <f t="shared" si="127"/>
        <v>0.55081967213114758</v>
      </c>
      <c r="BM266" s="25">
        <f t="shared" si="128"/>
        <v>0.11475409836065574</v>
      </c>
      <c r="BN266" s="18" t="str">
        <f t="shared" si="134"/>
        <v>Media fuente de proteína</v>
      </c>
      <c r="BO266" s="18" t="str">
        <f t="shared" si="135"/>
        <v>Baja fuente de fibra</v>
      </c>
      <c r="BP266" s="18" t="str">
        <f t="shared" si="136"/>
        <v>Baja fuente de calcio</v>
      </c>
      <c r="BQ266" s="18" t="str">
        <f t="shared" si="137"/>
        <v>Media fuente de hierro</v>
      </c>
      <c r="BR266" s="18" t="str">
        <f t="shared" si="138"/>
        <v>Moderado en sodio</v>
      </c>
      <c r="BS266" s="6" t="str">
        <f t="shared" si="129"/>
        <v>Neutro</v>
      </c>
      <c r="BT266" s="6" t="str">
        <f t="shared" si="130"/>
        <v>Muy alto en grasas</v>
      </c>
      <c r="BU266" s="18" t="str">
        <f t="shared" si="139"/>
        <v>Equilibrio de líquidos ideal</v>
      </c>
      <c r="BV266" s="18" t="str">
        <f t="shared" si="140"/>
        <v>Baja fuente de magnesio</v>
      </c>
      <c r="BW266" s="18" t="str">
        <f t="shared" si="141"/>
        <v>Sin aporte de Omega 3</v>
      </c>
      <c r="BX266" s="18" t="str">
        <f t="shared" si="142"/>
        <v>Contiene grasas trans</v>
      </c>
      <c r="BY266" s="18" t="str">
        <f t="shared" si="143"/>
        <v>Bajo poder antioxidante</v>
      </c>
      <c r="BZ266" s="6" t="str">
        <f t="shared" si="131"/>
        <v>Sin probióticos</v>
      </c>
      <c r="CA266" s="18" t="str">
        <f t="shared" si="144"/>
        <v>Moderadamente inflamatorio</v>
      </c>
      <c r="CB266" s="18" t="str">
        <f>IF(ISNUMBER(SEARCH("miel", D266)), "No irritante (Uso condicionado SII)", IF(OR(J266&gt;0, ISNUMBER(SEARCH("cacao", D266)), ISNUMBER(SEARCH("chocolate puro", D266))), "Altamente irritante", IF(OR(AND(O266&gt;15, BI266&gt;1), ISNUMBER(SEARCH("chocolate", D266))), "Moderadamente irritante", "No irritante")))</f>
        <v>No irritante</v>
      </c>
      <c r="CC266" s="6" t="str">
        <f t="shared" si="132"/>
        <v>Exceso relativo de Omega 6</v>
      </c>
    </row>
    <row r="267" spans="1:81" ht="15" customHeight="1" x14ac:dyDescent="0.3">
      <c r="A267" s="2">
        <f t="shared" si="133"/>
        <v>266</v>
      </c>
      <c r="B267" s="3" t="s">
        <v>391</v>
      </c>
      <c r="C267" s="3" t="s">
        <v>392</v>
      </c>
      <c r="D267" s="3" t="s">
        <v>398</v>
      </c>
      <c r="E267" s="3"/>
      <c r="F267" s="4">
        <v>9</v>
      </c>
      <c r="G267" s="5">
        <v>1</v>
      </c>
      <c r="H267" s="5">
        <v>155</v>
      </c>
      <c r="I267" s="5">
        <v>68.3</v>
      </c>
      <c r="J267" s="5">
        <v>0</v>
      </c>
      <c r="K267" s="5">
        <v>22.8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7.1</v>
      </c>
      <c r="R267" s="5">
        <v>2.8</v>
      </c>
      <c r="S267" s="5">
        <v>1.9</v>
      </c>
      <c r="T267" s="5">
        <v>0.9</v>
      </c>
      <c r="U267" s="5">
        <v>84</v>
      </c>
      <c r="V267" s="5">
        <v>12</v>
      </c>
      <c r="W267" s="5">
        <v>12</v>
      </c>
      <c r="X267" s="5">
        <v>0</v>
      </c>
      <c r="Y267" s="5">
        <v>0</v>
      </c>
      <c r="Z267" s="5">
        <v>0</v>
      </c>
      <c r="AA267" s="5">
        <v>0</v>
      </c>
      <c r="AB267" s="5">
        <v>0.13</v>
      </c>
      <c r="AC267" s="5">
        <v>0.38</v>
      </c>
      <c r="AD267" s="5">
        <v>4.3</v>
      </c>
      <c r="AE267" s="5">
        <v>0.64</v>
      </c>
      <c r="AF267" s="5">
        <v>31</v>
      </c>
      <c r="AG267" s="5">
        <v>0.49</v>
      </c>
      <c r="AH267" s="5">
        <v>0</v>
      </c>
      <c r="AI267" s="5">
        <v>0</v>
      </c>
      <c r="AJ267" s="5">
        <v>7.2</v>
      </c>
      <c r="AK267" s="5">
        <v>13</v>
      </c>
      <c r="AL267" s="5">
        <v>312</v>
      </c>
      <c r="AM267" s="5">
        <v>2.6</v>
      </c>
      <c r="AN267" s="5">
        <v>0</v>
      </c>
      <c r="AO267" s="5">
        <v>2.2999999999999998</v>
      </c>
      <c r="AP267" s="5">
        <v>24</v>
      </c>
      <c r="AQ267" s="5">
        <v>87</v>
      </c>
      <c r="AR267" s="5">
        <v>420</v>
      </c>
      <c r="AS267" s="5">
        <v>0</v>
      </c>
      <c r="AT267" s="5">
        <v>0</v>
      </c>
      <c r="AU267" s="5">
        <v>16.8</v>
      </c>
      <c r="AV267" s="5">
        <f>IFERROR(VLOOKUP(IFERROR(VLOOKUP(D267,Mapa_Similitud!$A$2:$B$2000,2,FALSE()),D267),Hoja1!$A$2:$K$1000,2,FALSE()),IFERROR(VLOOKUP(IFERROR(VLOOKUP(D267,Mapa_Similitud!$A$2:$B$2000,2,FALSE()),D267),Omega3_Referencia!$A$2:$E$100,3,FALSE()),0))</f>
        <v>0.06</v>
      </c>
      <c r="AW267" s="3" t="str">
        <f>IFERROR(VLOOKUP(IFERROR(VLOOKUP(D267,Mapa_Similitud!$A$2:$B$2000,2,FALSE()),D267),Hoja1!$A$2:$K$1000,3,FALSE()),IFERROR(VLOOKUP(IFERROR(VLOOKUP(D267,Mapa_Similitud!$A$2:$B$2000,2,FALSE()),D267),Omega3_Referencia!$A$2:$E$100,4,FALSE()),"N/A"))</f>
        <v>ALA</v>
      </c>
      <c r="AX267" s="5">
        <f>IFERROR(VLOOKUP(IFERROR(VLOOKUP(D267,Mapa_Similitud!$A$2:$B$2000,2,FALSE()),D267),Hoja1!$A$2:$K$1000,5,FALSE()),0)</f>
        <v>0.1</v>
      </c>
      <c r="AY267" s="5">
        <f>IFERROR(VLOOKUP(IFERROR(VLOOKUP(D267,Mapa_Similitud!$A$2:$B$2000,2,FALSE()),D267),Hoja1!$A$2:$K$1000,7,FALSE()),0)</f>
        <v>0</v>
      </c>
      <c r="AZ267" s="5">
        <f>IFERROR(VLOOKUP(IFERROR(VLOOKUP(D267,Mapa_Similitud!$A$2:$B$2000,2,FALSE()),D267),Hoja1!$A$2:$K$1000,9,FALSE()),0)</f>
        <v>0</v>
      </c>
      <c r="BA267" s="25">
        <f t="shared" si="116"/>
        <v>0.14709677419354839</v>
      </c>
      <c r="BB267" s="25">
        <f t="shared" si="117"/>
        <v>0</v>
      </c>
      <c r="BC267" s="25">
        <f t="shared" si="118"/>
        <v>8.387096774193549E-2</v>
      </c>
      <c r="BD267" s="25">
        <f t="shared" si="119"/>
        <v>1.6774193548387096E-2</v>
      </c>
      <c r="BE267" s="25">
        <f t="shared" si="120"/>
        <v>0.56129032258064515</v>
      </c>
      <c r="BF267" s="25">
        <f t="shared" si="121"/>
        <v>0.32142857142857145</v>
      </c>
      <c r="BG267" s="25">
        <f t="shared" si="122"/>
        <v>4.1666666666666664E-2</v>
      </c>
      <c r="BH267" s="25">
        <f t="shared" si="123"/>
        <v>0.39436619718309857</v>
      </c>
      <c r="BI267" s="25">
        <f t="shared" si="124"/>
        <v>0.20714285714285716</v>
      </c>
      <c r="BJ267" s="25">
        <f t="shared" si="125"/>
        <v>0</v>
      </c>
      <c r="BK267" s="25">
        <f t="shared" si="126"/>
        <v>0</v>
      </c>
      <c r="BL267" s="25">
        <f t="shared" si="127"/>
        <v>0.41225806451612901</v>
      </c>
      <c r="BM267" s="25">
        <f t="shared" si="128"/>
        <v>0.15483870967741936</v>
      </c>
      <c r="BN267" s="18" t="str">
        <f t="shared" si="134"/>
        <v>Media fuente de proteína</v>
      </c>
      <c r="BO267" s="18" t="str">
        <f t="shared" si="135"/>
        <v>Baja fuente de fibra</v>
      </c>
      <c r="BP267" s="18" t="str">
        <f t="shared" si="136"/>
        <v>Baja fuente de calcio</v>
      </c>
      <c r="BQ267" s="18" t="str">
        <f t="shared" si="137"/>
        <v>Alta fuente de hierro</v>
      </c>
      <c r="BR267" s="18" t="str">
        <f t="shared" si="138"/>
        <v>Moderado en sodio</v>
      </c>
      <c r="BS267" s="6" t="str">
        <f t="shared" si="129"/>
        <v>Proinflamatorio</v>
      </c>
      <c r="BT267" s="6" t="str">
        <f t="shared" si="130"/>
        <v>Muy alto en grasas</v>
      </c>
      <c r="BU267" s="18" t="str">
        <f t="shared" si="139"/>
        <v>Equilibrio de líquidos ideal</v>
      </c>
      <c r="BV267" s="18" t="str">
        <f t="shared" si="140"/>
        <v>Baja fuente de magnesio</v>
      </c>
      <c r="BW267" s="18" t="str">
        <f t="shared" si="141"/>
        <v>Sin aporte de Omega 3</v>
      </c>
      <c r="BX267" s="18" t="str">
        <f t="shared" si="142"/>
        <v>Contiene grasas trans</v>
      </c>
      <c r="BY267" s="18" t="str">
        <f t="shared" si="143"/>
        <v>Bajo poder antioxidante</v>
      </c>
      <c r="BZ267" s="6" t="str">
        <f t="shared" si="131"/>
        <v>Sin probióticos</v>
      </c>
      <c r="CA267" s="18" t="str">
        <f t="shared" si="144"/>
        <v>Moderadamente inflamatorio</v>
      </c>
      <c r="CB267" s="18" t="str">
        <f>IF(ISNUMBER(SEARCH("miel", D267)), "No irritante (Uso condicionado SII)", IF(OR(J267&gt;0, ISNUMBER(SEARCH("cacao", D267)), ISNUMBER(SEARCH("chocolate puro", D267))), "Altamente irritante", IF(OR(AND(O267&gt;15, BI267&gt;1), ISNUMBER(SEARCH("chocolate", D267))), "Moderadamente irritante", "No irritante")))</f>
        <v>No irritante</v>
      </c>
      <c r="CC267" s="6" t="str">
        <f t="shared" si="132"/>
        <v>Exceso relativo de Omega 6</v>
      </c>
    </row>
    <row r="268" spans="1:81" ht="15" customHeight="1" x14ac:dyDescent="0.3">
      <c r="A268" s="2">
        <f t="shared" si="133"/>
        <v>267</v>
      </c>
      <c r="B268" s="3" t="s">
        <v>391</v>
      </c>
      <c r="C268" s="3" t="s">
        <v>392</v>
      </c>
      <c r="D268" s="3" t="s">
        <v>399</v>
      </c>
      <c r="E268" s="3"/>
      <c r="F268" s="4">
        <v>4.83</v>
      </c>
      <c r="G268" s="5">
        <v>1</v>
      </c>
      <c r="H268" s="5">
        <v>366</v>
      </c>
      <c r="I268" s="5">
        <v>49.7</v>
      </c>
      <c r="J268" s="5">
        <v>0</v>
      </c>
      <c r="K268" s="5">
        <v>15.9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33.6</v>
      </c>
      <c r="R268" s="5">
        <v>9.8000000000000007</v>
      </c>
      <c r="S268" s="5">
        <v>17.8</v>
      </c>
      <c r="T268" s="5">
        <v>3.8</v>
      </c>
      <c r="U268" s="5">
        <v>80</v>
      </c>
      <c r="V268" s="5">
        <v>17</v>
      </c>
      <c r="W268" s="5">
        <v>17</v>
      </c>
      <c r="X268" s="5">
        <v>0</v>
      </c>
      <c r="Y268" s="5">
        <v>0</v>
      </c>
      <c r="Z268" s="5">
        <v>0</v>
      </c>
      <c r="AA268" s="5">
        <v>0</v>
      </c>
      <c r="AB268" s="5">
        <v>8.5000000000000006E-2</v>
      </c>
      <c r="AC268" s="5">
        <v>0.25</v>
      </c>
      <c r="AD268" s="5">
        <v>3.6</v>
      </c>
      <c r="AE268" s="5">
        <v>0.39</v>
      </c>
      <c r="AF268" s="5">
        <v>4</v>
      </c>
      <c r="AG268" s="5">
        <v>0.34</v>
      </c>
      <c r="AH268" s="5">
        <v>0</v>
      </c>
      <c r="AI268" s="5">
        <v>0</v>
      </c>
      <c r="AJ268" s="5">
        <v>4.2</v>
      </c>
      <c r="AK268" s="5">
        <v>12</v>
      </c>
      <c r="AL268" s="5">
        <v>234</v>
      </c>
      <c r="AM268" s="5">
        <v>2.5</v>
      </c>
      <c r="AN268" s="5">
        <v>0</v>
      </c>
      <c r="AO268" s="5">
        <v>1.7</v>
      </c>
      <c r="AP268" s="5">
        <v>18</v>
      </c>
      <c r="AQ268" s="5">
        <v>73</v>
      </c>
      <c r="AR268" s="5">
        <v>308</v>
      </c>
      <c r="AS268" s="5">
        <v>0</v>
      </c>
      <c r="AT268" s="5">
        <v>0</v>
      </c>
      <c r="AU268" s="5">
        <v>14.4</v>
      </c>
      <c r="AV268" s="5">
        <f>IFERROR(VLOOKUP(IFERROR(VLOOKUP(D268,Mapa_Similitud!$A$2:$B$2000,2,FALSE()),D268),Hoja1!$A$2:$K$1000,2,FALSE()),IFERROR(VLOOKUP(IFERROR(VLOOKUP(D268,Mapa_Similitud!$A$2:$B$2000,2,FALSE()),D268),Omega3_Referencia!$A$2:$E$100,3,FALSE()),0))</f>
        <v>0.08</v>
      </c>
      <c r="AW268" s="3" t="str">
        <f>IFERROR(VLOOKUP(IFERROR(VLOOKUP(D268,Mapa_Similitud!$A$2:$B$2000,2,FALSE()),D268),Hoja1!$A$2:$K$1000,3,FALSE()),IFERROR(VLOOKUP(IFERROR(VLOOKUP(D268,Mapa_Similitud!$A$2:$B$2000,2,FALSE()),D268),Omega3_Referencia!$A$2:$E$100,4,FALSE()),"N/A"))</f>
        <v>ALA</v>
      </c>
      <c r="AX268" s="5">
        <f>IFERROR(VLOOKUP(IFERROR(VLOOKUP(D268,Mapa_Similitud!$A$2:$B$2000,2,FALSE()),D268),Hoja1!$A$2:$K$1000,5,FALSE()),0)</f>
        <v>0.2</v>
      </c>
      <c r="AY268" s="5">
        <f>IFERROR(VLOOKUP(IFERROR(VLOOKUP(D268,Mapa_Similitud!$A$2:$B$2000,2,FALSE()),D268),Hoja1!$A$2:$K$1000,7,FALSE()),0)</f>
        <v>0</v>
      </c>
      <c r="AZ268" s="5">
        <f>IFERROR(VLOOKUP(IFERROR(VLOOKUP(D268,Mapa_Similitud!$A$2:$B$2000,2,FALSE()),D268),Hoja1!$A$2:$K$1000,9,FALSE()),0)</f>
        <v>0</v>
      </c>
      <c r="BA268" s="25">
        <f t="shared" si="116"/>
        <v>4.3442622950819673E-2</v>
      </c>
      <c r="BB268" s="25">
        <f t="shared" si="117"/>
        <v>0</v>
      </c>
      <c r="BC268" s="25">
        <f t="shared" si="118"/>
        <v>3.2786885245901641E-2</v>
      </c>
      <c r="BD268" s="25">
        <f t="shared" si="119"/>
        <v>6.8306010928961746E-3</v>
      </c>
      <c r="BE268" s="25">
        <f t="shared" si="120"/>
        <v>0.19945355191256831</v>
      </c>
      <c r="BF268" s="25">
        <f t="shared" si="121"/>
        <v>0.38775510204081626</v>
      </c>
      <c r="BG268" s="25">
        <f t="shared" si="122"/>
        <v>5.128205128205128E-2</v>
      </c>
      <c r="BH268" s="25">
        <f t="shared" si="123"/>
        <v>0.29166666666666669</v>
      </c>
      <c r="BI268" s="25">
        <f t="shared" si="124"/>
        <v>0.23701298701298701</v>
      </c>
      <c r="BJ268" s="25">
        <f t="shared" si="125"/>
        <v>0</v>
      </c>
      <c r="BK268" s="25">
        <f t="shared" si="126"/>
        <v>0</v>
      </c>
      <c r="BL268" s="25">
        <f t="shared" si="127"/>
        <v>0.82622950819672136</v>
      </c>
      <c r="BM268" s="25">
        <f t="shared" si="128"/>
        <v>4.9180327868852458E-2</v>
      </c>
      <c r="BN268" s="18" t="str">
        <f t="shared" si="134"/>
        <v>Baja fuente de proteína</v>
      </c>
      <c r="BO268" s="18" t="str">
        <f t="shared" si="135"/>
        <v>Baja fuente de fibra</v>
      </c>
      <c r="BP268" s="18" t="str">
        <f t="shared" si="136"/>
        <v>Baja fuente de calcio</v>
      </c>
      <c r="BQ268" s="18" t="str">
        <f t="shared" si="137"/>
        <v>Baja fuente de hierro</v>
      </c>
      <c r="BR268" s="18" t="str">
        <f t="shared" si="138"/>
        <v>Bajo en sodio</v>
      </c>
      <c r="BS268" s="6" t="str">
        <f t="shared" si="129"/>
        <v>Proinflamatorio</v>
      </c>
      <c r="BT268" s="6" t="str">
        <f t="shared" si="130"/>
        <v>Muy alto en grasas</v>
      </c>
      <c r="BU268" s="18" t="str">
        <f t="shared" si="139"/>
        <v>Equilibrio de líquidos ideal</v>
      </c>
      <c r="BV268" s="18" t="str">
        <f t="shared" si="140"/>
        <v>Baja fuente de magnesio</v>
      </c>
      <c r="BW268" s="18" t="str">
        <f t="shared" si="141"/>
        <v>Sin aporte de Omega 3</v>
      </c>
      <c r="BX268" s="18" t="str">
        <f t="shared" si="142"/>
        <v>Contiene grasas trans</v>
      </c>
      <c r="BY268" s="18" t="str">
        <f t="shared" si="143"/>
        <v>Bajo poder antioxidante</v>
      </c>
      <c r="BZ268" s="6" t="str">
        <f t="shared" si="131"/>
        <v>Sin probióticos</v>
      </c>
      <c r="CA268" s="18" t="str">
        <f t="shared" si="144"/>
        <v>Moderadamente inflamatorio</v>
      </c>
      <c r="CB268" s="18" t="str">
        <f>IF(ISNUMBER(SEARCH("miel", D268)), "No irritante (Uso condicionado SII)", IF(OR(J268&gt;0, ISNUMBER(SEARCH("cacao", D268)), ISNUMBER(SEARCH("chocolate puro", D268))), "Altamente irritante", IF(OR(AND(O268&gt;15, BI268&gt;1), ISNUMBER(SEARCH("chocolate", D268))), "Moderadamente irritante", "No irritante")))</f>
        <v>No irritante</v>
      </c>
      <c r="CC268" s="6" t="str">
        <f t="shared" si="132"/>
        <v>Exceso relativo de Omega 6</v>
      </c>
    </row>
    <row r="269" spans="1:81" ht="15" customHeight="1" x14ac:dyDescent="0.3">
      <c r="A269" s="2">
        <f t="shared" si="133"/>
        <v>268</v>
      </c>
      <c r="B269" s="3" t="s">
        <v>391</v>
      </c>
      <c r="C269" s="3" t="s">
        <v>392</v>
      </c>
      <c r="D269" s="3" t="s">
        <v>400</v>
      </c>
      <c r="E269" s="3"/>
      <c r="F269" s="4">
        <v>5</v>
      </c>
      <c r="G269" s="5">
        <v>1</v>
      </c>
      <c r="H269" s="5">
        <v>288</v>
      </c>
      <c r="I269" s="5">
        <v>56.6</v>
      </c>
      <c r="J269" s="5">
        <v>0</v>
      </c>
      <c r="K269" s="5">
        <v>18.5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23.8</v>
      </c>
      <c r="R269" s="5">
        <v>8.4</v>
      </c>
      <c r="S269" s="5">
        <v>9.6999999999999993</v>
      </c>
      <c r="T269" s="5">
        <v>3.1</v>
      </c>
      <c r="U269" s="5">
        <v>95</v>
      </c>
      <c r="V269" s="5">
        <v>73</v>
      </c>
      <c r="W269" s="5">
        <v>73</v>
      </c>
      <c r="X269" s="5">
        <v>0</v>
      </c>
      <c r="Y269" s="5">
        <v>0</v>
      </c>
      <c r="Z269" s="5">
        <v>0</v>
      </c>
      <c r="AA269" s="5">
        <v>0</v>
      </c>
      <c r="AB269" s="5">
        <v>0.12</v>
      </c>
      <c r="AC269" s="5">
        <v>0.22</v>
      </c>
      <c r="AD269" s="5">
        <v>6.1</v>
      </c>
      <c r="AE269" s="5">
        <v>0.41</v>
      </c>
      <c r="AF269" s="5">
        <v>6</v>
      </c>
      <c r="AG269" s="5">
        <v>0.4</v>
      </c>
      <c r="AH269" s="5">
        <v>0</v>
      </c>
      <c r="AI269" s="5">
        <v>0</v>
      </c>
      <c r="AJ269" s="5">
        <v>5.2</v>
      </c>
      <c r="AK269" s="5">
        <v>12</v>
      </c>
      <c r="AL269" s="5">
        <v>248</v>
      </c>
      <c r="AM269" s="5">
        <v>3.5</v>
      </c>
      <c r="AN269" s="5">
        <v>0</v>
      </c>
      <c r="AO269" s="5">
        <v>2.2000000000000002</v>
      </c>
      <c r="AP269" s="5">
        <v>22</v>
      </c>
      <c r="AQ269" s="5">
        <v>54</v>
      </c>
      <c r="AR269" s="5">
        <v>199</v>
      </c>
      <c r="AS269" s="5">
        <v>0</v>
      </c>
      <c r="AT269" s="5">
        <v>0</v>
      </c>
      <c r="AU269" s="5">
        <v>13.3</v>
      </c>
      <c r="AV269" s="5">
        <f>IFERROR(VLOOKUP(IFERROR(VLOOKUP(D269,Mapa_Similitud!$A$2:$B$2000,2,FALSE()),D269),Hoja1!$A$2:$K$1000,2,FALSE()),IFERROR(VLOOKUP(IFERROR(VLOOKUP(D269,Mapa_Similitud!$A$2:$B$2000,2,FALSE()),D269),Omega3_Referencia!$A$2:$E$100,3,FALSE()),0))</f>
        <v>0.03</v>
      </c>
      <c r="AW269" s="3" t="str">
        <f>IFERROR(VLOOKUP(IFERROR(VLOOKUP(D269,Mapa_Similitud!$A$2:$B$2000,2,FALSE()),D269),Hoja1!$A$2:$K$1000,3,FALSE()),IFERROR(VLOOKUP(IFERROR(VLOOKUP(D269,Mapa_Similitud!$A$2:$B$2000,2,FALSE()),D269),Omega3_Referencia!$A$2:$E$100,4,FALSE()),"N/A"))</f>
        <v>ALA</v>
      </c>
      <c r="AX269" s="5">
        <f>IFERROR(VLOOKUP(IFERROR(VLOOKUP(D269,Mapa_Similitud!$A$2:$B$2000,2,FALSE()),D269),Hoja1!$A$2:$K$1000,5,FALSE()),0)</f>
        <v>0.1</v>
      </c>
      <c r="AY269" s="5">
        <f>IFERROR(VLOOKUP(IFERROR(VLOOKUP(D269,Mapa_Similitud!$A$2:$B$2000,2,FALSE()),D269),Hoja1!$A$2:$K$1000,7,FALSE()),0)</f>
        <v>0</v>
      </c>
      <c r="AZ269" s="5">
        <f>IFERROR(VLOOKUP(IFERROR(VLOOKUP(D269,Mapa_Similitud!$A$2:$B$2000,2,FALSE()),D269),Hoja1!$A$2:$K$1000,9,FALSE()),0)</f>
        <v>0</v>
      </c>
      <c r="BA269" s="25">
        <f t="shared" si="116"/>
        <v>6.4236111111111105E-2</v>
      </c>
      <c r="BB269" s="25">
        <f t="shared" si="117"/>
        <v>0</v>
      </c>
      <c r="BC269" s="25">
        <f t="shared" si="118"/>
        <v>4.1666666666666664E-2</v>
      </c>
      <c r="BD269" s="25">
        <f t="shared" si="119"/>
        <v>1.2152777777777778E-2</v>
      </c>
      <c r="BE269" s="25">
        <f t="shared" si="120"/>
        <v>0.1875</v>
      </c>
      <c r="BF269" s="25">
        <f t="shared" si="121"/>
        <v>0.36904761904761907</v>
      </c>
      <c r="BG269" s="25">
        <f t="shared" si="122"/>
        <v>4.8387096774193547E-2</v>
      </c>
      <c r="BH269" s="25">
        <f t="shared" si="123"/>
        <v>0.35294117647058826</v>
      </c>
      <c r="BI269" s="25">
        <f t="shared" si="124"/>
        <v>0.271356783919598</v>
      </c>
      <c r="BJ269" s="25">
        <f t="shared" si="125"/>
        <v>0</v>
      </c>
      <c r="BK269" s="25">
        <f t="shared" si="126"/>
        <v>0</v>
      </c>
      <c r="BL269" s="25">
        <f t="shared" si="127"/>
        <v>0.74375000000000002</v>
      </c>
      <c r="BM269" s="25">
        <f t="shared" si="128"/>
        <v>7.6388888888888895E-2</v>
      </c>
      <c r="BN269" s="18" t="str">
        <f t="shared" si="134"/>
        <v>Baja fuente de proteína</v>
      </c>
      <c r="BO269" s="18" t="str">
        <f t="shared" si="135"/>
        <v>Baja fuente de fibra</v>
      </c>
      <c r="BP269" s="18" t="str">
        <f t="shared" si="136"/>
        <v>Baja fuente de calcio</v>
      </c>
      <c r="BQ269" s="18" t="str">
        <f t="shared" si="137"/>
        <v>Media fuente de hierro</v>
      </c>
      <c r="BR269" s="18" t="str">
        <f t="shared" si="138"/>
        <v>Bajo en sodio</v>
      </c>
      <c r="BS269" s="6" t="str">
        <f t="shared" si="129"/>
        <v>Proinflamatorio</v>
      </c>
      <c r="BT269" s="6" t="str">
        <f t="shared" si="130"/>
        <v>Muy alto en grasas</v>
      </c>
      <c r="BU269" s="18" t="str">
        <f t="shared" si="139"/>
        <v>Equilibrio de líquidos ideal</v>
      </c>
      <c r="BV269" s="18" t="str">
        <f t="shared" si="140"/>
        <v>Baja fuente de magnesio</v>
      </c>
      <c r="BW269" s="18" t="str">
        <f t="shared" si="141"/>
        <v>Sin aporte de Omega 3</v>
      </c>
      <c r="BX269" s="18" t="str">
        <f t="shared" si="142"/>
        <v>Contiene grasas trans</v>
      </c>
      <c r="BY269" s="18" t="str">
        <f t="shared" si="143"/>
        <v>Bajo poder antioxidante</v>
      </c>
      <c r="BZ269" s="6" t="str">
        <f t="shared" si="131"/>
        <v>Sin probióticos</v>
      </c>
      <c r="CA269" s="18" t="str">
        <f t="shared" si="144"/>
        <v>Moderadamente inflamatorio</v>
      </c>
      <c r="CB269" s="18" t="str">
        <f>IF(ISNUMBER(SEARCH("miel", D269)), "No irritante (Uso condicionado SII)", IF(OR(J269&gt;0, ISNUMBER(SEARCH("cacao", D269)), ISNUMBER(SEARCH("chocolate puro", D269))), "Altamente irritante", IF(OR(AND(O269&gt;15, BI269&gt;1), ISNUMBER(SEARCH("chocolate", D269))), "Moderadamente irritante", "No irritante")))</f>
        <v>No irritante</v>
      </c>
      <c r="CC269" s="6" t="str">
        <f t="shared" si="132"/>
        <v>Exceso relativo de Omega 6</v>
      </c>
    </row>
    <row r="270" spans="1:81" ht="15" customHeight="1" x14ac:dyDescent="0.3">
      <c r="A270" s="2">
        <f t="shared" si="133"/>
        <v>269</v>
      </c>
      <c r="B270" s="3" t="s">
        <v>391</v>
      </c>
      <c r="C270" s="3" t="s">
        <v>392</v>
      </c>
      <c r="D270" s="3" t="s">
        <v>401</v>
      </c>
      <c r="E270" s="3"/>
      <c r="F270" s="4">
        <v>8</v>
      </c>
      <c r="G270" s="5">
        <v>0.67</v>
      </c>
      <c r="H270" s="5">
        <v>227</v>
      </c>
      <c r="I270" s="5">
        <v>64.7</v>
      </c>
      <c r="J270" s="5">
        <v>0</v>
      </c>
      <c r="K270" s="5">
        <v>18.100000000000001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17.2</v>
      </c>
      <c r="R270" s="5">
        <v>5.9</v>
      </c>
      <c r="S270" s="5">
        <v>8.1999999999999993</v>
      </c>
      <c r="T270" s="5">
        <v>2.2999999999999998</v>
      </c>
      <c r="U270" s="5">
        <v>76</v>
      </c>
      <c r="V270" s="5">
        <v>26</v>
      </c>
      <c r="W270" s="5">
        <v>26</v>
      </c>
      <c r="X270" s="5">
        <v>0</v>
      </c>
      <c r="Y270" s="5">
        <v>0</v>
      </c>
      <c r="Z270" s="5">
        <v>0.7</v>
      </c>
      <c r="AA270" s="5">
        <v>6</v>
      </c>
      <c r="AB270" s="5">
        <v>0.3</v>
      </c>
      <c r="AC270" s="5">
        <v>0.2</v>
      </c>
      <c r="AD270" s="5">
        <v>7.3</v>
      </c>
      <c r="AE270" s="5">
        <v>0.33</v>
      </c>
      <c r="AF270" s="5">
        <v>25</v>
      </c>
      <c r="AG270" s="5">
        <v>1.8</v>
      </c>
      <c r="AH270" s="5">
        <v>1.6</v>
      </c>
      <c r="AI270" s="5">
        <v>0</v>
      </c>
      <c r="AJ270" s="5">
        <v>0</v>
      </c>
      <c r="AK270" s="5">
        <v>14</v>
      </c>
      <c r="AL270" s="5">
        <v>196</v>
      </c>
      <c r="AM270" s="5">
        <v>2.5</v>
      </c>
      <c r="AN270" s="5">
        <v>2</v>
      </c>
      <c r="AO270" s="5">
        <v>1.8</v>
      </c>
      <c r="AP270" s="5">
        <v>22</v>
      </c>
      <c r="AQ270" s="5">
        <v>38</v>
      </c>
      <c r="AR270" s="5">
        <v>270</v>
      </c>
      <c r="AS270" s="5">
        <v>4.7E-2</v>
      </c>
      <c r="AT270" s="5">
        <v>0.24</v>
      </c>
      <c r="AU270" s="5">
        <v>12.4</v>
      </c>
      <c r="AV270" s="5">
        <f>IFERROR(VLOOKUP(IFERROR(VLOOKUP(D270,Mapa_Similitud!$A$2:$B$2000,2,FALSE()),D270),Hoja1!$A$2:$K$1000,2,FALSE()),IFERROR(VLOOKUP(IFERROR(VLOOKUP(D270,Mapa_Similitud!$A$2:$B$2000,2,FALSE()),D270),Omega3_Referencia!$A$2:$E$100,3,FALSE()),0))</f>
        <v>7.0000000000000007E-2</v>
      </c>
      <c r="AW270" s="3" t="str">
        <f>IFERROR(VLOOKUP(IFERROR(VLOOKUP(D270,Mapa_Similitud!$A$2:$B$2000,2,FALSE()),D270),Hoja1!$A$2:$K$1000,3,FALSE()),IFERROR(VLOOKUP(IFERROR(VLOOKUP(D270,Mapa_Similitud!$A$2:$B$2000,2,FALSE()),D270),Omega3_Referencia!$A$2:$E$100,4,FALSE()),"N/A"))</f>
        <v>ALA</v>
      </c>
      <c r="AX270" s="5">
        <f>IFERROR(VLOOKUP(IFERROR(VLOOKUP(D270,Mapa_Similitud!$A$2:$B$2000,2,FALSE()),D270),Hoja1!$A$2:$K$1000,5,FALSE()),0)</f>
        <v>0.2</v>
      </c>
      <c r="AY270" s="5">
        <f>IFERROR(VLOOKUP(IFERROR(VLOOKUP(D270,Mapa_Similitud!$A$2:$B$2000,2,FALSE()),D270),Hoja1!$A$2:$K$1000,7,FALSE()),0)</f>
        <v>0</v>
      </c>
      <c r="AZ270" s="5">
        <f>IFERROR(VLOOKUP(IFERROR(VLOOKUP(D270,Mapa_Similitud!$A$2:$B$2000,2,FALSE()),D270),Hoja1!$A$2:$K$1000,9,FALSE()),0)</f>
        <v>0</v>
      </c>
      <c r="BA270" s="25">
        <f t="shared" si="116"/>
        <v>7.9735682819383272E-2</v>
      </c>
      <c r="BB270" s="25">
        <f t="shared" si="117"/>
        <v>0</v>
      </c>
      <c r="BC270" s="25">
        <f t="shared" si="118"/>
        <v>6.1674008810572688E-2</v>
      </c>
      <c r="BD270" s="25">
        <f t="shared" si="119"/>
        <v>1.1013215859030838E-2</v>
      </c>
      <c r="BE270" s="25">
        <f t="shared" si="120"/>
        <v>0.16740088105726872</v>
      </c>
      <c r="BF270" s="25">
        <f t="shared" si="121"/>
        <v>0.38983050847457623</v>
      </c>
      <c r="BG270" s="25">
        <f t="shared" si="122"/>
        <v>7.1428571428571425E-2</v>
      </c>
      <c r="BH270" s="25">
        <f t="shared" si="123"/>
        <v>0.34302325581395354</v>
      </c>
      <c r="BI270" s="25">
        <f t="shared" si="124"/>
        <v>0.14074074074074075</v>
      </c>
      <c r="BJ270" s="25">
        <f t="shared" si="125"/>
        <v>0</v>
      </c>
      <c r="BK270" s="25">
        <f t="shared" si="126"/>
        <v>0</v>
      </c>
      <c r="BL270" s="25">
        <f t="shared" si="127"/>
        <v>0.68193832599118931</v>
      </c>
      <c r="BM270" s="25">
        <f t="shared" si="128"/>
        <v>9.6916299559471369E-2</v>
      </c>
      <c r="BN270" s="18" t="str">
        <f t="shared" si="134"/>
        <v>Baja fuente de proteína</v>
      </c>
      <c r="BO270" s="18" t="str">
        <f t="shared" si="135"/>
        <v>Baja fuente de fibra</v>
      </c>
      <c r="BP270" s="18" t="str">
        <f t="shared" si="136"/>
        <v>Baja fuente de calcio</v>
      </c>
      <c r="BQ270" s="18" t="str">
        <f t="shared" si="137"/>
        <v>Media fuente de hierro</v>
      </c>
      <c r="BR270" s="18" t="str">
        <f t="shared" si="138"/>
        <v>Bajo en sodio</v>
      </c>
      <c r="BS270" s="6" t="str">
        <f t="shared" si="129"/>
        <v>Proinflamatorio</v>
      </c>
      <c r="BT270" s="6" t="str">
        <f t="shared" si="130"/>
        <v>Muy alto en grasas</v>
      </c>
      <c r="BU270" s="18" t="str">
        <f t="shared" si="139"/>
        <v>Equilibrio de líquidos ideal</v>
      </c>
      <c r="BV270" s="18" t="str">
        <f t="shared" si="140"/>
        <v>Baja fuente de magnesio</v>
      </c>
      <c r="BW270" s="18" t="str">
        <f t="shared" si="141"/>
        <v>Sin aporte de Omega 3</v>
      </c>
      <c r="BX270" s="18" t="str">
        <f t="shared" si="142"/>
        <v>Contiene grasas trans</v>
      </c>
      <c r="BY270" s="18" t="str">
        <f t="shared" si="143"/>
        <v>Bajo poder antioxidante</v>
      </c>
      <c r="BZ270" s="6" t="str">
        <f t="shared" si="131"/>
        <v>Sin probióticos</v>
      </c>
      <c r="CA270" s="18" t="str">
        <f t="shared" si="144"/>
        <v>Moderadamente inflamatorio</v>
      </c>
      <c r="CB270" s="18" t="str">
        <f>IF(ISNUMBER(SEARCH("miel", D270)), "No irritante (Uso condicionado SII)", IF(OR(J270&gt;0, ISNUMBER(SEARCH("cacao", D270)), ISNUMBER(SEARCH("chocolate puro", D270))), "Altamente irritante", IF(OR(AND(O270&gt;15, BI270&gt;1), ISNUMBER(SEARCH("chocolate", D270))), "Moderadamente irritante", "No irritante")))</f>
        <v>No irritante</v>
      </c>
      <c r="CC270" s="6" t="str">
        <f t="shared" si="132"/>
        <v>Exceso relativo de Omega 6</v>
      </c>
    </row>
    <row r="271" spans="1:81" ht="15" customHeight="1" x14ac:dyDescent="0.3">
      <c r="A271" s="2">
        <f t="shared" si="133"/>
        <v>270</v>
      </c>
      <c r="B271" s="3" t="s">
        <v>391</v>
      </c>
      <c r="C271" s="3" t="s">
        <v>392</v>
      </c>
      <c r="D271" s="3" t="s">
        <v>402</v>
      </c>
      <c r="E271" s="3"/>
      <c r="F271" s="4">
        <v>2.4</v>
      </c>
      <c r="G271" s="5">
        <v>0.56999999999999995</v>
      </c>
      <c r="H271" s="5">
        <v>157</v>
      </c>
      <c r="I271" s="5">
        <v>71.3</v>
      </c>
      <c r="J271" s="5">
        <v>0</v>
      </c>
      <c r="K271" s="5">
        <v>20.2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8.5</v>
      </c>
      <c r="R271" s="5">
        <v>2.2000000000000002</v>
      </c>
      <c r="S271" s="5">
        <v>3</v>
      </c>
      <c r="T271" s="5">
        <v>2.4</v>
      </c>
      <c r="U271" s="5">
        <v>74</v>
      </c>
      <c r="V271" s="5">
        <v>13</v>
      </c>
      <c r="W271" s="5">
        <v>13</v>
      </c>
      <c r="X271" s="5">
        <v>0</v>
      </c>
      <c r="Y271" s="5">
        <v>0</v>
      </c>
      <c r="Z271" s="5">
        <v>0</v>
      </c>
      <c r="AA271" s="5">
        <v>7</v>
      </c>
      <c r="AB271" s="5">
        <v>0.1</v>
      </c>
      <c r="AC271" s="5">
        <v>0.18</v>
      </c>
      <c r="AD271" s="5">
        <v>10.6</v>
      </c>
      <c r="AE271" s="5">
        <v>0.46</v>
      </c>
      <c r="AF271" s="5">
        <v>16</v>
      </c>
      <c r="AG271" s="5">
        <v>2</v>
      </c>
      <c r="AH271" s="5">
        <v>0.8</v>
      </c>
      <c r="AI271" s="5">
        <v>2</v>
      </c>
      <c r="AJ271" s="5">
        <v>0</v>
      </c>
      <c r="AK271" s="5">
        <v>15</v>
      </c>
      <c r="AL271" s="5">
        <v>175</v>
      </c>
      <c r="AM271" s="5">
        <v>0.98</v>
      </c>
      <c r="AN271" s="5">
        <v>2</v>
      </c>
      <c r="AO271" s="5">
        <v>2.4</v>
      </c>
      <c r="AP271" s="5">
        <v>20</v>
      </c>
      <c r="AQ271" s="5">
        <v>63</v>
      </c>
      <c r="AR271" s="5">
        <v>247</v>
      </c>
      <c r="AS271" s="5">
        <v>1.9E-2</v>
      </c>
      <c r="AT271" s="5">
        <v>7.0000000000000007E-2</v>
      </c>
      <c r="AU271" s="5">
        <v>28.6</v>
      </c>
      <c r="AV271" s="5">
        <f>IFERROR(VLOOKUP(IFERROR(VLOOKUP(D271,Mapa_Similitud!$A$2:$B$2000,2,FALSE()),D271),Hoja1!$A$2:$K$1000,2,FALSE()),IFERROR(VLOOKUP(IFERROR(VLOOKUP(D271,Mapa_Similitud!$A$2:$B$2000,2,FALSE()),D271),Omega3_Referencia!$A$2:$E$100,3,FALSE()),0))</f>
        <v>0.02</v>
      </c>
      <c r="AW271" s="3" t="str">
        <f>IFERROR(VLOOKUP(IFERROR(VLOOKUP(D271,Mapa_Similitud!$A$2:$B$2000,2,FALSE()),D271),Hoja1!$A$2:$K$1000,3,FALSE()),IFERROR(VLOOKUP(IFERROR(VLOOKUP(D271,Mapa_Similitud!$A$2:$B$2000,2,FALSE()),D271),Omega3_Referencia!$A$2:$E$100,4,FALSE()),"N/A"))</f>
        <v>ALA</v>
      </c>
      <c r="AX271" s="5">
        <f>IFERROR(VLOOKUP(IFERROR(VLOOKUP(D271,Mapa_Similitud!$A$2:$B$2000,2,FALSE()),D271),Hoja1!$A$2:$K$1000,5,FALSE()),0)</f>
        <v>0</v>
      </c>
      <c r="AY271" s="5">
        <f>IFERROR(VLOOKUP(IFERROR(VLOOKUP(D271,Mapa_Similitud!$A$2:$B$2000,2,FALSE()),D271),Hoja1!$A$2:$K$1000,7,FALSE()),0)</f>
        <v>0</v>
      </c>
      <c r="AZ271" s="5">
        <f>IFERROR(VLOOKUP(IFERROR(VLOOKUP(D271,Mapa_Similitud!$A$2:$B$2000,2,FALSE()),D271),Hoja1!$A$2:$K$1000,9,FALSE()),0)</f>
        <v>0</v>
      </c>
      <c r="BA271" s="25">
        <f t="shared" si="116"/>
        <v>0.1286624203821656</v>
      </c>
      <c r="BB271" s="25">
        <f t="shared" si="117"/>
        <v>0</v>
      </c>
      <c r="BC271" s="25">
        <f t="shared" si="118"/>
        <v>9.5541401273885357E-2</v>
      </c>
      <c r="BD271" s="25">
        <f t="shared" si="119"/>
        <v>6.2420382165605092E-3</v>
      </c>
      <c r="BE271" s="25">
        <f t="shared" si="120"/>
        <v>0.40127388535031849</v>
      </c>
      <c r="BF271" s="25">
        <f t="shared" si="121"/>
        <v>1.0909090909090908</v>
      </c>
      <c r="BG271" s="25">
        <f t="shared" si="122"/>
        <v>8.5714285714285715E-2</v>
      </c>
      <c r="BH271" s="25">
        <f t="shared" si="123"/>
        <v>0.25882352941176473</v>
      </c>
      <c r="BI271" s="25">
        <f t="shared" si="124"/>
        <v>0.25506072874493929</v>
      </c>
      <c r="BJ271" s="25">
        <f t="shared" si="125"/>
        <v>0</v>
      </c>
      <c r="BK271" s="25">
        <f t="shared" si="126"/>
        <v>0</v>
      </c>
      <c r="BL271" s="25">
        <f t="shared" si="127"/>
        <v>0.48726114649681529</v>
      </c>
      <c r="BM271" s="25">
        <f t="shared" si="128"/>
        <v>0.12738853503184713</v>
      </c>
      <c r="BN271" s="18" t="str">
        <f t="shared" si="134"/>
        <v>Media fuente de proteína</v>
      </c>
      <c r="BO271" s="18" t="str">
        <f t="shared" si="135"/>
        <v>Baja fuente de fibra</v>
      </c>
      <c r="BP271" s="18" t="str">
        <f t="shared" si="136"/>
        <v>Baja fuente de calcio</v>
      </c>
      <c r="BQ271" s="18" t="str">
        <f t="shared" si="137"/>
        <v>Baja fuente de hierro</v>
      </c>
      <c r="BR271" s="18" t="str">
        <f t="shared" si="138"/>
        <v>Bajo en sodio</v>
      </c>
      <c r="BS271" s="6" t="str">
        <f t="shared" si="129"/>
        <v>Ligeramente antiinflamatorio</v>
      </c>
      <c r="BT271" s="6" t="str">
        <f t="shared" si="130"/>
        <v>Muy alto en grasas</v>
      </c>
      <c r="BU271" s="18" t="str">
        <f t="shared" si="139"/>
        <v>Equilibrio de líquidos ideal</v>
      </c>
      <c r="BV271" s="18" t="str">
        <f t="shared" si="140"/>
        <v>Baja fuente de magnesio</v>
      </c>
      <c r="BW271" s="18" t="str">
        <f t="shared" si="141"/>
        <v>Sin aporte de Omega 3</v>
      </c>
      <c r="BX271" s="18" t="str">
        <f t="shared" si="142"/>
        <v>Libre de grasas trans</v>
      </c>
      <c r="BY271" s="18" t="str">
        <f t="shared" si="143"/>
        <v>Bajo poder antioxidante</v>
      </c>
      <c r="BZ271" s="6" t="str">
        <f t="shared" si="131"/>
        <v>Sin probióticos</v>
      </c>
      <c r="CA271" s="18" t="str">
        <f t="shared" si="144"/>
        <v>Poco inflamatorio</v>
      </c>
      <c r="CB271" s="18" t="str">
        <f>IF(ISNUMBER(SEARCH("miel", D271)), "No irritante (Uso condicionado SII)", IF(OR(J271&gt;0, ISNUMBER(SEARCH("cacao", D271)), ISNUMBER(SEARCH("chocolate puro", D271))), "Altamente irritante", IF(OR(AND(O271&gt;15, BI271&gt;1), ISNUMBER(SEARCH("chocolate", D271))), "Moderadamente irritante", "No irritante")))</f>
        <v>No irritante</v>
      </c>
      <c r="CC271" s="6" t="str">
        <f t="shared" si="132"/>
        <v>Exceso relativo de Omega 6</v>
      </c>
    </row>
    <row r="272" spans="1:81" ht="15" customHeight="1" x14ac:dyDescent="0.3">
      <c r="A272" s="2">
        <f t="shared" si="133"/>
        <v>271</v>
      </c>
      <c r="B272" s="3" t="s">
        <v>391</v>
      </c>
      <c r="C272" s="3" t="s">
        <v>392</v>
      </c>
      <c r="D272" s="3" t="s">
        <v>403</v>
      </c>
      <c r="E272" s="3"/>
      <c r="F272" s="4">
        <v>2.4</v>
      </c>
      <c r="G272" s="5">
        <v>0.89</v>
      </c>
      <c r="H272" s="5">
        <v>105</v>
      </c>
      <c r="I272" s="5">
        <v>74.900000000000006</v>
      </c>
      <c r="J272" s="5">
        <v>0</v>
      </c>
      <c r="K272" s="5">
        <v>24.1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0.99</v>
      </c>
      <c r="R272" s="5">
        <v>0.36</v>
      </c>
      <c r="S272" s="5">
        <v>0.22</v>
      </c>
      <c r="T272" s="5">
        <v>0.24</v>
      </c>
      <c r="U272" s="5">
        <v>45</v>
      </c>
      <c r="V272" s="5">
        <v>10</v>
      </c>
      <c r="W272" s="5">
        <v>10</v>
      </c>
      <c r="X272" s="5">
        <v>0</v>
      </c>
      <c r="Y272" s="5">
        <v>0</v>
      </c>
      <c r="Z272" s="5">
        <v>0</v>
      </c>
      <c r="AA272" s="5">
        <v>7</v>
      </c>
      <c r="AB272" s="5">
        <v>4.7E-2</v>
      </c>
      <c r="AC272" s="5">
        <v>8.1000000000000003E-2</v>
      </c>
      <c r="AD272" s="5">
        <v>11.6</v>
      </c>
      <c r="AE272" s="5">
        <v>0.46</v>
      </c>
      <c r="AF272" s="5">
        <v>7</v>
      </c>
      <c r="AG272" s="5">
        <v>0.52</v>
      </c>
      <c r="AH272" s="5">
        <v>0.59</v>
      </c>
      <c r="AI272" s="5">
        <v>0</v>
      </c>
      <c r="AJ272" s="5">
        <v>0</v>
      </c>
      <c r="AK272" s="5">
        <v>8</v>
      </c>
      <c r="AL272" s="5">
        <v>210</v>
      </c>
      <c r="AM272" s="5">
        <v>1</v>
      </c>
      <c r="AN272" s="5">
        <v>2</v>
      </c>
      <c r="AO272" s="5">
        <v>1.8</v>
      </c>
      <c r="AP272" s="5">
        <v>20</v>
      </c>
      <c r="AQ272" s="5">
        <v>46</v>
      </c>
      <c r="AR272" s="5">
        <v>333</v>
      </c>
      <c r="AS272" s="5">
        <v>0.03</v>
      </c>
      <c r="AT272" s="5">
        <v>0.13</v>
      </c>
      <c r="AU272" s="5">
        <v>22.4</v>
      </c>
      <c r="AV272" s="5">
        <f>IFERROR(VLOOKUP(IFERROR(VLOOKUP(D272,Mapa_Similitud!$A$2:$B$2000,2,FALSE()),D272),Hoja1!$A$2:$K$1000,2,FALSE()),IFERROR(VLOOKUP(IFERROR(VLOOKUP(D272,Mapa_Similitud!$A$2:$B$2000,2,FALSE()),D272),Omega3_Referencia!$A$2:$E$100,3,FALSE()),0))</f>
        <v>0.02</v>
      </c>
      <c r="AW272" s="3" t="str">
        <f>IFERROR(VLOOKUP(IFERROR(VLOOKUP(D272,Mapa_Similitud!$A$2:$B$2000,2,FALSE()),D272),Hoja1!$A$2:$K$1000,3,FALSE()),IFERROR(VLOOKUP(IFERROR(VLOOKUP(D272,Mapa_Similitud!$A$2:$B$2000,2,FALSE()),D272),Omega3_Referencia!$A$2:$E$100,4,FALSE()),"N/A"))</f>
        <v>ALA</v>
      </c>
      <c r="AX272" s="5">
        <f>IFERROR(VLOOKUP(IFERROR(VLOOKUP(D272,Mapa_Similitud!$A$2:$B$2000,2,FALSE()),D272),Hoja1!$A$2:$K$1000,5,FALSE()),0)</f>
        <v>0</v>
      </c>
      <c r="AY272" s="5">
        <f>IFERROR(VLOOKUP(IFERROR(VLOOKUP(D272,Mapa_Similitud!$A$2:$B$2000,2,FALSE()),D272),Hoja1!$A$2:$K$1000,7,FALSE()),0)</f>
        <v>0</v>
      </c>
      <c r="AZ272" s="5">
        <f>IFERROR(VLOOKUP(IFERROR(VLOOKUP(D272,Mapa_Similitud!$A$2:$B$2000,2,FALSE()),D272),Hoja1!$A$2:$K$1000,9,FALSE()),0)</f>
        <v>0</v>
      </c>
      <c r="BA272" s="25">
        <f t="shared" si="116"/>
        <v>0.22952380952380955</v>
      </c>
      <c r="BB272" s="25">
        <f t="shared" si="117"/>
        <v>0</v>
      </c>
      <c r="BC272" s="25">
        <f t="shared" si="118"/>
        <v>7.6190476190476197E-2</v>
      </c>
      <c r="BD272" s="25">
        <f t="shared" si="119"/>
        <v>9.5238095238095247E-3</v>
      </c>
      <c r="BE272" s="25">
        <f t="shared" si="120"/>
        <v>0.43809523809523809</v>
      </c>
      <c r="BF272" s="25">
        <f t="shared" si="121"/>
        <v>0.66666666666666663</v>
      </c>
      <c r="BG272" s="25">
        <f t="shared" si="122"/>
        <v>3.8095238095238099E-2</v>
      </c>
      <c r="BH272" s="25">
        <f t="shared" si="123"/>
        <v>0.36363636363636365</v>
      </c>
      <c r="BI272" s="25">
        <f t="shared" si="124"/>
        <v>0.13813813813813813</v>
      </c>
      <c r="BJ272" s="25">
        <f t="shared" si="125"/>
        <v>0</v>
      </c>
      <c r="BK272" s="25">
        <f t="shared" si="126"/>
        <v>0</v>
      </c>
      <c r="BL272" s="25">
        <f t="shared" si="127"/>
        <v>8.4857142857142853E-2</v>
      </c>
      <c r="BM272" s="25">
        <f t="shared" si="128"/>
        <v>0.19047619047619047</v>
      </c>
      <c r="BN272" s="18" t="str">
        <f t="shared" si="134"/>
        <v>Muy alta fuente de proteína</v>
      </c>
      <c r="BO272" s="18" t="str">
        <f t="shared" si="135"/>
        <v>Baja fuente de fibra</v>
      </c>
      <c r="BP272" s="18" t="str">
        <f t="shared" si="136"/>
        <v>Baja fuente de calcio</v>
      </c>
      <c r="BQ272" s="18" t="str">
        <f t="shared" si="137"/>
        <v>Media fuente de hierro</v>
      </c>
      <c r="BR272" s="18" t="str">
        <f t="shared" si="138"/>
        <v>Bajo en sodio</v>
      </c>
      <c r="BS272" s="6" t="str">
        <f t="shared" si="129"/>
        <v>Neutro</v>
      </c>
      <c r="BT272" s="6" t="str">
        <f t="shared" si="130"/>
        <v>Bajo en grasas</v>
      </c>
      <c r="BU272" s="18" t="str">
        <f t="shared" si="139"/>
        <v>Equilibrio de líquidos ideal</v>
      </c>
      <c r="BV272" s="18" t="str">
        <f t="shared" si="140"/>
        <v>Baja fuente de magnesio</v>
      </c>
      <c r="BW272" s="18" t="str">
        <f t="shared" si="141"/>
        <v>Sin aporte de Omega 3</v>
      </c>
      <c r="BX272" s="18" t="str">
        <f t="shared" si="142"/>
        <v>Libre de grasas trans</v>
      </c>
      <c r="BY272" s="18" t="str">
        <f t="shared" si="143"/>
        <v>Bajo poder antioxidante</v>
      </c>
      <c r="BZ272" s="6" t="str">
        <f t="shared" si="131"/>
        <v>Sin probióticos</v>
      </c>
      <c r="CA272" s="18" t="str">
        <f t="shared" si="144"/>
        <v>Poco inflamatorio</v>
      </c>
      <c r="CB272" s="18" t="str">
        <f>IF(ISNUMBER(SEARCH("miel", D272)), "No irritante (Uso condicionado SII)", IF(OR(J272&gt;0, ISNUMBER(SEARCH("cacao", D272)), ISNUMBER(SEARCH("chocolate puro", D272))), "Altamente irritante", IF(OR(AND(O272&gt;15, BI272&gt;1), ISNUMBER(SEARCH("chocolate", D272))), "Moderadamente irritante", "No irritante")))</f>
        <v>No irritante</v>
      </c>
      <c r="CC272" s="6" t="str">
        <f t="shared" si="132"/>
        <v>Exceso relativo de Omega 6</v>
      </c>
    </row>
    <row r="273" spans="1:81" ht="15" customHeight="1" x14ac:dyDescent="0.3">
      <c r="A273" s="2">
        <f t="shared" si="133"/>
        <v>272</v>
      </c>
      <c r="B273" s="3" t="s">
        <v>391</v>
      </c>
      <c r="C273" s="3" t="s">
        <v>392</v>
      </c>
      <c r="D273" s="3" t="s">
        <v>404</v>
      </c>
      <c r="E273" s="3"/>
      <c r="F273" s="4">
        <v>1.5</v>
      </c>
      <c r="G273" s="5">
        <v>0.9</v>
      </c>
      <c r="H273" s="5">
        <v>145</v>
      </c>
      <c r="I273" s="5">
        <v>71.599999999999994</v>
      </c>
      <c r="J273" s="5">
        <v>0</v>
      </c>
      <c r="K273" s="5">
        <v>22.2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6.2</v>
      </c>
      <c r="R273" s="5">
        <v>1.9</v>
      </c>
      <c r="S273" s="5">
        <v>1.9</v>
      </c>
      <c r="T273" s="5">
        <v>1.5</v>
      </c>
      <c r="U273" s="5">
        <v>62</v>
      </c>
      <c r="V273" s="5">
        <v>11</v>
      </c>
      <c r="W273" s="5">
        <v>11</v>
      </c>
      <c r="X273" s="5">
        <v>0</v>
      </c>
      <c r="Y273" s="5">
        <v>0</v>
      </c>
      <c r="Z273" s="5">
        <v>0.25</v>
      </c>
      <c r="AA273" s="5">
        <v>1</v>
      </c>
      <c r="AB273" s="5">
        <v>7.0000000000000007E-2</v>
      </c>
      <c r="AC273" s="5">
        <v>0.09</v>
      </c>
      <c r="AD273" s="5">
        <v>12.1</v>
      </c>
      <c r="AE273" s="5">
        <v>0.53</v>
      </c>
      <c r="AF273" s="5">
        <v>9</v>
      </c>
      <c r="AG273" s="5">
        <v>0</v>
      </c>
      <c r="AH273" s="5">
        <v>0.84</v>
      </c>
      <c r="AI273" s="5">
        <v>0</v>
      </c>
      <c r="AJ273" s="5">
        <v>4.5999999999999996</v>
      </c>
      <c r="AK273" s="5">
        <v>14</v>
      </c>
      <c r="AL273" s="5">
        <v>212</v>
      </c>
      <c r="AM273" s="5">
        <v>1.1000000000000001</v>
      </c>
      <c r="AN273" s="5">
        <v>6.9</v>
      </c>
      <c r="AO273" s="5">
        <v>0.8</v>
      </c>
      <c r="AP273" s="5">
        <v>21</v>
      </c>
      <c r="AQ273" s="5">
        <v>66</v>
      </c>
      <c r="AR273" s="5">
        <v>264</v>
      </c>
      <c r="AS273" s="5">
        <v>1.7999999999999999E-2</v>
      </c>
      <c r="AT273" s="5">
        <v>3.9E-2</v>
      </c>
      <c r="AU273" s="5">
        <v>6.5</v>
      </c>
      <c r="AV273" s="5">
        <f>IFERROR(VLOOKUP(IFERROR(VLOOKUP(D273,Mapa_Similitud!$A$2:$B$2000,2,FALSE()),D273),Hoja1!$A$2:$K$1000,2,FALSE()),IFERROR(VLOOKUP(IFERROR(VLOOKUP(D273,Mapa_Similitud!$A$2:$B$2000,2,FALSE()),D273),Omega3_Referencia!$A$2:$E$100,3,FALSE()),0))</f>
        <v>0.02</v>
      </c>
      <c r="AW273" s="3" t="str">
        <f>IFERROR(VLOOKUP(IFERROR(VLOOKUP(D273,Mapa_Similitud!$A$2:$B$2000,2,FALSE()),D273),Hoja1!$A$2:$K$1000,3,FALSE()),IFERROR(VLOOKUP(IFERROR(VLOOKUP(D273,Mapa_Similitud!$A$2:$B$2000,2,FALSE()),D273),Omega3_Referencia!$A$2:$E$100,4,FALSE()),"N/A"))</f>
        <v>ALA</v>
      </c>
      <c r="AX273" s="5">
        <f>IFERROR(VLOOKUP(IFERROR(VLOOKUP(D273,Mapa_Similitud!$A$2:$B$2000,2,FALSE()),D273),Hoja1!$A$2:$K$1000,5,FALSE()),0)</f>
        <v>0</v>
      </c>
      <c r="AY273" s="5">
        <f>IFERROR(VLOOKUP(IFERROR(VLOOKUP(D273,Mapa_Similitud!$A$2:$B$2000,2,FALSE()),D273),Hoja1!$A$2:$K$1000,7,FALSE()),0)</f>
        <v>0</v>
      </c>
      <c r="AZ273" s="5">
        <f>IFERROR(VLOOKUP(IFERROR(VLOOKUP(D273,Mapa_Similitud!$A$2:$B$2000,2,FALSE()),D273),Hoja1!$A$2:$K$1000,9,FALSE()),0)</f>
        <v>0</v>
      </c>
      <c r="BA273" s="25">
        <f t="shared" si="116"/>
        <v>0.15310344827586206</v>
      </c>
      <c r="BB273" s="25">
        <f t="shared" si="117"/>
        <v>0</v>
      </c>
      <c r="BC273" s="25">
        <f t="shared" si="118"/>
        <v>9.6551724137931033E-2</v>
      </c>
      <c r="BD273" s="25">
        <f t="shared" si="119"/>
        <v>7.5862068965517251E-3</v>
      </c>
      <c r="BE273" s="25">
        <f t="shared" si="120"/>
        <v>0.45517241379310347</v>
      </c>
      <c r="BF273" s="25">
        <f t="shared" si="121"/>
        <v>0.78947368421052633</v>
      </c>
      <c r="BG273" s="25">
        <f t="shared" si="122"/>
        <v>6.6037735849056603E-2</v>
      </c>
      <c r="BH273" s="25">
        <f t="shared" si="123"/>
        <v>0.30645161290322576</v>
      </c>
      <c r="BI273" s="25">
        <f t="shared" si="124"/>
        <v>0.25</v>
      </c>
      <c r="BJ273" s="25">
        <f t="shared" si="125"/>
        <v>0</v>
      </c>
      <c r="BK273" s="25">
        <f t="shared" si="126"/>
        <v>0</v>
      </c>
      <c r="BL273" s="25">
        <f t="shared" si="127"/>
        <v>0.38482758620689655</v>
      </c>
      <c r="BM273" s="25">
        <f t="shared" si="128"/>
        <v>0.14482758620689656</v>
      </c>
      <c r="BN273" s="18" t="str">
        <f t="shared" si="134"/>
        <v>Alta fuente de proteína</v>
      </c>
      <c r="BO273" s="18" t="str">
        <f t="shared" si="135"/>
        <v>Baja fuente de fibra</v>
      </c>
      <c r="BP273" s="18" t="str">
        <f t="shared" si="136"/>
        <v>Baja fuente de calcio</v>
      </c>
      <c r="BQ273" s="18" t="str">
        <f t="shared" si="137"/>
        <v>Baja fuente de hierro</v>
      </c>
      <c r="BR273" s="18" t="str">
        <f t="shared" si="138"/>
        <v>Bajo en sodio</v>
      </c>
      <c r="BS273" s="6" t="str">
        <f t="shared" si="129"/>
        <v>Neutro</v>
      </c>
      <c r="BT273" s="6" t="str">
        <f t="shared" si="130"/>
        <v>Alto en grasas</v>
      </c>
      <c r="BU273" s="18" t="str">
        <f t="shared" si="139"/>
        <v>Equilibrio de líquidos ideal</v>
      </c>
      <c r="BV273" s="18" t="str">
        <f t="shared" si="140"/>
        <v>Baja fuente de magnesio</v>
      </c>
      <c r="BW273" s="18" t="str">
        <f t="shared" si="141"/>
        <v>Sin aporte de Omega 3</v>
      </c>
      <c r="BX273" s="18" t="str">
        <f t="shared" si="142"/>
        <v>Libre de grasas trans</v>
      </c>
      <c r="BY273" s="18" t="str">
        <f t="shared" si="143"/>
        <v>Bajo poder antioxidante</v>
      </c>
      <c r="BZ273" s="6" t="str">
        <f t="shared" si="131"/>
        <v>Sin probióticos</v>
      </c>
      <c r="CA273" s="18" t="str">
        <f t="shared" si="144"/>
        <v>Poco inflamatorio</v>
      </c>
      <c r="CB273" s="18" t="str">
        <f>IF(ISNUMBER(SEARCH("miel", D273)), "No irritante (Uso condicionado SII)", IF(OR(J273&gt;0, ISNUMBER(SEARCH("cacao", D273)), ISNUMBER(SEARCH("chocolate puro", D273))), "Altamente irritante", IF(OR(AND(O273&gt;15, BI273&gt;1), ISNUMBER(SEARCH("chocolate", D273))), "Moderadamente irritante", "No irritante")))</f>
        <v>No irritante</v>
      </c>
      <c r="CC273" s="6" t="str">
        <f t="shared" si="132"/>
        <v>Exceso relativo de Omega 6</v>
      </c>
    </row>
    <row r="274" spans="1:81" ht="15" customHeight="1" x14ac:dyDescent="0.3">
      <c r="A274" s="2">
        <f t="shared" si="133"/>
        <v>273</v>
      </c>
      <c r="B274" s="3" t="s">
        <v>391</v>
      </c>
      <c r="C274" s="3" t="s">
        <v>392</v>
      </c>
      <c r="D274" s="3" t="s">
        <v>405</v>
      </c>
      <c r="E274" s="3" t="s">
        <v>406</v>
      </c>
      <c r="F274" s="4">
        <v>1.2</v>
      </c>
      <c r="G274" s="5">
        <v>0.64</v>
      </c>
      <c r="H274" s="5">
        <v>166</v>
      </c>
      <c r="I274" s="5">
        <v>70.5</v>
      </c>
      <c r="J274" s="5">
        <v>0</v>
      </c>
      <c r="K274" s="5">
        <v>19.899999999999999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9.6</v>
      </c>
      <c r="R274" s="5">
        <v>2.6</v>
      </c>
      <c r="S274" s="5">
        <v>3.1</v>
      </c>
      <c r="T274" s="5">
        <v>2.4</v>
      </c>
      <c r="U274" s="5">
        <v>99</v>
      </c>
      <c r="V274" s="5">
        <v>39</v>
      </c>
      <c r="W274" s="5">
        <v>39</v>
      </c>
      <c r="X274" s="5">
        <v>0</v>
      </c>
      <c r="Y274" s="5">
        <v>0.1</v>
      </c>
      <c r="Z274" s="5">
        <v>0.66</v>
      </c>
      <c r="AA274" s="5">
        <v>0</v>
      </c>
      <c r="AB274" s="5">
        <v>8.3000000000000004E-2</v>
      </c>
      <c r="AC274" s="5">
        <v>0.16</v>
      </c>
      <c r="AD274" s="5">
        <v>11.7</v>
      </c>
      <c r="AE274" s="5">
        <v>0.5</v>
      </c>
      <c r="AF274" s="5">
        <v>12</v>
      </c>
      <c r="AG274" s="5">
        <v>0.4</v>
      </c>
      <c r="AH274" s="5">
        <v>0.96</v>
      </c>
      <c r="AI274" s="5">
        <v>2</v>
      </c>
      <c r="AJ274" s="5">
        <v>2.5</v>
      </c>
      <c r="AK274" s="5">
        <v>13</v>
      </c>
      <c r="AL274" s="5">
        <v>165</v>
      </c>
      <c r="AM274" s="5">
        <v>0.73</v>
      </c>
      <c r="AN274" s="5">
        <v>6.9</v>
      </c>
      <c r="AO274" s="5">
        <v>1</v>
      </c>
      <c r="AP274" s="5">
        <v>19</v>
      </c>
      <c r="AQ274" s="5">
        <v>83</v>
      </c>
      <c r="AR274" s="5">
        <v>262</v>
      </c>
      <c r="AS274" s="5">
        <v>1.4999999999999999E-2</v>
      </c>
      <c r="AT274" s="5">
        <v>4.2000000000000003E-2</v>
      </c>
      <c r="AU274" s="5">
        <v>10</v>
      </c>
      <c r="AV274" s="5">
        <f>IFERROR(VLOOKUP(IFERROR(VLOOKUP(D274,Mapa_Similitud!$A$2:$B$2000,2,FALSE()),D274),Hoja1!$A$2:$K$1000,2,FALSE()),IFERROR(VLOOKUP(IFERROR(VLOOKUP(D274,Mapa_Similitud!$A$2:$B$2000,2,FALSE()),D274),Omega3_Referencia!$A$2:$E$100,3,FALSE()),0))</f>
        <v>0.03</v>
      </c>
      <c r="AW274" s="3" t="str">
        <f>IFERROR(VLOOKUP(IFERROR(VLOOKUP(D274,Mapa_Similitud!$A$2:$B$2000,2,FALSE()),D274),Hoja1!$A$2:$K$1000,3,FALSE()),IFERROR(VLOOKUP(IFERROR(VLOOKUP(D274,Mapa_Similitud!$A$2:$B$2000,2,FALSE()),D274),Omega3_Referencia!$A$2:$E$100,4,FALSE()),"N/A"))</f>
        <v>ALA</v>
      </c>
      <c r="AX274" s="5">
        <f>IFERROR(VLOOKUP(IFERROR(VLOOKUP(D274,Mapa_Similitud!$A$2:$B$2000,2,FALSE()),D274),Hoja1!$A$2:$K$1000,5,FALSE()),0)</f>
        <v>0.1</v>
      </c>
      <c r="AY274" s="5">
        <f>IFERROR(VLOOKUP(IFERROR(VLOOKUP(D274,Mapa_Similitud!$A$2:$B$2000,2,FALSE()),D274),Hoja1!$A$2:$K$1000,7,FALSE()),0)</f>
        <v>0</v>
      </c>
      <c r="AZ274" s="5">
        <f>IFERROR(VLOOKUP(IFERROR(VLOOKUP(D274,Mapa_Similitud!$A$2:$B$2000,2,FALSE()),D274),Hoja1!$A$2:$K$1000,9,FALSE()),0)</f>
        <v>0</v>
      </c>
      <c r="BA274" s="25">
        <f t="shared" si="116"/>
        <v>0.11987951807228915</v>
      </c>
      <c r="BB274" s="25">
        <f t="shared" si="117"/>
        <v>0</v>
      </c>
      <c r="BC274" s="25">
        <f t="shared" si="118"/>
        <v>7.8313253012048195E-2</v>
      </c>
      <c r="BD274" s="25">
        <f t="shared" si="119"/>
        <v>4.3975903614457829E-3</v>
      </c>
      <c r="BE274" s="25">
        <f t="shared" si="120"/>
        <v>0.5</v>
      </c>
      <c r="BF274" s="25">
        <f t="shared" si="121"/>
        <v>0.92307692307692302</v>
      </c>
      <c r="BG274" s="25">
        <f t="shared" si="122"/>
        <v>7.8787878787878782E-2</v>
      </c>
      <c r="BH274" s="25">
        <f t="shared" si="123"/>
        <v>0.27083333333333337</v>
      </c>
      <c r="BI274" s="25">
        <f t="shared" si="124"/>
        <v>0.31679389312977096</v>
      </c>
      <c r="BJ274" s="25">
        <f t="shared" si="125"/>
        <v>0</v>
      </c>
      <c r="BK274" s="25">
        <f t="shared" si="126"/>
        <v>0</v>
      </c>
      <c r="BL274" s="25">
        <f t="shared" si="127"/>
        <v>0.52048192771084334</v>
      </c>
      <c r="BM274" s="25">
        <f t="shared" si="128"/>
        <v>0.1144578313253012</v>
      </c>
      <c r="BN274" s="18" t="str">
        <f t="shared" si="134"/>
        <v>Media fuente de proteína</v>
      </c>
      <c r="BO274" s="18" t="str">
        <f t="shared" si="135"/>
        <v>Baja fuente de fibra</v>
      </c>
      <c r="BP274" s="18" t="str">
        <f t="shared" si="136"/>
        <v>Baja fuente de calcio</v>
      </c>
      <c r="BQ274" s="18" t="str">
        <f t="shared" si="137"/>
        <v>Baja fuente de hierro</v>
      </c>
      <c r="BR274" s="18" t="str">
        <f t="shared" si="138"/>
        <v>Bajo en sodio</v>
      </c>
      <c r="BS274" s="6" t="str">
        <f t="shared" si="129"/>
        <v>Neutro</v>
      </c>
      <c r="BT274" s="6" t="str">
        <f t="shared" si="130"/>
        <v>Muy alto en grasas</v>
      </c>
      <c r="BU274" s="18" t="str">
        <f t="shared" si="139"/>
        <v>Equilibrio de líquidos ideal</v>
      </c>
      <c r="BV274" s="18" t="str">
        <f t="shared" si="140"/>
        <v>Baja fuente de magnesio</v>
      </c>
      <c r="BW274" s="18" t="str">
        <f t="shared" si="141"/>
        <v>Sin aporte de Omega 3</v>
      </c>
      <c r="BX274" s="18" t="str">
        <f t="shared" si="142"/>
        <v>Contiene grasas trans</v>
      </c>
      <c r="BY274" s="18" t="str">
        <f t="shared" si="143"/>
        <v>Bajo poder antioxidante</v>
      </c>
      <c r="BZ274" s="6" t="str">
        <f t="shared" si="131"/>
        <v>Sin probióticos</v>
      </c>
      <c r="CA274" s="18" t="str">
        <f t="shared" si="144"/>
        <v>Moderadamente inflamatorio</v>
      </c>
      <c r="CB274" s="18" t="str">
        <f>IF(ISNUMBER(SEARCH("miel", D274)), "No irritante (Uso condicionado SII)", IF(OR(J274&gt;0, ISNUMBER(SEARCH("cacao", D274)), ISNUMBER(SEARCH("chocolate puro", D274))), "Altamente irritante", IF(OR(AND(O274&gt;15, BI274&gt;1), ISNUMBER(SEARCH("chocolate", D274))), "Moderadamente irritante", "No irritante")))</f>
        <v>No irritante</v>
      </c>
      <c r="CC274" s="6" t="str">
        <f t="shared" si="132"/>
        <v>Exceso relativo de Omega 6</v>
      </c>
    </row>
    <row r="275" spans="1:81" ht="15" customHeight="1" x14ac:dyDescent="0.3">
      <c r="A275" s="2">
        <f t="shared" si="133"/>
        <v>274</v>
      </c>
      <c r="B275" s="3" t="s">
        <v>391</v>
      </c>
      <c r="C275" s="3" t="s">
        <v>407</v>
      </c>
      <c r="D275" s="3" t="s">
        <v>408</v>
      </c>
      <c r="E275" s="3"/>
      <c r="F275" s="4">
        <v>3.5</v>
      </c>
      <c r="G275" s="5">
        <v>0.86</v>
      </c>
      <c r="H275" s="5">
        <v>682</v>
      </c>
      <c r="I275" s="5">
        <v>16.100000000000001</v>
      </c>
      <c r="J275" s="5">
        <v>0</v>
      </c>
      <c r="K275" s="5">
        <v>14.6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69.3</v>
      </c>
      <c r="R275" s="5">
        <v>28.2</v>
      </c>
      <c r="S275" s="5">
        <v>27.1</v>
      </c>
      <c r="T275" s="5">
        <v>7.2</v>
      </c>
      <c r="U275" s="5">
        <v>100</v>
      </c>
      <c r="V275" s="5">
        <v>0</v>
      </c>
      <c r="W275" s="5">
        <v>0</v>
      </c>
      <c r="X275" s="5">
        <v>0</v>
      </c>
      <c r="Y275" s="5">
        <v>0</v>
      </c>
      <c r="Z275" s="5">
        <v>0.08</v>
      </c>
      <c r="AA275" s="5">
        <v>46</v>
      </c>
      <c r="AB275" s="5">
        <v>0.37</v>
      </c>
      <c r="AC275" s="5">
        <v>0.15</v>
      </c>
      <c r="AD275" s="5">
        <v>3.4</v>
      </c>
      <c r="AE275" s="5">
        <v>0.28000000000000003</v>
      </c>
      <c r="AF275" s="5">
        <v>2</v>
      </c>
      <c r="AG275" s="5">
        <v>0</v>
      </c>
      <c r="AH275" s="5">
        <v>0.4</v>
      </c>
      <c r="AI275" s="5">
        <v>1</v>
      </c>
      <c r="AJ275" s="5">
        <v>0</v>
      </c>
      <c r="AK275" s="5">
        <v>8</v>
      </c>
      <c r="AL275" s="5">
        <v>120</v>
      </c>
      <c r="AM275" s="5">
        <v>1</v>
      </c>
      <c r="AN275" s="5">
        <v>13</v>
      </c>
      <c r="AO275" s="5">
        <v>1.7</v>
      </c>
      <c r="AP275" s="5">
        <v>15</v>
      </c>
      <c r="AQ275" s="5">
        <v>680</v>
      </c>
      <c r="AR275" s="5">
        <v>240</v>
      </c>
      <c r="AS275" s="5">
        <v>0.01</v>
      </c>
      <c r="AT275" s="5">
        <v>0.1</v>
      </c>
      <c r="AU275" s="5">
        <v>4</v>
      </c>
      <c r="AV275" s="5">
        <f>IFERROR(VLOOKUP(IFERROR(VLOOKUP(D275,Mapa_Similitud!$A$2:$B$2000,2,FALSE()),D275),Hoja1!$A$2:$K$1000,2,FALSE()),IFERROR(VLOOKUP(IFERROR(VLOOKUP(D275,Mapa_Similitud!$A$2:$B$2000,2,FALSE()),D275),Omega3_Referencia!$A$2:$E$100,3,FALSE()),0))</f>
        <v>0.06</v>
      </c>
      <c r="AW275" s="3" t="str">
        <f>IFERROR(VLOOKUP(IFERROR(VLOOKUP(D275,Mapa_Similitud!$A$2:$B$2000,2,FALSE()),D275),Hoja1!$A$2:$K$1000,3,FALSE()),IFERROR(VLOOKUP(IFERROR(VLOOKUP(D275,Mapa_Similitud!$A$2:$B$2000,2,FALSE()),D275),Omega3_Referencia!$A$2:$E$100,4,FALSE()),"N/A"))</f>
        <v>ALA</v>
      </c>
      <c r="AX275" s="5">
        <f>IFERROR(VLOOKUP(IFERROR(VLOOKUP(D275,Mapa_Similitud!$A$2:$B$2000,2,FALSE()),D275),Hoja1!$A$2:$K$1000,5,FALSE()),0)</f>
        <v>0.2</v>
      </c>
      <c r="AY275" s="5">
        <f>IFERROR(VLOOKUP(IFERROR(VLOOKUP(D275,Mapa_Similitud!$A$2:$B$2000,2,FALSE()),D275),Hoja1!$A$2:$K$1000,7,FALSE()),0)</f>
        <v>0</v>
      </c>
      <c r="AZ275" s="5">
        <f>IFERROR(VLOOKUP(IFERROR(VLOOKUP(D275,Mapa_Similitud!$A$2:$B$2000,2,FALSE()),D275),Hoja1!$A$2:$K$1000,9,FALSE()),0)</f>
        <v>0</v>
      </c>
      <c r="BA275" s="25">
        <f t="shared" si="116"/>
        <v>2.1407624633431085E-2</v>
      </c>
      <c r="BB275" s="25">
        <f t="shared" si="117"/>
        <v>0</v>
      </c>
      <c r="BC275" s="25">
        <f t="shared" si="118"/>
        <v>1.1730205278592375E-2</v>
      </c>
      <c r="BD275" s="25">
        <f t="shared" si="119"/>
        <v>1.4662756598240469E-3</v>
      </c>
      <c r="BE275" s="25">
        <f t="shared" si="120"/>
        <v>0.99706744868035191</v>
      </c>
      <c r="BF275" s="25">
        <f t="shared" si="121"/>
        <v>0.25531914893617025</v>
      </c>
      <c r="BG275" s="25">
        <f t="shared" si="122"/>
        <v>6.6666666666666666E-2</v>
      </c>
      <c r="BH275" s="25">
        <f t="shared" si="123"/>
        <v>0.40692640692640691</v>
      </c>
      <c r="BI275" s="25">
        <f t="shared" si="124"/>
        <v>2.8333333333333335</v>
      </c>
      <c r="BJ275" s="25">
        <f t="shared" si="125"/>
        <v>0</v>
      </c>
      <c r="BK275" s="25">
        <f t="shared" si="126"/>
        <v>0</v>
      </c>
      <c r="BL275" s="25">
        <f t="shared" si="127"/>
        <v>0.91451612903225799</v>
      </c>
      <c r="BM275" s="25">
        <f t="shared" si="128"/>
        <v>2.1994134897360705E-2</v>
      </c>
      <c r="BN275" s="18" t="str">
        <f t="shared" si="134"/>
        <v>Baja fuente de proteína</v>
      </c>
      <c r="BO275" s="18" t="str">
        <f t="shared" si="135"/>
        <v>Baja fuente de fibra</v>
      </c>
      <c r="BP275" s="18" t="str">
        <f t="shared" si="136"/>
        <v>Baja fuente de calcio</v>
      </c>
      <c r="BQ275" s="18" t="str">
        <f t="shared" si="137"/>
        <v>Baja fuente de hierro</v>
      </c>
      <c r="BR275" s="18" t="str">
        <f t="shared" si="138"/>
        <v>Moderado en sodio</v>
      </c>
      <c r="BS275" s="6" t="str">
        <f t="shared" si="129"/>
        <v>Proinflamatorio</v>
      </c>
      <c r="BT275" s="6" t="str">
        <f t="shared" si="130"/>
        <v>Muy alto en grasas</v>
      </c>
      <c r="BU275" s="18" t="str">
        <f t="shared" si="139"/>
        <v>Alto riesgo de retención de líquidos</v>
      </c>
      <c r="BV275" s="18" t="str">
        <f t="shared" si="140"/>
        <v>Baja fuente de magnesio</v>
      </c>
      <c r="BW275" s="18" t="str">
        <f t="shared" si="141"/>
        <v>Sin aporte de Omega 3</v>
      </c>
      <c r="BX275" s="18" t="str">
        <f t="shared" si="142"/>
        <v>Contiene grasas trans</v>
      </c>
      <c r="BY275" s="18" t="str">
        <f t="shared" si="143"/>
        <v>Bajo poder antioxidante</v>
      </c>
      <c r="BZ275" s="6" t="str">
        <f t="shared" si="131"/>
        <v>Sin probióticos</v>
      </c>
      <c r="CA275" s="18" t="str">
        <f t="shared" si="144"/>
        <v>Moderadamente inflamatorio</v>
      </c>
      <c r="CB275" s="18" t="str">
        <f>IF(ISNUMBER(SEARCH("miel", D275)), "No irritante (Uso condicionado SII)", IF(OR(J275&gt;0, ISNUMBER(SEARCH("cacao", D275)), ISNUMBER(SEARCH("chocolate puro", D275))), "Altamente irritante", IF(OR(AND(O275&gt;15, BI275&gt;1), ISNUMBER(SEARCH("chocolate", D275))), "Moderadamente irritante", "No irritante")))</f>
        <v>No irritante</v>
      </c>
      <c r="CC275" s="6" t="str">
        <f t="shared" si="132"/>
        <v>Exceso relativo de Omega 6</v>
      </c>
    </row>
    <row r="276" spans="1:81" ht="15" customHeight="1" x14ac:dyDescent="0.3">
      <c r="A276" s="2">
        <f t="shared" si="133"/>
        <v>275</v>
      </c>
      <c r="B276" s="3" t="s">
        <v>391</v>
      </c>
      <c r="C276" s="3" t="s">
        <v>407</v>
      </c>
      <c r="D276" s="3" t="s">
        <v>409</v>
      </c>
      <c r="E276" s="3"/>
      <c r="F276" s="4">
        <v>2.5</v>
      </c>
      <c r="G276" s="5">
        <v>1</v>
      </c>
      <c r="H276" s="5">
        <v>219</v>
      </c>
      <c r="I276" s="5">
        <v>66</v>
      </c>
      <c r="J276" s="5">
        <v>0</v>
      </c>
      <c r="K276" s="5">
        <v>17.5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16.5</v>
      </c>
      <c r="R276" s="5">
        <v>7</v>
      </c>
      <c r="S276" s="5">
        <v>7.8</v>
      </c>
      <c r="T276" s="5">
        <v>1.2</v>
      </c>
      <c r="U276" s="5">
        <v>70</v>
      </c>
      <c r="V276" s="5">
        <v>0</v>
      </c>
      <c r="W276" s="5">
        <v>0</v>
      </c>
      <c r="X276" s="5">
        <v>0</v>
      </c>
      <c r="Y276" s="5">
        <v>0</v>
      </c>
      <c r="Z276" s="5">
        <v>0.1</v>
      </c>
      <c r="AA276" s="5">
        <v>5</v>
      </c>
      <c r="AB276" s="5">
        <v>0.92</v>
      </c>
      <c r="AC276" s="5">
        <v>0.21</v>
      </c>
      <c r="AD276" s="5">
        <v>7.2</v>
      </c>
      <c r="AE276" s="5">
        <v>0.39</v>
      </c>
      <c r="AF276" s="5">
        <v>4</v>
      </c>
      <c r="AG276" s="5">
        <v>0.56000000000000005</v>
      </c>
      <c r="AH276" s="5">
        <v>0.6</v>
      </c>
      <c r="AI276" s="5">
        <v>0</v>
      </c>
      <c r="AJ276" s="5">
        <v>0</v>
      </c>
      <c r="AK276" s="5">
        <v>9</v>
      </c>
      <c r="AL276" s="5">
        <v>149</v>
      </c>
      <c r="AM276" s="5">
        <v>1.8</v>
      </c>
      <c r="AN276" s="5">
        <v>2</v>
      </c>
      <c r="AO276" s="5">
        <v>2.7</v>
      </c>
      <c r="AP276" s="5">
        <v>18</v>
      </c>
      <c r="AQ276" s="5">
        <v>74</v>
      </c>
      <c r="AR276" s="5">
        <v>291</v>
      </c>
      <c r="AS276" s="5">
        <v>1.0999999999999999E-2</v>
      </c>
      <c r="AT276" s="5">
        <v>8.4000000000000005E-2</v>
      </c>
      <c r="AU276" s="5">
        <v>25.5</v>
      </c>
      <c r="AV276" s="5">
        <f>IFERROR(VLOOKUP(IFERROR(VLOOKUP(D276,Mapa_Similitud!$A$2:$B$2000,2,FALSE()),D276),Hoja1!$A$2:$K$1000,2,FALSE()),IFERROR(VLOOKUP(IFERROR(VLOOKUP(D276,Mapa_Similitud!$A$2:$B$2000,2,FALSE()),D276),Omega3_Referencia!$A$2:$E$100,3,FALSE()),0))</f>
        <v>0.04</v>
      </c>
      <c r="AW276" s="3" t="str">
        <f>IFERROR(VLOOKUP(IFERROR(VLOOKUP(D276,Mapa_Similitud!$A$2:$B$2000,2,FALSE()),D276),Hoja1!$A$2:$K$1000,3,FALSE()),IFERROR(VLOOKUP(IFERROR(VLOOKUP(D276,Mapa_Similitud!$A$2:$B$2000,2,FALSE()),D276),Omega3_Referencia!$A$2:$E$100,4,FALSE()),"N/A"))</f>
        <v>ALA</v>
      </c>
      <c r="AX276" s="5">
        <f>IFERROR(VLOOKUP(IFERROR(VLOOKUP(D276,Mapa_Similitud!$A$2:$B$2000,2,FALSE()),D276),Hoja1!$A$2:$K$1000,5,FALSE()),0)</f>
        <v>0.1</v>
      </c>
      <c r="AY276" s="5">
        <f>IFERROR(VLOOKUP(IFERROR(VLOOKUP(D276,Mapa_Similitud!$A$2:$B$2000,2,FALSE()),D276),Hoja1!$A$2:$K$1000,7,FALSE()),0)</f>
        <v>0</v>
      </c>
      <c r="AZ276" s="5">
        <f>IFERROR(VLOOKUP(IFERROR(VLOOKUP(D276,Mapa_Similitud!$A$2:$B$2000,2,FALSE()),D276),Hoja1!$A$2:$K$1000,9,FALSE()),0)</f>
        <v>0</v>
      </c>
      <c r="BA276" s="25">
        <f t="shared" si="116"/>
        <v>7.9908675799086754E-2</v>
      </c>
      <c r="BB276" s="25">
        <f t="shared" si="117"/>
        <v>0</v>
      </c>
      <c r="BC276" s="25">
        <f t="shared" si="118"/>
        <v>4.1095890410958902E-2</v>
      </c>
      <c r="BD276" s="25">
        <f t="shared" si="119"/>
        <v>8.2191780821917818E-3</v>
      </c>
      <c r="BE276" s="25">
        <f t="shared" si="120"/>
        <v>0.33789954337899542</v>
      </c>
      <c r="BF276" s="25">
        <f t="shared" si="121"/>
        <v>0.17142857142857143</v>
      </c>
      <c r="BG276" s="25">
        <f t="shared" si="122"/>
        <v>6.0402684563758392E-2</v>
      </c>
      <c r="BH276" s="25">
        <f t="shared" si="123"/>
        <v>0.42424242424242425</v>
      </c>
      <c r="BI276" s="25">
        <f t="shared" si="124"/>
        <v>0.25429553264604809</v>
      </c>
      <c r="BJ276" s="25">
        <f t="shared" si="125"/>
        <v>0</v>
      </c>
      <c r="BK276" s="25">
        <f t="shared" si="126"/>
        <v>0</v>
      </c>
      <c r="BL276" s="25">
        <f t="shared" si="127"/>
        <v>0.67808219178082196</v>
      </c>
      <c r="BM276" s="25">
        <f t="shared" si="128"/>
        <v>8.2191780821917804E-2</v>
      </c>
      <c r="BN276" s="18" t="str">
        <f t="shared" si="134"/>
        <v>Baja fuente de proteína</v>
      </c>
      <c r="BO276" s="18" t="str">
        <f t="shared" si="135"/>
        <v>Baja fuente de fibra</v>
      </c>
      <c r="BP276" s="18" t="str">
        <f t="shared" si="136"/>
        <v>Baja fuente de calcio</v>
      </c>
      <c r="BQ276" s="18" t="str">
        <f t="shared" si="137"/>
        <v>Media fuente de hierro</v>
      </c>
      <c r="BR276" s="18" t="str">
        <f t="shared" si="138"/>
        <v>Bajo en sodio</v>
      </c>
      <c r="BS276" s="6" t="str">
        <f t="shared" si="129"/>
        <v>Proinflamatorio</v>
      </c>
      <c r="BT276" s="6" t="str">
        <f t="shared" si="130"/>
        <v>Muy alto en grasas</v>
      </c>
      <c r="BU276" s="18" t="str">
        <f t="shared" si="139"/>
        <v>Equilibrio de líquidos ideal</v>
      </c>
      <c r="BV276" s="18" t="str">
        <f t="shared" si="140"/>
        <v>Baja fuente de magnesio</v>
      </c>
      <c r="BW276" s="18" t="str">
        <f t="shared" si="141"/>
        <v>Sin aporte de Omega 3</v>
      </c>
      <c r="BX276" s="18" t="str">
        <f t="shared" si="142"/>
        <v>Contiene grasas trans</v>
      </c>
      <c r="BY276" s="18" t="str">
        <f t="shared" si="143"/>
        <v>Bajo poder antioxidante</v>
      </c>
      <c r="BZ276" s="6" t="str">
        <f t="shared" si="131"/>
        <v>Sin probióticos</v>
      </c>
      <c r="CA276" s="18" t="str">
        <f t="shared" si="144"/>
        <v>Moderadamente inflamatorio</v>
      </c>
      <c r="CB276" s="18" t="str">
        <f>IF(ISNUMBER(SEARCH("miel", D276)), "No irritante (Uso condicionado SII)", IF(OR(J276&gt;0, ISNUMBER(SEARCH("cacao", D276)), ISNUMBER(SEARCH("chocolate puro", D276))), "Altamente irritante", IF(OR(AND(O276&gt;15, BI276&gt;1), ISNUMBER(SEARCH("chocolate", D276))), "Moderadamente irritante", "No irritante")))</f>
        <v>No irritante</v>
      </c>
      <c r="CC276" s="6" t="str">
        <f t="shared" si="132"/>
        <v>Exceso relativo de Omega 6</v>
      </c>
    </row>
    <row r="277" spans="1:81" ht="15" customHeight="1" x14ac:dyDescent="0.3">
      <c r="A277" s="2">
        <f t="shared" si="133"/>
        <v>276</v>
      </c>
      <c r="B277" s="3" t="s">
        <v>391</v>
      </c>
      <c r="C277" s="3" t="s">
        <v>407</v>
      </c>
      <c r="D277" s="3" t="s">
        <v>410</v>
      </c>
      <c r="E277" s="3"/>
      <c r="F277" s="4">
        <v>2.8</v>
      </c>
      <c r="G277" s="5">
        <v>1</v>
      </c>
      <c r="H277" s="5">
        <v>156</v>
      </c>
      <c r="I277" s="5">
        <v>70.400000000000006</v>
      </c>
      <c r="J277" s="5">
        <v>0</v>
      </c>
      <c r="K277" s="5">
        <v>22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7.6</v>
      </c>
      <c r="R277" s="5">
        <v>2.9</v>
      </c>
      <c r="S277" s="5">
        <v>3.1</v>
      </c>
      <c r="T277" s="5">
        <v>0.8</v>
      </c>
      <c r="U277" s="5">
        <v>64.400000000000006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5</v>
      </c>
      <c r="AB277" s="5">
        <v>0.83</v>
      </c>
      <c r="AC277" s="5">
        <v>0.21</v>
      </c>
      <c r="AD277" s="5">
        <v>12.9</v>
      </c>
      <c r="AE277" s="5">
        <v>0.47</v>
      </c>
      <c r="AF277" s="5">
        <v>5.4</v>
      </c>
      <c r="AG277" s="5">
        <v>3.1</v>
      </c>
      <c r="AH277" s="5">
        <v>1.1000000000000001</v>
      </c>
      <c r="AI277" s="5">
        <v>3</v>
      </c>
      <c r="AJ277" s="5">
        <v>0</v>
      </c>
      <c r="AK277" s="5">
        <v>5.8</v>
      </c>
      <c r="AL277" s="5">
        <v>172</v>
      </c>
      <c r="AM277" s="5">
        <v>1.8</v>
      </c>
      <c r="AN277" s="5">
        <v>2.4</v>
      </c>
      <c r="AO277" s="5">
        <v>2.2999999999999998</v>
      </c>
      <c r="AP277" s="5">
        <v>23.2</v>
      </c>
      <c r="AQ277" s="5">
        <v>72</v>
      </c>
      <c r="AR277" s="5">
        <v>292</v>
      </c>
      <c r="AS277" s="5">
        <v>0.04</v>
      </c>
      <c r="AT277" s="5">
        <v>0.31</v>
      </c>
      <c r="AU277" s="5">
        <v>14</v>
      </c>
      <c r="AV277" s="5">
        <f>IFERROR(VLOOKUP(IFERROR(VLOOKUP(D277,Mapa_Similitud!$A$2:$B$2000,2,FALSE()),D277),Hoja1!$A$2:$K$1000,2,FALSE()),IFERROR(VLOOKUP(IFERROR(VLOOKUP(D277,Mapa_Similitud!$A$2:$B$2000,2,FALSE()),D277),Omega3_Referencia!$A$2:$E$100,3,FALSE()),0))</f>
        <v>0.02</v>
      </c>
      <c r="AW277" s="3" t="str">
        <f>IFERROR(VLOOKUP(IFERROR(VLOOKUP(D277,Mapa_Similitud!$A$2:$B$2000,2,FALSE()),D277),Hoja1!$A$2:$K$1000,3,FALSE()),IFERROR(VLOOKUP(IFERROR(VLOOKUP(D277,Mapa_Similitud!$A$2:$B$2000,2,FALSE()),D277),Omega3_Referencia!$A$2:$E$100,4,FALSE()),"N/A"))</f>
        <v>ALA</v>
      </c>
      <c r="AX277" s="5">
        <f>IFERROR(VLOOKUP(IFERROR(VLOOKUP(D277,Mapa_Similitud!$A$2:$B$2000,2,FALSE()),D277),Hoja1!$A$2:$K$1000,5,FALSE()),0)</f>
        <v>0.1</v>
      </c>
      <c r="AY277" s="5">
        <f>IFERROR(VLOOKUP(IFERROR(VLOOKUP(D277,Mapa_Similitud!$A$2:$B$2000,2,FALSE()),D277),Hoja1!$A$2:$K$1000,7,FALSE()),0)</f>
        <v>0</v>
      </c>
      <c r="AZ277" s="5">
        <f>IFERROR(VLOOKUP(IFERROR(VLOOKUP(D277,Mapa_Similitud!$A$2:$B$2000,2,FALSE()),D277),Hoja1!$A$2:$K$1000,9,FALSE()),0)</f>
        <v>0</v>
      </c>
      <c r="BA277" s="25">
        <f t="shared" si="116"/>
        <v>0.14102564102564102</v>
      </c>
      <c r="BB277" s="25">
        <f t="shared" si="117"/>
        <v>0</v>
      </c>
      <c r="BC277" s="25">
        <f t="shared" si="118"/>
        <v>3.7179487179487179E-2</v>
      </c>
      <c r="BD277" s="25">
        <f t="shared" si="119"/>
        <v>1.1538461538461539E-2</v>
      </c>
      <c r="BE277" s="25">
        <f t="shared" si="120"/>
        <v>0.46153846153846156</v>
      </c>
      <c r="BF277" s="25">
        <f t="shared" si="121"/>
        <v>0.27586206896551724</v>
      </c>
      <c r="BG277" s="25">
        <f t="shared" si="122"/>
        <v>3.3720930232558136E-2</v>
      </c>
      <c r="BH277" s="25">
        <f t="shared" si="123"/>
        <v>0.38157894736842107</v>
      </c>
      <c r="BI277" s="25">
        <f t="shared" si="124"/>
        <v>0.24657534246575341</v>
      </c>
      <c r="BJ277" s="25">
        <f t="shared" si="125"/>
        <v>0</v>
      </c>
      <c r="BK277" s="25">
        <f t="shared" si="126"/>
        <v>0</v>
      </c>
      <c r="BL277" s="25">
        <f t="shared" si="127"/>
        <v>0.4384615384615384</v>
      </c>
      <c r="BM277" s="25">
        <f t="shared" si="128"/>
        <v>0.14871794871794872</v>
      </c>
      <c r="BN277" s="18" t="str">
        <f t="shared" si="134"/>
        <v>Media fuente de proteína</v>
      </c>
      <c r="BO277" s="18" t="str">
        <f t="shared" si="135"/>
        <v>Baja fuente de fibra</v>
      </c>
      <c r="BP277" s="18" t="str">
        <f t="shared" si="136"/>
        <v>Baja fuente de calcio</v>
      </c>
      <c r="BQ277" s="18" t="str">
        <f t="shared" si="137"/>
        <v>Media fuente de hierro</v>
      </c>
      <c r="BR277" s="18" t="str">
        <f t="shared" si="138"/>
        <v>Bajo en sodio</v>
      </c>
      <c r="BS277" s="6" t="str">
        <f t="shared" si="129"/>
        <v>Proinflamatorio</v>
      </c>
      <c r="BT277" s="6" t="str">
        <f t="shared" si="130"/>
        <v>Muy alto en grasas</v>
      </c>
      <c r="BU277" s="18" t="str">
        <f t="shared" si="139"/>
        <v>Equilibrio de líquidos ideal</v>
      </c>
      <c r="BV277" s="18" t="str">
        <f t="shared" si="140"/>
        <v>Baja fuente de magnesio</v>
      </c>
      <c r="BW277" s="18" t="str">
        <f t="shared" si="141"/>
        <v>Sin aporte de Omega 3</v>
      </c>
      <c r="BX277" s="18" t="str">
        <f t="shared" si="142"/>
        <v>Contiene grasas trans</v>
      </c>
      <c r="BY277" s="18" t="str">
        <f t="shared" si="143"/>
        <v>Bajo poder antioxidante</v>
      </c>
      <c r="BZ277" s="6" t="str">
        <f t="shared" si="131"/>
        <v>Sin probióticos</v>
      </c>
      <c r="CA277" s="18" t="str">
        <f t="shared" si="144"/>
        <v>Moderadamente inflamatorio</v>
      </c>
      <c r="CB277" s="18" t="str">
        <f>IF(ISNUMBER(SEARCH("miel", D277)), "No irritante (Uso condicionado SII)", IF(OR(J277&gt;0, ISNUMBER(SEARCH("cacao", D277)), ISNUMBER(SEARCH("chocolate puro", D277))), "Altamente irritante", IF(OR(AND(O277&gt;15, BI277&gt;1), ISNUMBER(SEARCH("chocolate", D277))), "Moderadamente irritante", "No irritante")))</f>
        <v>No irritante</v>
      </c>
      <c r="CC277" s="6" t="str">
        <f t="shared" si="132"/>
        <v>Exceso relativo de Omega 6</v>
      </c>
    </row>
    <row r="278" spans="1:81" ht="15" customHeight="1" x14ac:dyDescent="0.3">
      <c r="A278" s="2">
        <f t="shared" si="133"/>
        <v>277</v>
      </c>
      <c r="B278" s="3" t="s">
        <v>391</v>
      </c>
      <c r="C278" s="3" t="s">
        <v>407</v>
      </c>
      <c r="D278" s="3" t="s">
        <v>411</v>
      </c>
      <c r="E278" s="3"/>
      <c r="F278" s="4">
        <v>2.6</v>
      </c>
      <c r="G278" s="5">
        <v>0.8</v>
      </c>
      <c r="H278" s="5">
        <v>352</v>
      </c>
      <c r="I278" s="5">
        <v>48.9</v>
      </c>
      <c r="J278" s="5">
        <v>0</v>
      </c>
      <c r="K278" s="5">
        <v>21.7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29.5</v>
      </c>
      <c r="R278" s="5">
        <v>10.9</v>
      </c>
      <c r="S278" s="5">
        <v>11.9</v>
      </c>
      <c r="T278" s="5">
        <v>4.5</v>
      </c>
      <c r="U278" s="5">
        <v>72</v>
      </c>
      <c r="V278" s="5">
        <v>9</v>
      </c>
      <c r="W278" s="5">
        <v>9</v>
      </c>
      <c r="X278" s="5">
        <v>0</v>
      </c>
      <c r="Y278" s="5">
        <v>0</v>
      </c>
      <c r="Z278" s="5">
        <v>0.01</v>
      </c>
      <c r="AA278" s="5">
        <v>10</v>
      </c>
      <c r="AB278" s="5">
        <v>0.82</v>
      </c>
      <c r="AC278" s="5">
        <v>0.2</v>
      </c>
      <c r="AD278" s="5">
        <v>8.5</v>
      </c>
      <c r="AE278" s="5">
        <v>0.55000000000000004</v>
      </c>
      <c r="AF278" s="5">
        <v>3</v>
      </c>
      <c r="AG278" s="5">
        <v>2</v>
      </c>
      <c r="AH278" s="5">
        <v>0.53</v>
      </c>
      <c r="AI278" s="5">
        <v>5.5</v>
      </c>
      <c r="AJ278" s="5">
        <v>0</v>
      </c>
      <c r="AK278" s="5">
        <v>11</v>
      </c>
      <c r="AL278" s="5">
        <v>150</v>
      </c>
      <c r="AM278" s="5">
        <v>1.8</v>
      </c>
      <c r="AN278" s="5">
        <v>3</v>
      </c>
      <c r="AO278" s="5">
        <v>1.4</v>
      </c>
      <c r="AP278" s="5">
        <v>24</v>
      </c>
      <c r="AQ278" s="5">
        <v>65</v>
      </c>
      <c r="AR278" s="5">
        <v>315</v>
      </c>
      <c r="AS278" s="5">
        <v>0.06</v>
      </c>
      <c r="AT278" s="5">
        <v>0.13</v>
      </c>
      <c r="AU278" s="5">
        <v>14</v>
      </c>
      <c r="AV278" s="5">
        <f>IFERROR(VLOOKUP(IFERROR(VLOOKUP(D278,Mapa_Similitud!$A$2:$B$2000,2,FALSE()),D278),Hoja1!$A$2:$K$1000,2,FALSE()),IFERROR(VLOOKUP(IFERROR(VLOOKUP(D278,Mapa_Similitud!$A$2:$B$2000,2,FALSE()),D278),Omega3_Referencia!$A$2:$E$100,3,FALSE()),0))</f>
        <v>0.03</v>
      </c>
      <c r="AW278" s="3" t="str">
        <f>IFERROR(VLOOKUP(IFERROR(VLOOKUP(D278,Mapa_Similitud!$A$2:$B$2000,2,FALSE()),D278),Hoja1!$A$2:$K$1000,3,FALSE()),IFERROR(VLOOKUP(IFERROR(VLOOKUP(D278,Mapa_Similitud!$A$2:$B$2000,2,FALSE()),D278),Omega3_Referencia!$A$2:$E$100,4,FALSE()),"N/A"))</f>
        <v>ALA</v>
      </c>
      <c r="AX278" s="5">
        <f>IFERROR(VLOOKUP(IFERROR(VLOOKUP(D278,Mapa_Similitud!$A$2:$B$2000,2,FALSE()),D278),Hoja1!$A$2:$K$1000,5,FALSE()),0)</f>
        <v>0.1</v>
      </c>
      <c r="AY278" s="5">
        <f>IFERROR(VLOOKUP(IFERROR(VLOOKUP(D278,Mapa_Similitud!$A$2:$B$2000,2,FALSE()),D278),Hoja1!$A$2:$K$1000,7,FALSE()),0)</f>
        <v>0</v>
      </c>
      <c r="AZ278" s="5">
        <f>IFERROR(VLOOKUP(IFERROR(VLOOKUP(D278,Mapa_Similitud!$A$2:$B$2000,2,FALSE()),D278),Hoja1!$A$2:$K$1000,9,FALSE()),0)</f>
        <v>0</v>
      </c>
      <c r="BA278" s="25">
        <f t="shared" si="116"/>
        <v>6.1647727272727271E-2</v>
      </c>
      <c r="BB278" s="25">
        <f t="shared" si="117"/>
        <v>0</v>
      </c>
      <c r="BC278" s="25">
        <f t="shared" si="118"/>
        <v>3.125E-2</v>
      </c>
      <c r="BD278" s="25">
        <f t="shared" si="119"/>
        <v>5.1136363636363636E-3</v>
      </c>
      <c r="BE278" s="25">
        <f t="shared" si="120"/>
        <v>0.18465909090909091</v>
      </c>
      <c r="BF278" s="25">
        <f t="shared" si="121"/>
        <v>0.41284403669724767</v>
      </c>
      <c r="BG278" s="25">
        <f t="shared" si="122"/>
        <v>7.3333333333333334E-2</v>
      </c>
      <c r="BH278" s="25">
        <f t="shared" si="123"/>
        <v>0.36949152542372882</v>
      </c>
      <c r="BI278" s="25">
        <f t="shared" si="124"/>
        <v>0.20634920634920634</v>
      </c>
      <c r="BJ278" s="25">
        <f t="shared" si="125"/>
        <v>0</v>
      </c>
      <c r="BK278" s="25">
        <f t="shared" si="126"/>
        <v>0</v>
      </c>
      <c r="BL278" s="25">
        <f t="shared" si="127"/>
        <v>0.75426136363636365</v>
      </c>
      <c r="BM278" s="25">
        <f t="shared" si="128"/>
        <v>6.8181818181818177E-2</v>
      </c>
      <c r="BN278" s="18" t="str">
        <f t="shared" si="134"/>
        <v>Baja fuente de proteína</v>
      </c>
      <c r="BO278" s="18" t="str">
        <f t="shared" si="135"/>
        <v>Baja fuente de fibra</v>
      </c>
      <c r="BP278" s="18" t="str">
        <f t="shared" si="136"/>
        <v>Baja fuente de calcio</v>
      </c>
      <c r="BQ278" s="18" t="str">
        <f t="shared" si="137"/>
        <v>Baja fuente de hierro</v>
      </c>
      <c r="BR278" s="18" t="str">
        <f t="shared" si="138"/>
        <v>Bajo en sodio</v>
      </c>
      <c r="BS278" s="6" t="str">
        <f t="shared" si="129"/>
        <v>Proinflamatorio</v>
      </c>
      <c r="BT278" s="6" t="str">
        <f t="shared" si="130"/>
        <v>Muy alto en grasas</v>
      </c>
      <c r="BU278" s="18" t="str">
        <f t="shared" si="139"/>
        <v>Equilibrio de líquidos ideal</v>
      </c>
      <c r="BV278" s="18" t="str">
        <f t="shared" si="140"/>
        <v>Baja fuente de magnesio</v>
      </c>
      <c r="BW278" s="18" t="str">
        <f t="shared" si="141"/>
        <v>Sin aporte de Omega 3</v>
      </c>
      <c r="BX278" s="18" t="str">
        <f t="shared" si="142"/>
        <v>Contiene grasas trans</v>
      </c>
      <c r="BY278" s="18" t="str">
        <f t="shared" si="143"/>
        <v>Bajo poder antioxidante</v>
      </c>
      <c r="BZ278" s="6" t="str">
        <f t="shared" si="131"/>
        <v>Sin probióticos</v>
      </c>
      <c r="CA278" s="18" t="str">
        <f t="shared" si="144"/>
        <v>Moderadamente inflamatorio</v>
      </c>
      <c r="CB278" s="18" t="str">
        <f>IF(ISNUMBER(SEARCH("miel", D278)), "No irritante (Uso condicionado SII)", IF(OR(J278&gt;0, ISNUMBER(SEARCH("cacao", D278)), ISNUMBER(SEARCH("chocolate puro", D278))), "Altamente irritante", IF(OR(AND(O278&gt;15, BI278&gt;1), ISNUMBER(SEARCH("chocolate", D278))), "Moderadamente irritante", "No irritante")))</f>
        <v>No irritante</v>
      </c>
      <c r="CC278" s="6" t="str">
        <f t="shared" si="132"/>
        <v>Exceso relativo de Omega 6</v>
      </c>
    </row>
    <row r="279" spans="1:81" ht="15" customHeight="1" x14ac:dyDescent="0.3">
      <c r="A279" s="2">
        <f t="shared" si="133"/>
        <v>278</v>
      </c>
      <c r="B279" s="3" t="s">
        <v>391</v>
      </c>
      <c r="C279" s="3" t="s">
        <v>407</v>
      </c>
      <c r="D279" s="3" t="s">
        <v>412</v>
      </c>
      <c r="E279" s="3"/>
      <c r="F279" s="4">
        <v>2.8</v>
      </c>
      <c r="G279" s="5">
        <v>0.72</v>
      </c>
      <c r="H279" s="5">
        <v>281</v>
      </c>
      <c r="I279" s="5">
        <v>59.3</v>
      </c>
      <c r="J279" s="5">
        <v>0</v>
      </c>
      <c r="K279" s="5">
        <v>17.100000000000001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23.6</v>
      </c>
      <c r="R279" s="5">
        <v>8.9</v>
      </c>
      <c r="S279" s="5">
        <v>10.199999999999999</v>
      </c>
      <c r="T279" s="5">
        <v>2.2000000000000002</v>
      </c>
      <c r="U279" s="5">
        <v>78</v>
      </c>
      <c r="V279" s="5">
        <v>0</v>
      </c>
      <c r="W279" s="5">
        <v>0</v>
      </c>
      <c r="X279" s="5">
        <v>0</v>
      </c>
      <c r="Y279" s="5">
        <v>0</v>
      </c>
      <c r="Z279" s="5">
        <v>0.05</v>
      </c>
      <c r="AA279" s="5">
        <v>10</v>
      </c>
      <c r="AB279" s="5">
        <v>0.62</v>
      </c>
      <c r="AC279" s="5">
        <v>0.27</v>
      </c>
      <c r="AD279" s="5">
        <v>8.5</v>
      </c>
      <c r="AE279" s="5">
        <v>0.42</v>
      </c>
      <c r="AF279" s="5">
        <v>4</v>
      </c>
      <c r="AG279" s="5">
        <v>0.87</v>
      </c>
      <c r="AH279" s="5">
        <v>0.79</v>
      </c>
      <c r="AI279" s="5">
        <v>0</v>
      </c>
      <c r="AJ279" s="5">
        <v>0</v>
      </c>
      <c r="AK279" s="5">
        <v>7</v>
      </c>
      <c r="AL279" s="5">
        <v>240</v>
      </c>
      <c r="AM279" s="5">
        <v>1</v>
      </c>
      <c r="AN279" s="5">
        <v>2</v>
      </c>
      <c r="AO279" s="5">
        <v>1.3</v>
      </c>
      <c r="AP279" s="5">
        <v>22</v>
      </c>
      <c r="AQ279" s="5">
        <v>75</v>
      </c>
      <c r="AR279" s="5">
        <v>260</v>
      </c>
      <c r="AS279" s="5">
        <v>0.01</v>
      </c>
      <c r="AT279" s="5">
        <v>8.5000000000000006E-2</v>
      </c>
      <c r="AU279" s="5">
        <v>27.3</v>
      </c>
      <c r="AV279" s="5">
        <f>IFERROR(VLOOKUP(IFERROR(VLOOKUP(D279,Mapa_Similitud!$A$2:$B$2000,2,FALSE()),D279),Hoja1!$A$2:$K$1000,2,FALSE()),IFERROR(VLOOKUP(IFERROR(VLOOKUP(D279,Mapa_Similitud!$A$2:$B$2000,2,FALSE()),D279),Omega3_Referencia!$A$2:$E$100,3,FALSE()),0))</f>
        <v>0.05</v>
      </c>
      <c r="AW279" s="3" t="str">
        <f>IFERROR(VLOOKUP(IFERROR(VLOOKUP(D279,Mapa_Similitud!$A$2:$B$2000,2,FALSE()),D279),Hoja1!$A$2:$K$1000,3,FALSE()),IFERROR(VLOOKUP(IFERROR(VLOOKUP(D279,Mapa_Similitud!$A$2:$B$2000,2,FALSE()),D279),Omega3_Referencia!$A$2:$E$100,4,FALSE()),"N/A"))</f>
        <v>ALA</v>
      </c>
      <c r="AX279" s="5">
        <f>IFERROR(VLOOKUP(IFERROR(VLOOKUP(D279,Mapa_Similitud!$A$2:$B$2000,2,FALSE()),D279),Hoja1!$A$2:$K$1000,5,FALSE()),0)</f>
        <v>0.2</v>
      </c>
      <c r="AY279" s="5">
        <f>IFERROR(VLOOKUP(IFERROR(VLOOKUP(D279,Mapa_Similitud!$A$2:$B$2000,2,FALSE()),D279),Hoja1!$A$2:$K$1000,7,FALSE()),0)</f>
        <v>0</v>
      </c>
      <c r="AZ279" s="5">
        <f>IFERROR(VLOOKUP(IFERROR(VLOOKUP(D279,Mapa_Similitud!$A$2:$B$2000,2,FALSE()),D279),Hoja1!$A$2:$K$1000,9,FALSE()),0)</f>
        <v>0</v>
      </c>
      <c r="BA279" s="25">
        <f t="shared" si="116"/>
        <v>6.0854092526690398E-2</v>
      </c>
      <c r="BB279" s="25">
        <f t="shared" si="117"/>
        <v>0</v>
      </c>
      <c r="BC279" s="25">
        <f t="shared" si="118"/>
        <v>2.491103202846975E-2</v>
      </c>
      <c r="BD279" s="25">
        <f t="shared" si="119"/>
        <v>3.5587188612099642E-3</v>
      </c>
      <c r="BE279" s="25">
        <f t="shared" si="120"/>
        <v>0.2669039145907473</v>
      </c>
      <c r="BF279" s="25">
        <f t="shared" si="121"/>
        <v>0.24719101123595508</v>
      </c>
      <c r="BG279" s="25">
        <f t="shared" si="122"/>
        <v>2.9166666666666667E-2</v>
      </c>
      <c r="BH279" s="25">
        <f t="shared" si="123"/>
        <v>0.3771186440677966</v>
      </c>
      <c r="BI279" s="25">
        <f t="shared" si="124"/>
        <v>0.28846153846153844</v>
      </c>
      <c r="BJ279" s="25">
        <f t="shared" si="125"/>
        <v>0</v>
      </c>
      <c r="BK279" s="25">
        <f t="shared" si="126"/>
        <v>0</v>
      </c>
      <c r="BL279" s="25">
        <f t="shared" si="127"/>
        <v>0.75587188612099643</v>
      </c>
      <c r="BM279" s="25">
        <f t="shared" si="128"/>
        <v>7.8291814946619215E-2</v>
      </c>
      <c r="BN279" s="18" t="str">
        <f t="shared" si="134"/>
        <v>Baja fuente de proteína</v>
      </c>
      <c r="BO279" s="18" t="str">
        <f t="shared" si="135"/>
        <v>Baja fuente de fibra</v>
      </c>
      <c r="BP279" s="18" t="str">
        <f t="shared" si="136"/>
        <v>Baja fuente de calcio</v>
      </c>
      <c r="BQ279" s="18" t="str">
        <f t="shared" si="137"/>
        <v>Baja fuente de hierro</v>
      </c>
      <c r="BR279" s="18" t="str">
        <f t="shared" si="138"/>
        <v>Bajo en sodio</v>
      </c>
      <c r="BS279" s="6" t="str">
        <f t="shared" si="129"/>
        <v>Proinflamatorio</v>
      </c>
      <c r="BT279" s="6" t="str">
        <f t="shared" si="130"/>
        <v>Muy alto en grasas</v>
      </c>
      <c r="BU279" s="18" t="str">
        <f t="shared" si="139"/>
        <v>Equilibrio de líquidos ideal</v>
      </c>
      <c r="BV279" s="18" t="str">
        <f t="shared" si="140"/>
        <v>Baja fuente de magnesio</v>
      </c>
      <c r="BW279" s="18" t="str">
        <f t="shared" si="141"/>
        <v>Sin aporte de Omega 3</v>
      </c>
      <c r="BX279" s="18" t="str">
        <f t="shared" si="142"/>
        <v>Contiene grasas trans</v>
      </c>
      <c r="BY279" s="18" t="str">
        <f t="shared" si="143"/>
        <v>Bajo poder antioxidante</v>
      </c>
      <c r="BZ279" s="6" t="str">
        <f t="shared" si="131"/>
        <v>Sin probióticos</v>
      </c>
      <c r="CA279" s="18" t="str">
        <f t="shared" si="144"/>
        <v>Moderadamente inflamatorio</v>
      </c>
      <c r="CB279" s="18" t="str">
        <f>IF(ISNUMBER(SEARCH("miel", D279)), "No irritante (Uso condicionado SII)", IF(OR(J279&gt;0, ISNUMBER(SEARCH("cacao", D279)), ISNUMBER(SEARCH("chocolate puro", D279))), "Altamente irritante", IF(OR(AND(O279&gt;15, BI279&gt;1), ISNUMBER(SEARCH("chocolate", D279))), "Moderadamente irritante", "No irritante")))</f>
        <v>No irritante</v>
      </c>
      <c r="CC279" s="6" t="str">
        <f t="shared" si="132"/>
        <v>Exceso relativo de Omega 6</v>
      </c>
    </row>
    <row r="280" spans="1:81" ht="15" customHeight="1" x14ac:dyDescent="0.3">
      <c r="A280" s="2">
        <f t="shared" si="133"/>
        <v>279</v>
      </c>
      <c r="B280" s="3" t="s">
        <v>391</v>
      </c>
      <c r="C280" s="3" t="s">
        <v>407</v>
      </c>
      <c r="D280" s="3" t="s">
        <v>413</v>
      </c>
      <c r="E280" s="3"/>
      <c r="F280" s="4">
        <v>3</v>
      </c>
      <c r="G280" s="5">
        <v>1</v>
      </c>
      <c r="H280" s="5">
        <v>305</v>
      </c>
      <c r="I280" s="5">
        <v>57.2</v>
      </c>
      <c r="J280" s="5">
        <v>0</v>
      </c>
      <c r="K280" s="5">
        <v>16.3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26.6</v>
      </c>
      <c r="R280" s="5">
        <v>10.4</v>
      </c>
      <c r="S280" s="5">
        <v>11.9</v>
      </c>
      <c r="T280" s="5">
        <v>1.7</v>
      </c>
      <c r="U280" s="5">
        <v>70.599999999999994</v>
      </c>
      <c r="V280" s="5">
        <v>0</v>
      </c>
      <c r="W280" s="5">
        <v>0</v>
      </c>
      <c r="X280" s="5">
        <v>0</v>
      </c>
      <c r="Y280" s="5">
        <v>0</v>
      </c>
      <c r="Z280" s="5">
        <v>0.01</v>
      </c>
      <c r="AA280" s="5">
        <v>11</v>
      </c>
      <c r="AB280" s="5">
        <v>0.79</v>
      </c>
      <c r="AC280" s="5">
        <v>0.2</v>
      </c>
      <c r="AD280" s="5">
        <v>7.5</v>
      </c>
      <c r="AE280" s="5">
        <v>0.39</v>
      </c>
      <c r="AF280" s="5">
        <v>3.2</v>
      </c>
      <c r="AG280" s="5">
        <v>2.1</v>
      </c>
      <c r="AH280" s="5">
        <v>0.88</v>
      </c>
      <c r="AI280" s="5">
        <v>0</v>
      </c>
      <c r="AJ280" s="5">
        <v>5.0999999999999996</v>
      </c>
      <c r="AK280" s="5">
        <v>9.4</v>
      </c>
      <c r="AL280" s="5">
        <v>151</v>
      </c>
      <c r="AM280" s="5">
        <v>1.8</v>
      </c>
      <c r="AN280" s="5">
        <v>2.6</v>
      </c>
      <c r="AO280" s="5">
        <v>1.6</v>
      </c>
      <c r="AP280" s="5">
        <v>16</v>
      </c>
      <c r="AQ280" s="5">
        <v>63</v>
      </c>
      <c r="AR280" s="5">
        <v>212</v>
      </c>
      <c r="AS280" s="5">
        <v>1.4999999999999999E-2</v>
      </c>
      <c r="AT280" s="5">
        <v>4.8000000000000001E-2</v>
      </c>
      <c r="AU280" s="5">
        <v>32.4</v>
      </c>
      <c r="AV280" s="5">
        <f>IFERROR(VLOOKUP(IFERROR(VLOOKUP(D280,Mapa_Similitud!$A$2:$B$2000,2,FALSE()),D280),Hoja1!$A$2:$K$1000,2,FALSE()),IFERROR(VLOOKUP(IFERROR(VLOOKUP(D280,Mapa_Similitud!$A$2:$B$2000,2,FALSE()),D280),Omega3_Referencia!$A$2:$E$100,3,FALSE()),0))</f>
        <v>0.02</v>
      </c>
      <c r="AW280" s="3" t="str">
        <f>IFERROR(VLOOKUP(IFERROR(VLOOKUP(D280,Mapa_Similitud!$A$2:$B$2000,2,FALSE()),D280),Hoja1!$A$2:$K$1000,3,FALSE()),IFERROR(VLOOKUP(IFERROR(VLOOKUP(D280,Mapa_Similitud!$A$2:$B$2000,2,FALSE()),D280),Omega3_Referencia!$A$2:$E$100,4,FALSE()),"N/A"))</f>
        <v>ALA</v>
      </c>
      <c r="AX280" s="5">
        <f>IFERROR(VLOOKUP(IFERROR(VLOOKUP(D280,Mapa_Similitud!$A$2:$B$2000,2,FALSE()),D280),Hoja1!$A$2:$K$1000,5,FALSE()),0)</f>
        <v>0.1</v>
      </c>
      <c r="AY280" s="5">
        <f>IFERROR(VLOOKUP(IFERROR(VLOOKUP(D280,Mapa_Similitud!$A$2:$B$2000,2,FALSE()),D280),Hoja1!$A$2:$K$1000,7,FALSE()),0)</f>
        <v>0</v>
      </c>
      <c r="AZ280" s="5">
        <f>IFERROR(VLOOKUP(IFERROR(VLOOKUP(D280,Mapa_Similitud!$A$2:$B$2000,2,FALSE()),D280),Hoja1!$A$2:$K$1000,9,FALSE()),0)</f>
        <v>0</v>
      </c>
      <c r="BA280" s="25">
        <f t="shared" si="116"/>
        <v>5.3442622950819675E-2</v>
      </c>
      <c r="BB280" s="25">
        <f t="shared" si="117"/>
        <v>0</v>
      </c>
      <c r="BC280" s="25">
        <f t="shared" si="118"/>
        <v>3.0819672131147544E-2</v>
      </c>
      <c r="BD280" s="25">
        <f t="shared" si="119"/>
        <v>5.9016393442622951E-3</v>
      </c>
      <c r="BE280" s="25">
        <f t="shared" si="120"/>
        <v>0.20655737704918034</v>
      </c>
      <c r="BF280" s="25">
        <f t="shared" si="121"/>
        <v>0.16346153846153846</v>
      </c>
      <c r="BG280" s="25">
        <f t="shared" si="122"/>
        <v>6.2251655629139077E-2</v>
      </c>
      <c r="BH280" s="25">
        <f t="shared" si="123"/>
        <v>0.39097744360902253</v>
      </c>
      <c r="BI280" s="25">
        <f t="shared" si="124"/>
        <v>0.29716981132075471</v>
      </c>
      <c r="BJ280" s="25">
        <f t="shared" si="125"/>
        <v>0</v>
      </c>
      <c r="BK280" s="25">
        <f t="shared" si="126"/>
        <v>0</v>
      </c>
      <c r="BL280" s="25">
        <f t="shared" si="127"/>
        <v>0.78491803278688521</v>
      </c>
      <c r="BM280" s="25">
        <f t="shared" si="128"/>
        <v>5.2459016393442623E-2</v>
      </c>
      <c r="BN280" s="18" t="str">
        <f t="shared" si="134"/>
        <v>Baja fuente de proteína</v>
      </c>
      <c r="BO280" s="18" t="str">
        <f t="shared" si="135"/>
        <v>Baja fuente de fibra</v>
      </c>
      <c r="BP280" s="18" t="str">
        <f t="shared" si="136"/>
        <v>Baja fuente de calcio</v>
      </c>
      <c r="BQ280" s="18" t="str">
        <f t="shared" si="137"/>
        <v>Baja fuente de hierro</v>
      </c>
      <c r="BR280" s="18" t="str">
        <f t="shared" si="138"/>
        <v>Bajo en sodio</v>
      </c>
      <c r="BS280" s="6" t="str">
        <f t="shared" si="129"/>
        <v>Proinflamatorio</v>
      </c>
      <c r="BT280" s="6" t="str">
        <f t="shared" si="130"/>
        <v>Muy alto en grasas</v>
      </c>
      <c r="BU280" s="18" t="str">
        <f t="shared" si="139"/>
        <v>Equilibrio de líquidos ideal</v>
      </c>
      <c r="BV280" s="18" t="str">
        <f t="shared" si="140"/>
        <v>Baja fuente de magnesio</v>
      </c>
      <c r="BW280" s="18" t="str">
        <f t="shared" si="141"/>
        <v>Sin aporte de Omega 3</v>
      </c>
      <c r="BX280" s="18" t="str">
        <f t="shared" si="142"/>
        <v>Contiene grasas trans</v>
      </c>
      <c r="BY280" s="18" t="str">
        <f t="shared" si="143"/>
        <v>Bajo poder antioxidante</v>
      </c>
      <c r="BZ280" s="6" t="str">
        <f t="shared" si="131"/>
        <v>Sin probióticos</v>
      </c>
      <c r="CA280" s="18" t="str">
        <f t="shared" si="144"/>
        <v>Moderadamente inflamatorio</v>
      </c>
      <c r="CB280" s="18" t="str">
        <f>IF(ISNUMBER(SEARCH("miel", D280)), "No irritante (Uso condicionado SII)", IF(OR(J280&gt;0, ISNUMBER(SEARCH("cacao", D280)), ISNUMBER(SEARCH("chocolate puro", D280))), "Altamente irritante", IF(OR(AND(O280&gt;15, BI280&gt;1), ISNUMBER(SEARCH("chocolate", D280))), "Moderadamente irritante", "No irritante")))</f>
        <v>No irritante</v>
      </c>
      <c r="CC280" s="6" t="str">
        <f t="shared" si="132"/>
        <v>Exceso relativo de Omega 6</v>
      </c>
    </row>
    <row r="281" spans="1:81" ht="15" customHeight="1" x14ac:dyDescent="0.3">
      <c r="A281" s="2">
        <f t="shared" si="133"/>
        <v>280</v>
      </c>
      <c r="B281" s="3" t="s">
        <v>391</v>
      </c>
      <c r="C281" s="3" t="s">
        <v>407</v>
      </c>
      <c r="D281" s="3" t="s">
        <v>414</v>
      </c>
      <c r="E281" s="3"/>
      <c r="F281" s="4">
        <v>1.5</v>
      </c>
      <c r="G281" s="5">
        <v>0.39</v>
      </c>
      <c r="H281" s="5">
        <v>291</v>
      </c>
      <c r="I281" s="5">
        <v>58.5</v>
      </c>
      <c r="J281" s="5">
        <v>0</v>
      </c>
      <c r="K281" s="5">
        <v>16</v>
      </c>
      <c r="L281" s="5">
        <v>0.5</v>
      </c>
      <c r="M281" s="5">
        <v>0</v>
      </c>
      <c r="N281" s="5">
        <v>0.5</v>
      </c>
      <c r="O281" s="5">
        <v>0</v>
      </c>
      <c r="P281" s="5">
        <v>0</v>
      </c>
      <c r="Q281" s="5">
        <v>25</v>
      </c>
      <c r="R281" s="5">
        <v>8.3000000000000007</v>
      </c>
      <c r="S281" s="5">
        <v>11.2</v>
      </c>
      <c r="T281" s="5">
        <v>3</v>
      </c>
      <c r="U281" s="5">
        <v>6.2</v>
      </c>
      <c r="V281" s="5">
        <v>0</v>
      </c>
      <c r="W281" s="5">
        <v>0</v>
      </c>
      <c r="X281" s="5">
        <v>0</v>
      </c>
      <c r="Y281" s="5">
        <v>0</v>
      </c>
      <c r="Z281" s="5">
        <v>0.1</v>
      </c>
      <c r="AA281" s="5">
        <v>7</v>
      </c>
      <c r="AB281" s="5">
        <v>1</v>
      </c>
      <c r="AC281" s="5">
        <v>0.2</v>
      </c>
      <c r="AD281" s="5">
        <v>4</v>
      </c>
      <c r="AE281" s="5">
        <v>0.5</v>
      </c>
      <c r="AF281" s="5">
        <v>3</v>
      </c>
      <c r="AG281" s="5">
        <v>1</v>
      </c>
      <c r="AH281" s="5">
        <v>0.6</v>
      </c>
      <c r="AI281" s="5">
        <v>0</v>
      </c>
      <c r="AJ281" s="5">
        <v>0</v>
      </c>
      <c r="AK281" s="5">
        <v>10</v>
      </c>
      <c r="AL281" s="5">
        <v>190</v>
      </c>
      <c r="AM281" s="5">
        <v>2.5</v>
      </c>
      <c r="AN281" s="5">
        <v>2</v>
      </c>
      <c r="AO281" s="5">
        <v>2.6</v>
      </c>
      <c r="AP281" s="5">
        <v>30</v>
      </c>
      <c r="AQ281" s="5">
        <v>60</v>
      </c>
      <c r="AR281" s="5">
        <v>300</v>
      </c>
      <c r="AS281" s="5">
        <v>0.01</v>
      </c>
      <c r="AT281" s="5">
        <v>0.04</v>
      </c>
      <c r="AU281" s="5">
        <v>25.5</v>
      </c>
      <c r="AV281" s="5">
        <f>IFERROR(VLOOKUP(IFERROR(VLOOKUP(D281,Mapa_Similitud!$A$2:$B$2000,2,FALSE()),D281),Hoja1!$A$2:$K$1000,2,FALSE()),IFERROR(VLOOKUP(IFERROR(VLOOKUP(D281,Mapa_Similitud!$A$2:$B$2000,2,FALSE()),D281),Omega3_Referencia!$A$2:$E$100,3,FALSE()),0))</f>
        <v>0.04</v>
      </c>
      <c r="AW281" s="3" t="str">
        <f>IFERROR(VLOOKUP(IFERROR(VLOOKUP(D281,Mapa_Similitud!$A$2:$B$2000,2,FALSE()),D281),Hoja1!$A$2:$K$1000,3,FALSE()),IFERROR(VLOOKUP(IFERROR(VLOOKUP(D281,Mapa_Similitud!$A$2:$B$2000,2,FALSE()),D281),Omega3_Referencia!$A$2:$E$100,4,FALSE()),"N/A"))</f>
        <v>ALA</v>
      </c>
      <c r="AX281" s="5">
        <f>IFERROR(VLOOKUP(IFERROR(VLOOKUP(D281,Mapa_Similitud!$A$2:$B$2000,2,FALSE()),D281),Hoja1!$A$2:$K$1000,5,FALSE()),0)</f>
        <v>0.1</v>
      </c>
      <c r="AY281" s="5">
        <f>IFERROR(VLOOKUP(IFERROR(VLOOKUP(D281,Mapa_Similitud!$A$2:$B$2000,2,FALSE()),D281),Hoja1!$A$2:$K$1000,7,FALSE()),0)</f>
        <v>0</v>
      </c>
      <c r="AZ281" s="5">
        <f>IFERROR(VLOOKUP(IFERROR(VLOOKUP(D281,Mapa_Similitud!$A$2:$B$2000,2,FALSE()),D281),Hoja1!$A$2:$K$1000,9,FALSE()),0)</f>
        <v>0</v>
      </c>
      <c r="BA281" s="25">
        <f t="shared" si="116"/>
        <v>5.4982817869415807E-2</v>
      </c>
      <c r="BB281" s="25">
        <f t="shared" si="117"/>
        <v>0</v>
      </c>
      <c r="BC281" s="25">
        <f t="shared" si="118"/>
        <v>3.4364261168384883E-2</v>
      </c>
      <c r="BD281" s="25">
        <f t="shared" si="119"/>
        <v>8.5910652920962206E-3</v>
      </c>
      <c r="BE281" s="25">
        <f t="shared" si="120"/>
        <v>0.20618556701030927</v>
      </c>
      <c r="BF281" s="25">
        <f t="shared" si="121"/>
        <v>0.36144578313253006</v>
      </c>
      <c r="BG281" s="25">
        <f t="shared" si="122"/>
        <v>5.2631578947368418E-2</v>
      </c>
      <c r="BH281" s="25">
        <f t="shared" si="123"/>
        <v>0.33200000000000002</v>
      </c>
      <c r="BI281" s="25">
        <f t="shared" si="124"/>
        <v>0.2</v>
      </c>
      <c r="BJ281" s="25">
        <f t="shared" si="125"/>
        <v>1</v>
      </c>
      <c r="BK281" s="25">
        <f t="shared" si="126"/>
        <v>0</v>
      </c>
      <c r="BL281" s="25">
        <f t="shared" si="127"/>
        <v>0.77319587628865982</v>
      </c>
      <c r="BM281" s="25">
        <f t="shared" si="128"/>
        <v>0.10309278350515463</v>
      </c>
      <c r="BN281" s="18" t="str">
        <f t="shared" si="134"/>
        <v>Baja fuente de proteína</v>
      </c>
      <c r="BO281" s="18" t="str">
        <f t="shared" si="135"/>
        <v>Baja fuente de fibra</v>
      </c>
      <c r="BP281" s="18" t="str">
        <f t="shared" si="136"/>
        <v>Baja fuente de calcio</v>
      </c>
      <c r="BQ281" s="18" t="str">
        <f t="shared" si="137"/>
        <v>Media fuente de hierro</v>
      </c>
      <c r="BR281" s="18" t="str">
        <f t="shared" si="138"/>
        <v>Bajo en sodio</v>
      </c>
      <c r="BS281" s="6" t="str">
        <f t="shared" si="129"/>
        <v>Proinflamatorio</v>
      </c>
      <c r="BT281" s="6" t="str">
        <f t="shared" si="130"/>
        <v>Muy alto en grasas</v>
      </c>
      <c r="BU281" s="18" t="str">
        <f t="shared" si="139"/>
        <v>Equilibrio de líquidos ideal</v>
      </c>
      <c r="BV281" s="18" t="str">
        <f t="shared" si="140"/>
        <v>Baja fuente de magnesio</v>
      </c>
      <c r="BW281" s="18" t="str">
        <f t="shared" si="141"/>
        <v>Sin aporte de Omega 3</v>
      </c>
      <c r="BX281" s="18" t="str">
        <f t="shared" si="142"/>
        <v>Contiene grasas trans</v>
      </c>
      <c r="BY281" s="18" t="str">
        <f t="shared" si="143"/>
        <v>Bajo poder antioxidante</v>
      </c>
      <c r="BZ281" s="6" t="str">
        <f t="shared" si="131"/>
        <v>Sin probióticos</v>
      </c>
      <c r="CA281" s="18" t="str">
        <f t="shared" si="144"/>
        <v>Moderadamente inflamatorio</v>
      </c>
      <c r="CB281" s="18" t="str">
        <f>IF(ISNUMBER(SEARCH("miel", D281)), "No irritante (Uso condicionado SII)", IF(OR(J281&gt;0, ISNUMBER(SEARCH("cacao", D281)), ISNUMBER(SEARCH("chocolate puro", D281))), "Altamente irritante", IF(OR(AND(O281&gt;15, BI281&gt;1), ISNUMBER(SEARCH("chocolate", D281))), "Moderadamente irritante", "No irritante")))</f>
        <v>No irritante</v>
      </c>
      <c r="CC281" s="6" t="str">
        <f t="shared" si="132"/>
        <v>Exceso relativo de Omega 6</v>
      </c>
    </row>
    <row r="282" spans="1:81" ht="15" customHeight="1" x14ac:dyDescent="0.3">
      <c r="A282" s="2">
        <f t="shared" si="133"/>
        <v>281</v>
      </c>
      <c r="B282" s="3" t="s">
        <v>391</v>
      </c>
      <c r="C282" s="3" t="s">
        <v>407</v>
      </c>
      <c r="D282" s="3" t="s">
        <v>415</v>
      </c>
      <c r="E282" s="3"/>
      <c r="F282" s="4">
        <v>2.5</v>
      </c>
      <c r="G282" s="5">
        <v>1</v>
      </c>
      <c r="H282" s="5">
        <v>349</v>
      </c>
      <c r="I282" s="5">
        <v>49.3</v>
      </c>
      <c r="J282" s="5">
        <v>0</v>
      </c>
      <c r="K282" s="5">
        <v>21.5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29.2</v>
      </c>
      <c r="R282" s="5">
        <v>9.4</v>
      </c>
      <c r="S282" s="5">
        <v>12.2</v>
      </c>
      <c r="T282" s="5">
        <v>4.5</v>
      </c>
      <c r="U282" s="5">
        <v>69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0.65</v>
      </c>
      <c r="AC282" s="5">
        <v>0.15</v>
      </c>
      <c r="AD282" s="5">
        <v>8.8000000000000007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13</v>
      </c>
      <c r="AL282" s="5">
        <v>160</v>
      </c>
      <c r="AM282" s="5">
        <v>1.8</v>
      </c>
      <c r="AN282" s="5">
        <v>0</v>
      </c>
      <c r="AO282" s="5">
        <v>2.2999999999999998</v>
      </c>
      <c r="AP282" s="5">
        <v>18</v>
      </c>
      <c r="AQ282" s="5">
        <v>96.5</v>
      </c>
      <c r="AR282" s="5">
        <v>270</v>
      </c>
      <c r="AS282" s="5">
        <v>0</v>
      </c>
      <c r="AT282" s="5">
        <v>0</v>
      </c>
      <c r="AU282" s="5">
        <v>14</v>
      </c>
      <c r="AV282" s="5">
        <f>IFERROR(VLOOKUP(IFERROR(VLOOKUP(D282,Mapa_Similitud!$A$2:$B$2000,2,FALSE()),D282),Hoja1!$A$2:$K$1000,2,FALSE()),IFERROR(VLOOKUP(IFERROR(VLOOKUP(D282,Mapa_Similitud!$A$2:$B$2000,2,FALSE()),D282),Omega3_Referencia!$A$2:$E$100,3,FALSE()),0))</f>
        <v>0.04</v>
      </c>
      <c r="AW282" s="3" t="str">
        <f>IFERROR(VLOOKUP(IFERROR(VLOOKUP(D282,Mapa_Similitud!$A$2:$B$2000,2,FALSE()),D282),Hoja1!$A$2:$K$1000,3,FALSE()),IFERROR(VLOOKUP(IFERROR(VLOOKUP(D282,Mapa_Similitud!$A$2:$B$2000,2,FALSE()),D282),Omega3_Referencia!$A$2:$E$100,4,FALSE()),"N/A"))</f>
        <v>ALA</v>
      </c>
      <c r="AX282" s="5">
        <f>IFERROR(VLOOKUP(IFERROR(VLOOKUP(D282,Mapa_Similitud!$A$2:$B$2000,2,FALSE()),D282),Hoja1!$A$2:$K$1000,5,FALSE()),0)</f>
        <v>0.1</v>
      </c>
      <c r="AY282" s="5">
        <f>IFERROR(VLOOKUP(IFERROR(VLOOKUP(D282,Mapa_Similitud!$A$2:$B$2000,2,FALSE()),D282),Hoja1!$A$2:$K$1000,7,FALSE()),0)</f>
        <v>0</v>
      </c>
      <c r="AZ282" s="5">
        <f>IFERROR(VLOOKUP(IFERROR(VLOOKUP(D282,Mapa_Similitud!$A$2:$B$2000,2,FALSE()),D282),Hoja1!$A$2:$K$1000,9,FALSE()),0)</f>
        <v>0</v>
      </c>
      <c r="BA282" s="25">
        <f t="shared" si="116"/>
        <v>6.1604584527220632E-2</v>
      </c>
      <c r="BB282" s="25">
        <f t="shared" si="117"/>
        <v>0</v>
      </c>
      <c r="BC282" s="25">
        <f t="shared" si="118"/>
        <v>3.7249283667621778E-2</v>
      </c>
      <c r="BD282" s="25">
        <f t="shared" si="119"/>
        <v>5.1575931232091688E-3</v>
      </c>
      <c r="BE282" s="25">
        <f t="shared" si="120"/>
        <v>0.27650429799426934</v>
      </c>
      <c r="BF282" s="25">
        <f t="shared" si="121"/>
        <v>0.47872340425531912</v>
      </c>
      <c r="BG282" s="25">
        <f t="shared" si="122"/>
        <v>8.1250000000000003E-2</v>
      </c>
      <c r="BH282" s="25">
        <f t="shared" si="123"/>
        <v>0.32191780821917809</v>
      </c>
      <c r="BI282" s="25">
        <f t="shared" si="124"/>
        <v>0.3574074074074074</v>
      </c>
      <c r="BJ282" s="25">
        <f t="shared" si="125"/>
        <v>0</v>
      </c>
      <c r="BK282" s="25">
        <f t="shared" si="126"/>
        <v>0</v>
      </c>
      <c r="BL282" s="25">
        <f t="shared" si="127"/>
        <v>0.75300859598853875</v>
      </c>
      <c r="BM282" s="25">
        <f t="shared" si="128"/>
        <v>5.1575931232091692E-2</v>
      </c>
      <c r="BN282" s="18" t="str">
        <f t="shared" si="134"/>
        <v>Baja fuente de proteína</v>
      </c>
      <c r="BO282" s="18" t="str">
        <f t="shared" si="135"/>
        <v>Baja fuente de fibra</v>
      </c>
      <c r="BP282" s="18" t="str">
        <f t="shared" si="136"/>
        <v>Baja fuente de calcio</v>
      </c>
      <c r="BQ282" s="18" t="str">
        <f t="shared" si="137"/>
        <v>Baja fuente de hierro</v>
      </c>
      <c r="BR282" s="18" t="str">
        <f t="shared" si="138"/>
        <v>Bajo en sodio</v>
      </c>
      <c r="BS282" s="6" t="str">
        <f t="shared" si="129"/>
        <v>Proinflamatorio</v>
      </c>
      <c r="BT282" s="6" t="str">
        <f t="shared" si="130"/>
        <v>Muy alto en grasas</v>
      </c>
      <c r="BU282" s="18" t="str">
        <f t="shared" si="139"/>
        <v>Equilibrio de líquidos ideal</v>
      </c>
      <c r="BV282" s="18" t="str">
        <f t="shared" si="140"/>
        <v>Baja fuente de magnesio</v>
      </c>
      <c r="BW282" s="18" t="str">
        <f t="shared" si="141"/>
        <v>Sin aporte de Omega 3</v>
      </c>
      <c r="BX282" s="18" t="str">
        <f t="shared" si="142"/>
        <v>Contiene grasas trans</v>
      </c>
      <c r="BY282" s="18" t="str">
        <f t="shared" si="143"/>
        <v>Bajo poder antioxidante</v>
      </c>
      <c r="BZ282" s="6" t="str">
        <f t="shared" si="131"/>
        <v>Sin probióticos</v>
      </c>
      <c r="CA282" s="18" t="str">
        <f t="shared" si="144"/>
        <v>Moderadamente inflamatorio</v>
      </c>
      <c r="CB282" s="18" t="str">
        <f>IF(ISNUMBER(SEARCH("miel", D282)), "No irritante (Uso condicionado SII)", IF(OR(J282&gt;0, ISNUMBER(SEARCH("cacao", D282)), ISNUMBER(SEARCH("chocolate puro", D282))), "Altamente irritante", IF(OR(AND(O282&gt;15, BI282&gt;1), ISNUMBER(SEARCH("chocolate", D282))), "Moderadamente irritante", "No irritante")))</f>
        <v>No irritante</v>
      </c>
      <c r="CC282" s="6" t="str">
        <f t="shared" si="132"/>
        <v>Exceso relativo de Omega 6</v>
      </c>
    </row>
    <row r="283" spans="1:81" ht="15" customHeight="1" x14ac:dyDescent="0.3">
      <c r="A283" s="2">
        <f t="shared" si="133"/>
        <v>282</v>
      </c>
      <c r="B283" s="3" t="s">
        <v>391</v>
      </c>
      <c r="C283" s="3" t="s">
        <v>407</v>
      </c>
      <c r="D283" s="3" t="s">
        <v>416</v>
      </c>
      <c r="E283" s="3"/>
      <c r="F283" s="4">
        <v>2.8</v>
      </c>
      <c r="G283" s="5">
        <v>0.88</v>
      </c>
      <c r="H283" s="5">
        <v>471</v>
      </c>
      <c r="I283" s="5">
        <v>40.4</v>
      </c>
      <c r="J283" s="5">
        <v>0</v>
      </c>
      <c r="K283" s="5">
        <v>12.5</v>
      </c>
      <c r="L283" s="5">
        <v>0.5</v>
      </c>
      <c r="M283" s="5">
        <v>0</v>
      </c>
      <c r="N283" s="5">
        <v>0.5</v>
      </c>
      <c r="O283" s="5">
        <v>0</v>
      </c>
      <c r="P283" s="5">
        <v>0</v>
      </c>
      <c r="Q283" s="5">
        <v>46.6</v>
      </c>
      <c r="R283" s="5">
        <v>19.399999999999999</v>
      </c>
      <c r="S283" s="5">
        <v>21.2</v>
      </c>
      <c r="T283" s="5">
        <v>3.5</v>
      </c>
      <c r="U283" s="5">
        <v>57</v>
      </c>
      <c r="V283" s="5">
        <v>11</v>
      </c>
      <c r="W283" s="5">
        <v>11</v>
      </c>
      <c r="X283" s="5">
        <v>0</v>
      </c>
      <c r="Y283" s="5">
        <v>0</v>
      </c>
      <c r="Z283" s="5">
        <v>0.08</v>
      </c>
      <c r="AA283" s="5">
        <v>46</v>
      </c>
      <c r="AB283" s="5">
        <v>0.32</v>
      </c>
      <c r="AC283" s="5">
        <v>0.12</v>
      </c>
      <c r="AD283" s="5">
        <v>4.2</v>
      </c>
      <c r="AE283" s="5">
        <v>0.27</v>
      </c>
      <c r="AF283" s="5">
        <v>1.5</v>
      </c>
      <c r="AG283" s="5">
        <v>0</v>
      </c>
      <c r="AH283" s="5">
        <v>0.6</v>
      </c>
      <c r="AI283" s="5">
        <v>0</v>
      </c>
      <c r="AJ283" s="5">
        <v>0</v>
      </c>
      <c r="AK283" s="5">
        <v>6</v>
      </c>
      <c r="AL283" s="5">
        <v>70</v>
      </c>
      <c r="AM283" s="5">
        <v>0.9</v>
      </c>
      <c r="AN283" s="5">
        <v>11</v>
      </c>
      <c r="AO283" s="5">
        <v>1.5</v>
      </c>
      <c r="AP283" s="5">
        <v>13</v>
      </c>
      <c r="AQ283" s="5">
        <v>1470</v>
      </c>
      <c r="AR283" s="5">
        <v>230</v>
      </c>
      <c r="AS283" s="5">
        <v>0.01</v>
      </c>
      <c r="AT283" s="5">
        <v>0.04</v>
      </c>
      <c r="AU283" s="5">
        <v>1</v>
      </c>
      <c r="AV283" s="5">
        <f>IFERROR(VLOOKUP(IFERROR(VLOOKUP(D283,Mapa_Similitud!$A$2:$B$2000,2,FALSE()),D283),Hoja1!$A$2:$K$1000,2,FALSE()),IFERROR(VLOOKUP(IFERROR(VLOOKUP(D283,Mapa_Similitud!$A$2:$B$2000,2,FALSE()),D283),Omega3_Referencia!$A$2:$E$100,3,FALSE()),0))</f>
        <v>0.06</v>
      </c>
      <c r="AW283" s="3" t="str">
        <f>IFERROR(VLOOKUP(IFERROR(VLOOKUP(D283,Mapa_Similitud!$A$2:$B$2000,2,FALSE()),D283),Hoja1!$A$2:$K$1000,3,FALSE()),IFERROR(VLOOKUP(IFERROR(VLOOKUP(D283,Mapa_Similitud!$A$2:$B$2000,2,FALSE()),D283),Omega3_Referencia!$A$2:$E$100,4,FALSE()),"N/A"))</f>
        <v>ALA</v>
      </c>
      <c r="AX283" s="5">
        <f>IFERROR(VLOOKUP(IFERROR(VLOOKUP(D283,Mapa_Similitud!$A$2:$B$2000,2,FALSE()),D283),Hoja1!$A$2:$K$1000,5,FALSE()),0)</f>
        <v>0.2</v>
      </c>
      <c r="AY283" s="5">
        <f>IFERROR(VLOOKUP(IFERROR(VLOOKUP(D283,Mapa_Similitud!$A$2:$B$2000,2,FALSE()),D283),Hoja1!$A$2:$K$1000,7,FALSE()),0)</f>
        <v>0</v>
      </c>
      <c r="AZ283" s="5">
        <f>IFERROR(VLOOKUP(IFERROR(VLOOKUP(D283,Mapa_Similitud!$A$2:$B$2000,2,FALSE()),D283),Hoja1!$A$2:$K$1000,9,FALSE()),0)</f>
        <v>0</v>
      </c>
      <c r="BA283" s="25">
        <f t="shared" si="116"/>
        <v>2.6539278131634821E-2</v>
      </c>
      <c r="BB283" s="25">
        <f t="shared" si="117"/>
        <v>0</v>
      </c>
      <c r="BC283" s="25">
        <f t="shared" si="118"/>
        <v>1.2738853503184714E-2</v>
      </c>
      <c r="BD283" s="25">
        <f t="shared" si="119"/>
        <v>1.910828025477707E-3</v>
      </c>
      <c r="BE283" s="25">
        <f t="shared" si="120"/>
        <v>3.121019108280255</v>
      </c>
      <c r="BF283" s="25">
        <f t="shared" si="121"/>
        <v>0.18041237113402064</v>
      </c>
      <c r="BG283" s="25">
        <f t="shared" si="122"/>
        <v>8.5714285714285715E-2</v>
      </c>
      <c r="BH283" s="25">
        <f t="shared" si="123"/>
        <v>0.41630901287553645</v>
      </c>
      <c r="BI283" s="25">
        <f t="shared" si="124"/>
        <v>6.3913043478260869</v>
      </c>
      <c r="BJ283" s="25">
        <f t="shared" si="125"/>
        <v>1</v>
      </c>
      <c r="BK283" s="25">
        <f t="shared" si="126"/>
        <v>0</v>
      </c>
      <c r="BL283" s="25">
        <f t="shared" si="127"/>
        <v>0.89044585987261149</v>
      </c>
      <c r="BM283" s="25">
        <f t="shared" si="128"/>
        <v>2.7600849256900213E-2</v>
      </c>
      <c r="BN283" s="18" t="str">
        <f t="shared" si="134"/>
        <v>Baja fuente de proteína</v>
      </c>
      <c r="BO283" s="18" t="str">
        <f t="shared" si="135"/>
        <v>Baja fuente de fibra</v>
      </c>
      <c r="BP283" s="18" t="str">
        <f t="shared" si="136"/>
        <v>Baja fuente de calcio</v>
      </c>
      <c r="BQ283" s="18" t="str">
        <f t="shared" si="137"/>
        <v>Baja fuente de hierro</v>
      </c>
      <c r="BR283" s="18" t="str">
        <f t="shared" si="138"/>
        <v>Muy alto en sodio</v>
      </c>
      <c r="BS283" s="6" t="str">
        <f t="shared" si="129"/>
        <v>Proinflamatorio</v>
      </c>
      <c r="BT283" s="6" t="str">
        <f t="shared" si="130"/>
        <v>Muy alto en grasas</v>
      </c>
      <c r="BU283" s="18" t="str">
        <f t="shared" si="139"/>
        <v>Alto riesgo de retención de líquidos</v>
      </c>
      <c r="BV283" s="18" t="str">
        <f t="shared" si="140"/>
        <v>Baja fuente de magnesio</v>
      </c>
      <c r="BW283" s="18" t="str">
        <f t="shared" si="141"/>
        <v>Sin aporte de Omega 3</v>
      </c>
      <c r="BX283" s="18" t="str">
        <f t="shared" si="142"/>
        <v>Contiene grasas trans</v>
      </c>
      <c r="BY283" s="18" t="str">
        <f t="shared" si="143"/>
        <v>Bajo poder antioxidante</v>
      </c>
      <c r="BZ283" s="6" t="str">
        <f t="shared" si="131"/>
        <v>Sin probióticos</v>
      </c>
      <c r="CA283" s="18" t="str">
        <f t="shared" si="144"/>
        <v>Moderadamente inflamatorio</v>
      </c>
      <c r="CB283" s="18" t="str">
        <f>IF(ISNUMBER(SEARCH("miel", D283)), "No irritante (Uso condicionado SII)", IF(OR(J283&gt;0, ISNUMBER(SEARCH("cacao", D283)), ISNUMBER(SEARCH("chocolate puro", D283))), "Altamente irritante", IF(OR(AND(O283&gt;15, BI283&gt;1), ISNUMBER(SEARCH("chocolate", D283))), "Moderadamente irritante", "No irritante")))</f>
        <v>No irritante</v>
      </c>
      <c r="CC283" s="6" t="str">
        <f t="shared" si="132"/>
        <v>Exceso relativo de Omega 6</v>
      </c>
    </row>
    <row r="284" spans="1:81" ht="15" customHeight="1" x14ac:dyDescent="0.3">
      <c r="A284" s="2">
        <f t="shared" si="133"/>
        <v>283</v>
      </c>
      <c r="B284" s="3" t="s">
        <v>391</v>
      </c>
      <c r="C284" s="3" t="s">
        <v>407</v>
      </c>
      <c r="D284" s="3" t="s">
        <v>417</v>
      </c>
      <c r="E284" s="3"/>
      <c r="F284" s="4">
        <v>3.5</v>
      </c>
      <c r="G284" s="5">
        <v>1</v>
      </c>
      <c r="H284" s="5">
        <v>158</v>
      </c>
      <c r="I284" s="5">
        <v>70.099999999999994</v>
      </c>
      <c r="J284" s="5">
        <v>0</v>
      </c>
      <c r="K284" s="5">
        <v>22.3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7.6</v>
      </c>
      <c r="R284" s="5">
        <v>2.9</v>
      </c>
      <c r="S284" s="5">
        <v>3.1</v>
      </c>
      <c r="T284" s="5">
        <v>0.8</v>
      </c>
      <c r="U284" s="5">
        <v>68.400000000000006</v>
      </c>
      <c r="V284" s="5">
        <v>2</v>
      </c>
      <c r="W284" s="5">
        <v>2</v>
      </c>
      <c r="X284" s="5">
        <v>0</v>
      </c>
      <c r="Y284" s="5">
        <v>0</v>
      </c>
      <c r="Z284" s="5">
        <v>0</v>
      </c>
      <c r="AA284" s="5">
        <v>5</v>
      </c>
      <c r="AB284" s="5">
        <v>0.83</v>
      </c>
      <c r="AC284" s="5">
        <v>0.21</v>
      </c>
      <c r="AD284" s="5">
        <v>13.2</v>
      </c>
      <c r="AE284" s="5">
        <v>0.47</v>
      </c>
      <c r="AF284" s="5">
        <v>5.4</v>
      </c>
      <c r="AG284" s="5">
        <v>3.1</v>
      </c>
      <c r="AH284" s="5">
        <v>1.1000000000000001</v>
      </c>
      <c r="AI284" s="5">
        <v>0</v>
      </c>
      <c r="AJ284" s="5">
        <v>0</v>
      </c>
      <c r="AK284" s="5">
        <v>5.8</v>
      </c>
      <c r="AL284" s="5">
        <v>196</v>
      </c>
      <c r="AM284" s="5">
        <v>1.8</v>
      </c>
      <c r="AN284" s="5">
        <v>2.4</v>
      </c>
      <c r="AO284" s="5">
        <v>2.2999999999999998</v>
      </c>
      <c r="AP284" s="5">
        <v>23.2</v>
      </c>
      <c r="AQ284" s="5">
        <v>76</v>
      </c>
      <c r="AR284" s="5">
        <v>370</v>
      </c>
      <c r="AS284" s="5">
        <v>1.2999999999999999E-2</v>
      </c>
      <c r="AT284" s="5">
        <v>4.3999999999999997E-2</v>
      </c>
      <c r="AU284" s="5">
        <v>30</v>
      </c>
      <c r="AV284" s="5">
        <f>IFERROR(VLOOKUP(IFERROR(VLOOKUP(D284,Mapa_Similitud!$A$2:$B$2000,2,FALSE()),D284),Hoja1!$A$2:$K$1000,2,FALSE()),IFERROR(VLOOKUP(IFERROR(VLOOKUP(D284,Mapa_Similitud!$A$2:$B$2000,2,FALSE()),D284),Omega3_Referencia!$A$2:$E$100,3,FALSE()),0))</f>
        <v>0.02</v>
      </c>
      <c r="AW284" s="3" t="str">
        <f>IFERROR(VLOOKUP(IFERROR(VLOOKUP(D284,Mapa_Similitud!$A$2:$B$2000,2,FALSE()),D284),Hoja1!$A$2:$K$1000,3,FALSE()),IFERROR(VLOOKUP(IFERROR(VLOOKUP(D284,Mapa_Similitud!$A$2:$B$2000,2,FALSE()),D284),Omega3_Referencia!$A$2:$E$100,4,FALSE()),"N/A"))</f>
        <v>ALA</v>
      </c>
      <c r="AX284" s="5">
        <f>IFERROR(VLOOKUP(IFERROR(VLOOKUP(D284,Mapa_Similitud!$A$2:$B$2000,2,FALSE()),D284),Hoja1!$A$2:$K$1000,5,FALSE()),0)</f>
        <v>0.1</v>
      </c>
      <c r="AY284" s="5">
        <f>IFERROR(VLOOKUP(IFERROR(VLOOKUP(D284,Mapa_Similitud!$A$2:$B$2000,2,FALSE()),D284),Hoja1!$A$2:$K$1000,7,FALSE()),0)</f>
        <v>0</v>
      </c>
      <c r="AZ284" s="5">
        <f>IFERROR(VLOOKUP(IFERROR(VLOOKUP(D284,Mapa_Similitud!$A$2:$B$2000,2,FALSE()),D284),Hoja1!$A$2:$K$1000,9,FALSE()),0)</f>
        <v>0</v>
      </c>
      <c r="BA284" s="25">
        <f t="shared" si="116"/>
        <v>0.14113924050632912</v>
      </c>
      <c r="BB284" s="25">
        <f t="shared" si="117"/>
        <v>0</v>
      </c>
      <c r="BC284" s="25">
        <f t="shared" si="118"/>
        <v>3.6708860759493672E-2</v>
      </c>
      <c r="BD284" s="25">
        <f t="shared" si="119"/>
        <v>1.1392405063291139E-2</v>
      </c>
      <c r="BE284" s="25">
        <f t="shared" si="120"/>
        <v>0.48101265822784811</v>
      </c>
      <c r="BF284" s="25">
        <f t="shared" si="121"/>
        <v>0.27586206896551724</v>
      </c>
      <c r="BG284" s="25">
        <f t="shared" si="122"/>
        <v>2.9591836734693875E-2</v>
      </c>
      <c r="BH284" s="25">
        <f t="shared" si="123"/>
        <v>0.38157894736842107</v>
      </c>
      <c r="BI284" s="25">
        <f t="shared" si="124"/>
        <v>0.20540540540540542</v>
      </c>
      <c r="BJ284" s="25">
        <f t="shared" si="125"/>
        <v>0</v>
      </c>
      <c r="BK284" s="25">
        <f t="shared" si="126"/>
        <v>0</v>
      </c>
      <c r="BL284" s="25">
        <f t="shared" si="127"/>
        <v>0.43291139240506321</v>
      </c>
      <c r="BM284" s="25">
        <f t="shared" si="128"/>
        <v>0.14683544303797469</v>
      </c>
      <c r="BN284" s="18" t="str">
        <f t="shared" si="134"/>
        <v>Media fuente de proteína</v>
      </c>
      <c r="BO284" s="18" t="str">
        <f t="shared" si="135"/>
        <v>Baja fuente de fibra</v>
      </c>
      <c r="BP284" s="18" t="str">
        <f t="shared" si="136"/>
        <v>Baja fuente de calcio</v>
      </c>
      <c r="BQ284" s="18" t="str">
        <f t="shared" si="137"/>
        <v>Media fuente de hierro</v>
      </c>
      <c r="BR284" s="18" t="str">
        <f t="shared" si="138"/>
        <v>Bajo en sodio</v>
      </c>
      <c r="BS284" s="6" t="str">
        <f t="shared" si="129"/>
        <v>Proinflamatorio</v>
      </c>
      <c r="BT284" s="6" t="str">
        <f t="shared" si="130"/>
        <v>Muy alto en grasas</v>
      </c>
      <c r="BU284" s="18" t="str">
        <f t="shared" si="139"/>
        <v>Equilibrio de líquidos ideal</v>
      </c>
      <c r="BV284" s="18" t="str">
        <f t="shared" si="140"/>
        <v>Baja fuente de magnesio</v>
      </c>
      <c r="BW284" s="18" t="str">
        <f t="shared" si="141"/>
        <v>Sin aporte de Omega 3</v>
      </c>
      <c r="BX284" s="18" t="str">
        <f t="shared" si="142"/>
        <v>Contiene grasas trans</v>
      </c>
      <c r="BY284" s="18" t="str">
        <f t="shared" si="143"/>
        <v>Bajo poder antioxidante</v>
      </c>
      <c r="BZ284" s="6" t="str">
        <f t="shared" si="131"/>
        <v>Sin probióticos</v>
      </c>
      <c r="CA284" s="18" t="str">
        <f t="shared" si="144"/>
        <v>Moderadamente inflamatorio</v>
      </c>
      <c r="CB284" s="18" t="str">
        <f>IF(ISNUMBER(SEARCH("miel", D284)), "No irritante (Uso condicionado SII)", IF(OR(J284&gt;0, ISNUMBER(SEARCH("cacao", D284)), ISNUMBER(SEARCH("chocolate puro", D284))), "Altamente irritante", IF(OR(AND(O284&gt;15, BI284&gt;1), ISNUMBER(SEARCH("chocolate", D284))), "Moderadamente irritante", "No irritante")))</f>
        <v>No irritante</v>
      </c>
      <c r="CC284" s="6" t="str">
        <f t="shared" si="132"/>
        <v>Exceso relativo de Omega 6</v>
      </c>
    </row>
    <row r="285" spans="1:81" ht="15" customHeight="1" x14ac:dyDescent="0.3">
      <c r="A285" s="2">
        <f t="shared" si="133"/>
        <v>284</v>
      </c>
      <c r="B285" s="3" t="s">
        <v>391</v>
      </c>
      <c r="C285" s="3" t="s">
        <v>407</v>
      </c>
      <c r="D285" s="3" t="s">
        <v>418</v>
      </c>
      <c r="E285" s="3"/>
      <c r="F285" s="4">
        <v>1.8</v>
      </c>
      <c r="G285" s="5">
        <v>1</v>
      </c>
      <c r="H285" s="5">
        <v>655</v>
      </c>
      <c r="I285" s="5">
        <v>24.9</v>
      </c>
      <c r="J285" s="5">
        <v>0</v>
      </c>
      <c r="K285" s="5">
        <v>4.0999999999999996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71</v>
      </c>
      <c r="R285" s="5">
        <v>29.3</v>
      </c>
      <c r="S285" s="5">
        <v>32.4</v>
      </c>
      <c r="T285" s="5">
        <v>5.3</v>
      </c>
      <c r="U285" s="5">
        <v>57</v>
      </c>
      <c r="V285" s="5">
        <v>11</v>
      </c>
      <c r="W285" s="5">
        <v>11</v>
      </c>
      <c r="X285" s="5">
        <v>0</v>
      </c>
      <c r="Y285" s="5">
        <v>0</v>
      </c>
      <c r="Z285" s="5">
        <v>0.11</v>
      </c>
      <c r="AA285" s="5">
        <v>46</v>
      </c>
      <c r="AB285" s="5">
        <v>0.1</v>
      </c>
      <c r="AC285" s="5">
        <v>0.02</v>
      </c>
      <c r="AD285" s="5">
        <v>4.0999999999999996</v>
      </c>
      <c r="AE285" s="5">
        <v>0.37</v>
      </c>
      <c r="AF285" s="5">
        <v>3</v>
      </c>
      <c r="AG285" s="5">
        <v>0</v>
      </c>
      <c r="AH285" s="5">
        <v>0.35</v>
      </c>
      <c r="AI285" s="5">
        <v>0</v>
      </c>
      <c r="AJ285" s="5">
        <v>0</v>
      </c>
      <c r="AK285" s="5">
        <v>3</v>
      </c>
      <c r="AL285" s="5">
        <v>38</v>
      </c>
      <c r="AM285" s="5">
        <v>0.7</v>
      </c>
      <c r="AN285" s="5">
        <v>11</v>
      </c>
      <c r="AO285" s="5">
        <v>0.6</v>
      </c>
      <c r="AP285" s="5">
        <v>4</v>
      </c>
      <c r="AQ285" s="5">
        <v>560</v>
      </c>
      <c r="AR285" s="5">
        <v>75</v>
      </c>
      <c r="AS285" s="5">
        <v>0</v>
      </c>
      <c r="AT285" s="5">
        <v>0.06</v>
      </c>
      <c r="AU285" s="5">
        <v>1</v>
      </c>
      <c r="AV285" s="5">
        <f>IFERROR(VLOOKUP(IFERROR(VLOOKUP(D285,Mapa_Similitud!$A$2:$B$2000,2,FALSE()),D285),Hoja1!$A$2:$K$1000,2,FALSE()),IFERROR(VLOOKUP(IFERROR(VLOOKUP(D285,Mapa_Similitud!$A$2:$B$2000,2,FALSE()),D285),Omega3_Referencia!$A$2:$E$100,3,FALSE()),0))</f>
        <v>0.08</v>
      </c>
      <c r="AW285" s="3" t="str">
        <f>IFERROR(VLOOKUP(IFERROR(VLOOKUP(D285,Mapa_Similitud!$A$2:$B$2000,2,FALSE()),D285),Hoja1!$A$2:$K$1000,3,FALSE()),IFERROR(VLOOKUP(IFERROR(VLOOKUP(D285,Mapa_Similitud!$A$2:$B$2000,2,FALSE()),D285),Omega3_Referencia!$A$2:$E$100,4,FALSE()),"N/A"))</f>
        <v>ALA</v>
      </c>
      <c r="AX285" s="5">
        <f>IFERROR(VLOOKUP(IFERROR(VLOOKUP(D285,Mapa_Similitud!$A$2:$B$2000,2,FALSE()),D285),Hoja1!$A$2:$K$1000,5,FALSE()),0)</f>
        <v>0.3</v>
      </c>
      <c r="AY285" s="5">
        <f>IFERROR(VLOOKUP(IFERROR(VLOOKUP(D285,Mapa_Similitud!$A$2:$B$2000,2,FALSE()),D285),Hoja1!$A$2:$K$1000,7,FALSE()),0)</f>
        <v>0</v>
      </c>
      <c r="AZ285" s="5">
        <f>IFERROR(VLOOKUP(IFERROR(VLOOKUP(D285,Mapa_Similitud!$A$2:$B$2000,2,FALSE()),D285),Hoja1!$A$2:$K$1000,9,FALSE()),0)</f>
        <v>0</v>
      </c>
      <c r="BA285" s="25">
        <f t="shared" si="116"/>
        <v>6.2595419847328235E-3</v>
      </c>
      <c r="BB285" s="25">
        <f t="shared" si="117"/>
        <v>0</v>
      </c>
      <c r="BC285" s="25">
        <f t="shared" si="118"/>
        <v>4.5801526717557254E-3</v>
      </c>
      <c r="BD285" s="25">
        <f t="shared" si="119"/>
        <v>1.0687022900763357E-3</v>
      </c>
      <c r="BE285" s="25">
        <f t="shared" si="120"/>
        <v>0.85496183206106868</v>
      </c>
      <c r="BF285" s="25">
        <f t="shared" si="121"/>
        <v>0.18088737201365188</v>
      </c>
      <c r="BG285" s="25">
        <f t="shared" si="122"/>
        <v>7.8947368421052627E-2</v>
      </c>
      <c r="BH285" s="25">
        <f t="shared" si="123"/>
        <v>0.41267605633802817</v>
      </c>
      <c r="BI285" s="25">
        <f t="shared" si="124"/>
        <v>7.4666666666666668</v>
      </c>
      <c r="BJ285" s="25">
        <f t="shared" si="125"/>
        <v>0</v>
      </c>
      <c r="BK285" s="25">
        <f t="shared" si="126"/>
        <v>0</v>
      </c>
      <c r="BL285" s="25">
        <f t="shared" si="127"/>
        <v>0.97557251908396947</v>
      </c>
      <c r="BM285" s="25">
        <f t="shared" si="128"/>
        <v>6.1068702290076335E-3</v>
      </c>
      <c r="BN285" s="18" t="str">
        <f t="shared" si="134"/>
        <v>Baja fuente de proteína</v>
      </c>
      <c r="BO285" s="18" t="str">
        <f t="shared" si="135"/>
        <v>Baja fuente de fibra</v>
      </c>
      <c r="BP285" s="18" t="str">
        <f t="shared" si="136"/>
        <v>Baja fuente de calcio</v>
      </c>
      <c r="BQ285" s="18" t="str">
        <f t="shared" si="137"/>
        <v>Baja fuente de hierro</v>
      </c>
      <c r="BR285" s="18" t="str">
        <f t="shared" si="138"/>
        <v>Moderado en sodio</v>
      </c>
      <c r="BS285" s="6" t="str">
        <f t="shared" si="129"/>
        <v>Proinflamatorio</v>
      </c>
      <c r="BT285" s="6" t="str">
        <f t="shared" si="130"/>
        <v>Muy alto en grasas</v>
      </c>
      <c r="BU285" s="18" t="str">
        <f t="shared" si="139"/>
        <v>Alto riesgo de retención de líquidos</v>
      </c>
      <c r="BV285" s="18" t="str">
        <f t="shared" si="140"/>
        <v>Baja fuente de magnesio</v>
      </c>
      <c r="BW285" s="18" t="str">
        <f t="shared" si="141"/>
        <v>Sin aporte de Omega 3</v>
      </c>
      <c r="BX285" s="18" t="str">
        <f t="shared" si="142"/>
        <v>Contiene grasas trans</v>
      </c>
      <c r="BY285" s="18" t="str">
        <f t="shared" si="143"/>
        <v>Bajo poder antioxidante</v>
      </c>
      <c r="BZ285" s="6" t="str">
        <f t="shared" si="131"/>
        <v>Sin probióticos</v>
      </c>
      <c r="CA285" s="18" t="str">
        <f t="shared" si="144"/>
        <v>Moderadamente inflamatorio</v>
      </c>
      <c r="CB285" s="18" t="str">
        <f>IF(ISNUMBER(SEARCH("miel", D285)), "No irritante (Uso condicionado SII)", IF(OR(J285&gt;0, ISNUMBER(SEARCH("cacao", D285)), ISNUMBER(SEARCH("chocolate puro", D285))), "Altamente irritante", IF(OR(AND(O285&gt;15, BI285&gt;1), ISNUMBER(SEARCH("chocolate", D285))), "Moderadamente irritante", "No irritante")))</f>
        <v>No irritante</v>
      </c>
      <c r="CC285" s="6" t="str">
        <f t="shared" si="132"/>
        <v>Exceso relativo de Omega 6</v>
      </c>
    </row>
    <row r="286" spans="1:81" ht="15" customHeight="1" x14ac:dyDescent="0.3">
      <c r="A286" s="2">
        <f t="shared" si="133"/>
        <v>285</v>
      </c>
      <c r="B286" s="3" t="s">
        <v>391</v>
      </c>
      <c r="C286" s="3" t="s">
        <v>419</v>
      </c>
      <c r="D286" s="3" t="s">
        <v>420</v>
      </c>
      <c r="E286" s="3"/>
      <c r="F286" s="4">
        <v>4</v>
      </c>
      <c r="G286" s="5">
        <v>0.77</v>
      </c>
      <c r="H286" s="5">
        <v>250</v>
      </c>
      <c r="I286" s="5">
        <v>63.2</v>
      </c>
      <c r="J286" s="5">
        <v>0</v>
      </c>
      <c r="K286" s="5">
        <v>16.2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20.6</v>
      </c>
      <c r="R286" s="5">
        <v>9.1999999999999993</v>
      </c>
      <c r="S286" s="5">
        <v>7.5</v>
      </c>
      <c r="T286" s="5">
        <v>1.7</v>
      </c>
      <c r="U286" s="5">
        <v>79.5</v>
      </c>
      <c r="V286" s="5">
        <v>16</v>
      </c>
      <c r="W286" s="5">
        <v>16</v>
      </c>
      <c r="X286" s="5">
        <v>0</v>
      </c>
      <c r="Y286" s="5">
        <v>0</v>
      </c>
      <c r="Z286" s="5">
        <v>0.18</v>
      </c>
      <c r="AA286" s="5">
        <v>15</v>
      </c>
      <c r="AB286" s="5">
        <v>0.13</v>
      </c>
      <c r="AC286" s="5">
        <v>0.2</v>
      </c>
      <c r="AD286" s="5">
        <v>7.6</v>
      </c>
      <c r="AE286" s="5">
        <v>0.15</v>
      </c>
      <c r="AF286" s="5">
        <v>2.9</v>
      </c>
      <c r="AG286" s="5">
        <v>1.1000000000000001</v>
      </c>
      <c r="AH286" s="5">
        <v>0.4</v>
      </c>
      <c r="AI286" s="5">
        <v>1</v>
      </c>
      <c r="AJ286" s="5">
        <v>0</v>
      </c>
      <c r="AK286" s="5">
        <v>8</v>
      </c>
      <c r="AL286" s="5">
        <v>130</v>
      </c>
      <c r="AM286" s="5">
        <v>3.2</v>
      </c>
      <c r="AN286" s="5">
        <v>5.4</v>
      </c>
      <c r="AO286" s="5">
        <v>2.2000000000000002</v>
      </c>
      <c r="AP286" s="5">
        <v>15.7</v>
      </c>
      <c r="AQ286" s="5">
        <v>60</v>
      </c>
      <c r="AR286" s="5">
        <v>230</v>
      </c>
      <c r="AS286" s="5">
        <v>0.02</v>
      </c>
      <c r="AT286" s="5">
        <v>0.15</v>
      </c>
      <c r="AU286" s="5">
        <v>1</v>
      </c>
      <c r="AV286" s="5">
        <f>IFERROR(VLOOKUP(IFERROR(VLOOKUP(D286,Mapa_Similitud!$A$2:$B$2000,2,FALSE()),D286),Hoja1!$A$2:$K$1000,2,FALSE()),IFERROR(VLOOKUP(IFERROR(VLOOKUP(D286,Mapa_Similitud!$A$2:$B$2000,2,FALSE()),D286),Omega3_Referencia!$A$2:$E$100,3,FALSE()),0))</f>
        <v>0.08</v>
      </c>
      <c r="AW286" s="3" t="str">
        <f>IFERROR(VLOOKUP(IFERROR(VLOOKUP(D286,Mapa_Similitud!$A$2:$B$2000,2,FALSE()),D286),Hoja1!$A$2:$K$1000,3,FALSE()),IFERROR(VLOOKUP(IFERROR(VLOOKUP(D286,Mapa_Similitud!$A$2:$B$2000,2,FALSE()),D286),Omega3_Referencia!$A$2:$E$100,4,FALSE()),"N/A"))</f>
        <v>ALA</v>
      </c>
      <c r="AX286" s="5">
        <f>IFERROR(VLOOKUP(IFERROR(VLOOKUP(D286,Mapa_Similitud!$A$2:$B$2000,2,FALSE()),D286),Hoja1!$A$2:$K$1000,5,FALSE()),0)</f>
        <v>0.5</v>
      </c>
      <c r="AY286" s="5">
        <f>IFERROR(VLOOKUP(IFERROR(VLOOKUP(D286,Mapa_Similitud!$A$2:$B$2000,2,FALSE()),D286),Hoja1!$A$2:$K$1000,7,FALSE()),0)</f>
        <v>0</v>
      </c>
      <c r="AZ286" s="5">
        <f>IFERROR(VLOOKUP(IFERROR(VLOOKUP(D286,Mapa_Similitud!$A$2:$B$2000,2,FALSE()),D286),Hoja1!$A$2:$K$1000,9,FALSE()),0)</f>
        <v>0</v>
      </c>
      <c r="BA286" s="25">
        <f t="shared" si="116"/>
        <v>6.4799999999999996E-2</v>
      </c>
      <c r="BB286" s="25">
        <f t="shared" si="117"/>
        <v>0</v>
      </c>
      <c r="BC286" s="25">
        <f t="shared" si="118"/>
        <v>3.2000000000000001E-2</v>
      </c>
      <c r="BD286" s="25">
        <f t="shared" si="119"/>
        <v>1.2800000000000001E-2</v>
      </c>
      <c r="BE286" s="25">
        <f t="shared" si="120"/>
        <v>0.24</v>
      </c>
      <c r="BF286" s="25">
        <f t="shared" si="121"/>
        <v>0.18478260869565219</v>
      </c>
      <c r="BG286" s="25">
        <f t="shared" si="122"/>
        <v>6.1538461538461542E-2</v>
      </c>
      <c r="BH286" s="25">
        <f t="shared" si="123"/>
        <v>0.44660194174757273</v>
      </c>
      <c r="BI286" s="25">
        <f t="shared" si="124"/>
        <v>0.2608695652173913</v>
      </c>
      <c r="BJ286" s="25">
        <f t="shared" si="125"/>
        <v>0</v>
      </c>
      <c r="BK286" s="25">
        <f t="shared" si="126"/>
        <v>0</v>
      </c>
      <c r="BL286" s="25">
        <f t="shared" si="127"/>
        <v>0.74160000000000004</v>
      </c>
      <c r="BM286" s="25">
        <f t="shared" si="128"/>
        <v>6.2799999999999995E-2</v>
      </c>
      <c r="BN286" s="18" t="str">
        <f t="shared" si="134"/>
        <v>Baja fuente de proteína</v>
      </c>
      <c r="BO286" s="18" t="str">
        <f t="shared" si="135"/>
        <v>Baja fuente de fibra</v>
      </c>
      <c r="BP286" s="18" t="str">
        <f t="shared" si="136"/>
        <v>Baja fuente de calcio</v>
      </c>
      <c r="BQ286" s="18" t="str">
        <f t="shared" si="137"/>
        <v>Media fuente de hierro</v>
      </c>
      <c r="BR286" s="18" t="str">
        <f t="shared" si="138"/>
        <v>Bajo en sodio</v>
      </c>
      <c r="BS286" s="6" t="str">
        <f t="shared" si="129"/>
        <v>Proinflamatorio</v>
      </c>
      <c r="BT286" s="6" t="str">
        <f t="shared" si="130"/>
        <v>Muy alto en grasas</v>
      </c>
      <c r="BU286" s="18" t="str">
        <f t="shared" si="139"/>
        <v>Equilibrio de líquidos ideal</v>
      </c>
      <c r="BV286" s="18" t="str">
        <f t="shared" si="140"/>
        <v>Baja fuente de magnesio</v>
      </c>
      <c r="BW286" s="18" t="str">
        <f t="shared" si="141"/>
        <v>Sin aporte de Omega 3</v>
      </c>
      <c r="BX286" s="18" t="str">
        <f t="shared" si="142"/>
        <v>Contiene grasas trans</v>
      </c>
      <c r="BY286" s="18" t="str">
        <f t="shared" si="143"/>
        <v>Bajo poder antioxidante</v>
      </c>
      <c r="BZ286" s="6" t="str">
        <f t="shared" si="131"/>
        <v>Sin probióticos</v>
      </c>
      <c r="CA286" s="18" t="str">
        <f t="shared" si="144"/>
        <v>Moderadamente inflamatorio</v>
      </c>
      <c r="CB286" s="18" t="str">
        <f>IF(ISNUMBER(SEARCH("miel", D286)), "No irritante (Uso condicionado SII)", IF(OR(J286&gt;0, ISNUMBER(SEARCH("cacao", D286)), ISNUMBER(SEARCH("chocolate puro", D286))), "Altamente irritante", IF(OR(AND(O286&gt;15, BI286&gt;1), ISNUMBER(SEARCH("chocolate", D286))), "Moderadamente irritante", "No irritante")))</f>
        <v>No irritante</v>
      </c>
      <c r="CC286" s="6" t="str">
        <f t="shared" si="132"/>
        <v>Exceso relativo de Omega 6</v>
      </c>
    </row>
    <row r="287" spans="1:81" ht="15" customHeight="1" x14ac:dyDescent="0.3">
      <c r="A287" s="2">
        <f t="shared" si="133"/>
        <v>286</v>
      </c>
      <c r="B287" s="3" t="s">
        <v>391</v>
      </c>
      <c r="C287" s="3" t="s">
        <v>419</v>
      </c>
      <c r="D287" s="3" t="s">
        <v>421</v>
      </c>
      <c r="E287" s="3"/>
      <c r="F287" s="4">
        <v>3.5</v>
      </c>
      <c r="G287" s="5">
        <v>0.8</v>
      </c>
      <c r="H287" s="5">
        <v>151</v>
      </c>
      <c r="I287" s="5">
        <v>77.099999999999994</v>
      </c>
      <c r="J287" s="5">
        <v>0</v>
      </c>
      <c r="K287" s="5">
        <v>11.1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11.8</v>
      </c>
      <c r="R287" s="5">
        <v>5</v>
      </c>
      <c r="S287" s="5">
        <v>4.5999999999999996</v>
      </c>
      <c r="T287" s="5">
        <v>0.8</v>
      </c>
      <c r="U287" s="5">
        <v>80.599999999999994</v>
      </c>
      <c r="V287" s="5">
        <v>0</v>
      </c>
      <c r="W287" s="5">
        <v>0</v>
      </c>
      <c r="X287" s="5">
        <v>0</v>
      </c>
      <c r="Y287" s="5">
        <v>0</v>
      </c>
      <c r="Z287" s="5">
        <v>0.15</v>
      </c>
      <c r="AA287" s="5">
        <v>15</v>
      </c>
      <c r="AB287" s="5">
        <v>0.13</v>
      </c>
      <c r="AC287" s="5">
        <v>0.2</v>
      </c>
      <c r="AD287" s="5">
        <v>6</v>
      </c>
      <c r="AE287" s="5">
        <v>0.82</v>
      </c>
      <c r="AF287" s="5">
        <v>3.1</v>
      </c>
      <c r="AG287" s="5">
        <v>1.5</v>
      </c>
      <c r="AH287" s="5">
        <v>0.5</v>
      </c>
      <c r="AI287" s="5">
        <v>1</v>
      </c>
      <c r="AJ287" s="5">
        <v>0</v>
      </c>
      <c r="AK287" s="5">
        <v>7.5</v>
      </c>
      <c r="AL287" s="5">
        <v>204</v>
      </c>
      <c r="AM287" s="5">
        <v>3.1</v>
      </c>
      <c r="AN287" s="5">
        <v>2.2999999999999998</v>
      </c>
      <c r="AO287" s="5">
        <v>6.1</v>
      </c>
      <c r="AP287" s="5">
        <v>23.3</v>
      </c>
      <c r="AQ287" s="5">
        <v>87</v>
      </c>
      <c r="AR287" s="5">
        <v>395</v>
      </c>
      <c r="AS287" s="5">
        <v>0.03</v>
      </c>
      <c r="AT287" s="5">
        <v>0.25</v>
      </c>
      <c r="AU287" s="5">
        <v>1</v>
      </c>
      <c r="AV287" s="5">
        <f>IFERROR(VLOOKUP(IFERROR(VLOOKUP(D287,Mapa_Similitud!$A$2:$B$2000,2,FALSE()),D287),Hoja1!$A$2:$K$1000,2,FALSE()),IFERROR(VLOOKUP(IFERROR(VLOOKUP(D287,Mapa_Similitud!$A$2:$B$2000,2,FALSE()),D287),Omega3_Referencia!$A$2:$E$100,3,FALSE()),0))</f>
        <v>7.0000000000000007E-2</v>
      </c>
      <c r="AW287" s="3" t="str">
        <f>IFERROR(VLOOKUP(IFERROR(VLOOKUP(D287,Mapa_Similitud!$A$2:$B$2000,2,FALSE()),D287),Hoja1!$A$2:$K$1000,3,FALSE()),IFERROR(VLOOKUP(IFERROR(VLOOKUP(D287,Mapa_Similitud!$A$2:$B$2000,2,FALSE()),D287),Omega3_Referencia!$A$2:$E$100,4,FALSE()),"N/A"))</f>
        <v>ALA</v>
      </c>
      <c r="AX287" s="5">
        <f>IFERROR(VLOOKUP(IFERROR(VLOOKUP(D287,Mapa_Similitud!$A$2:$B$2000,2,FALSE()),D287),Hoja1!$A$2:$K$1000,5,FALSE()),0)</f>
        <v>0.4</v>
      </c>
      <c r="AY287" s="5">
        <f>IFERROR(VLOOKUP(IFERROR(VLOOKUP(D287,Mapa_Similitud!$A$2:$B$2000,2,FALSE()),D287),Hoja1!$A$2:$K$1000,7,FALSE()),0)</f>
        <v>0</v>
      </c>
      <c r="AZ287" s="5">
        <f>IFERROR(VLOOKUP(IFERROR(VLOOKUP(D287,Mapa_Similitud!$A$2:$B$2000,2,FALSE()),D287),Hoja1!$A$2:$K$1000,9,FALSE()),0)</f>
        <v>0</v>
      </c>
      <c r="BA287" s="25">
        <f t="shared" si="116"/>
        <v>7.3509933774834432E-2</v>
      </c>
      <c r="BB287" s="25">
        <f t="shared" si="117"/>
        <v>0</v>
      </c>
      <c r="BC287" s="25">
        <f t="shared" si="118"/>
        <v>4.9668874172185427E-2</v>
      </c>
      <c r="BD287" s="25">
        <f t="shared" si="119"/>
        <v>2.0529801324503313E-2</v>
      </c>
      <c r="BE287" s="25">
        <f t="shared" si="120"/>
        <v>0.57615894039735094</v>
      </c>
      <c r="BF287" s="25">
        <f t="shared" si="121"/>
        <v>0.16</v>
      </c>
      <c r="BG287" s="25">
        <f t="shared" si="122"/>
        <v>3.6764705882352942E-2</v>
      </c>
      <c r="BH287" s="25">
        <f t="shared" si="123"/>
        <v>0.42372881355932202</v>
      </c>
      <c r="BI287" s="25">
        <f t="shared" si="124"/>
        <v>0.22025316455696203</v>
      </c>
      <c r="BJ287" s="25">
        <f t="shared" si="125"/>
        <v>0</v>
      </c>
      <c r="BK287" s="25">
        <f t="shared" si="126"/>
        <v>0</v>
      </c>
      <c r="BL287" s="25">
        <f t="shared" si="127"/>
        <v>0.70331125827814567</v>
      </c>
      <c r="BM287" s="25">
        <f t="shared" si="128"/>
        <v>0.1543046357615894</v>
      </c>
      <c r="BN287" s="18" t="str">
        <f t="shared" si="134"/>
        <v>Baja fuente de proteína</v>
      </c>
      <c r="BO287" s="18" t="str">
        <f t="shared" si="135"/>
        <v>Baja fuente de fibra</v>
      </c>
      <c r="BP287" s="18" t="str">
        <f t="shared" si="136"/>
        <v>Baja fuente de calcio</v>
      </c>
      <c r="BQ287" s="18" t="str">
        <f t="shared" si="137"/>
        <v>Alta fuente de hierro</v>
      </c>
      <c r="BR287" s="18" t="str">
        <f t="shared" si="138"/>
        <v>Moderado en sodio</v>
      </c>
      <c r="BS287" s="6" t="str">
        <f t="shared" si="129"/>
        <v>Proinflamatorio</v>
      </c>
      <c r="BT287" s="6" t="str">
        <f t="shared" si="130"/>
        <v>Muy alto en grasas</v>
      </c>
      <c r="BU287" s="18" t="str">
        <f t="shared" si="139"/>
        <v>Equilibrio de líquidos ideal</v>
      </c>
      <c r="BV287" s="18" t="str">
        <f t="shared" si="140"/>
        <v>Baja fuente de magnesio</v>
      </c>
      <c r="BW287" s="18" t="str">
        <f t="shared" si="141"/>
        <v>Sin aporte de Omega 3</v>
      </c>
      <c r="BX287" s="18" t="str">
        <f t="shared" si="142"/>
        <v>Contiene grasas trans</v>
      </c>
      <c r="BY287" s="18" t="str">
        <f t="shared" si="143"/>
        <v>Bajo poder antioxidante</v>
      </c>
      <c r="BZ287" s="6" t="str">
        <f t="shared" si="131"/>
        <v>Sin probióticos</v>
      </c>
      <c r="CA287" s="18" t="str">
        <f t="shared" si="144"/>
        <v>Moderadamente inflamatorio</v>
      </c>
      <c r="CB287" s="18" t="str">
        <f>IF(ISNUMBER(SEARCH("miel", D287)), "No irritante (Uso condicionado SII)", IF(OR(J287&gt;0, ISNUMBER(SEARCH("cacao", D287)), ISNUMBER(SEARCH("chocolate puro", D287))), "Altamente irritante", IF(OR(AND(O287&gt;15, BI287&gt;1), ISNUMBER(SEARCH("chocolate", D287))), "Moderadamente irritante", "No irritante")))</f>
        <v>No irritante</v>
      </c>
      <c r="CC287" s="6" t="str">
        <f t="shared" si="132"/>
        <v>Exceso relativo de Omega 6</v>
      </c>
    </row>
    <row r="288" spans="1:81" ht="15" customHeight="1" x14ac:dyDescent="0.3">
      <c r="A288" s="2">
        <f t="shared" si="133"/>
        <v>287</v>
      </c>
      <c r="B288" s="3" t="s">
        <v>391</v>
      </c>
      <c r="C288" s="3" t="s">
        <v>419</v>
      </c>
      <c r="D288" s="3" t="s">
        <v>422</v>
      </c>
      <c r="E288" s="3"/>
      <c r="F288" s="4">
        <v>4</v>
      </c>
      <c r="G288" s="5">
        <v>0.77</v>
      </c>
      <c r="H288" s="5">
        <v>178</v>
      </c>
      <c r="I288" s="5">
        <v>70.3</v>
      </c>
      <c r="J288" s="5">
        <v>0</v>
      </c>
      <c r="K288" s="5">
        <v>17.899999999999999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11.8</v>
      </c>
      <c r="R288" s="5">
        <v>5.0999999999999996</v>
      </c>
      <c r="S288" s="5">
        <v>4.5999999999999996</v>
      </c>
      <c r="T288" s="5">
        <v>0.8</v>
      </c>
      <c r="U288" s="5">
        <v>78</v>
      </c>
      <c r="V288" s="5">
        <v>0</v>
      </c>
      <c r="W288" s="5">
        <v>0</v>
      </c>
      <c r="X288" s="5">
        <v>0</v>
      </c>
      <c r="Y288" s="5">
        <v>0</v>
      </c>
      <c r="Z288" s="5">
        <v>0.14000000000000001</v>
      </c>
      <c r="AA288" s="5">
        <v>15</v>
      </c>
      <c r="AB288" s="5">
        <v>0.14000000000000001</v>
      </c>
      <c r="AC288" s="5">
        <v>0.25</v>
      </c>
      <c r="AD288" s="5">
        <v>9.5</v>
      </c>
      <c r="AE288" s="5">
        <v>0.2</v>
      </c>
      <c r="AF288" s="5">
        <v>4</v>
      </c>
      <c r="AG288" s="5">
        <v>2</v>
      </c>
      <c r="AH288" s="5">
        <v>0.6</v>
      </c>
      <c r="AI288" s="5">
        <v>1</v>
      </c>
      <c r="AJ288" s="5">
        <v>0</v>
      </c>
      <c r="AK288" s="5">
        <v>6</v>
      </c>
      <c r="AL288" s="5">
        <v>170</v>
      </c>
      <c r="AM288" s="5">
        <v>1.7</v>
      </c>
      <c r="AN288" s="5">
        <v>5</v>
      </c>
      <c r="AO288" s="5">
        <v>2.8</v>
      </c>
      <c r="AP288" s="5">
        <v>22</v>
      </c>
      <c r="AQ288" s="5">
        <v>52</v>
      </c>
      <c r="AR288" s="5">
        <v>310</v>
      </c>
      <c r="AS288" s="5">
        <v>0.02</v>
      </c>
      <c r="AT288" s="5">
        <v>0.14000000000000001</v>
      </c>
      <c r="AU288" s="5">
        <v>1</v>
      </c>
      <c r="AV288" s="5">
        <f>IFERROR(VLOOKUP(IFERROR(VLOOKUP(D288,Mapa_Similitud!$A$2:$B$2000,2,FALSE()),D288),Hoja1!$A$2:$K$1000,2,FALSE()),IFERROR(VLOOKUP(IFERROR(VLOOKUP(D288,Mapa_Similitud!$A$2:$B$2000,2,FALSE()),D288),Omega3_Referencia!$A$2:$E$100,3,FALSE()),0))</f>
        <v>0.06</v>
      </c>
      <c r="AW288" s="3" t="str">
        <f>IFERROR(VLOOKUP(IFERROR(VLOOKUP(D288,Mapa_Similitud!$A$2:$B$2000,2,FALSE()),D288),Hoja1!$A$2:$K$1000,3,FALSE()),IFERROR(VLOOKUP(IFERROR(VLOOKUP(D288,Mapa_Similitud!$A$2:$B$2000,2,FALSE()),D288),Omega3_Referencia!$A$2:$E$100,4,FALSE()),"N/A"))</f>
        <v>ALA</v>
      </c>
      <c r="AX288" s="5">
        <f>IFERROR(VLOOKUP(IFERROR(VLOOKUP(D288,Mapa_Similitud!$A$2:$B$2000,2,FALSE()),D288),Hoja1!$A$2:$K$1000,5,FALSE()),0)</f>
        <v>0.4</v>
      </c>
      <c r="AY288" s="5">
        <f>IFERROR(VLOOKUP(IFERROR(VLOOKUP(D288,Mapa_Similitud!$A$2:$B$2000,2,FALSE()),D288),Hoja1!$A$2:$K$1000,7,FALSE()),0)</f>
        <v>0</v>
      </c>
      <c r="AZ288" s="5">
        <f>IFERROR(VLOOKUP(IFERROR(VLOOKUP(D288,Mapa_Similitud!$A$2:$B$2000,2,FALSE()),D288),Hoja1!$A$2:$K$1000,9,FALSE()),0)</f>
        <v>0</v>
      </c>
      <c r="BA288" s="25">
        <f t="shared" si="116"/>
        <v>0.10056179775280898</v>
      </c>
      <c r="BB288" s="25">
        <f t="shared" si="117"/>
        <v>0</v>
      </c>
      <c r="BC288" s="25">
        <f t="shared" si="118"/>
        <v>3.3707865168539325E-2</v>
      </c>
      <c r="BD288" s="25">
        <f t="shared" si="119"/>
        <v>9.5505617977528091E-3</v>
      </c>
      <c r="BE288" s="25">
        <f t="shared" si="120"/>
        <v>0.29213483146067415</v>
      </c>
      <c r="BF288" s="25">
        <f t="shared" si="121"/>
        <v>0.15686274509803924</v>
      </c>
      <c r="BG288" s="25">
        <f t="shared" si="122"/>
        <v>3.5294117647058823E-2</v>
      </c>
      <c r="BH288" s="25">
        <f t="shared" si="123"/>
        <v>0.43220338983050843</v>
      </c>
      <c r="BI288" s="25">
        <f t="shared" si="124"/>
        <v>0.16774193548387098</v>
      </c>
      <c r="BJ288" s="25">
        <f t="shared" si="125"/>
        <v>0</v>
      </c>
      <c r="BK288" s="25">
        <f t="shared" si="126"/>
        <v>0</v>
      </c>
      <c r="BL288" s="25">
        <f t="shared" si="127"/>
        <v>0.59662921348314613</v>
      </c>
      <c r="BM288" s="25">
        <f t="shared" si="128"/>
        <v>0.12359550561797752</v>
      </c>
      <c r="BN288" s="18" t="str">
        <f t="shared" si="134"/>
        <v>Media fuente de proteína</v>
      </c>
      <c r="BO288" s="18" t="str">
        <f t="shared" si="135"/>
        <v>Baja fuente de fibra</v>
      </c>
      <c r="BP288" s="18" t="str">
        <f t="shared" si="136"/>
        <v>Baja fuente de calcio</v>
      </c>
      <c r="BQ288" s="18" t="str">
        <f t="shared" si="137"/>
        <v>Media fuente de hierro</v>
      </c>
      <c r="BR288" s="18" t="str">
        <f t="shared" si="138"/>
        <v>Bajo en sodio</v>
      </c>
      <c r="BS288" s="6" t="str">
        <f t="shared" si="129"/>
        <v>Proinflamatorio</v>
      </c>
      <c r="BT288" s="6" t="str">
        <f t="shared" si="130"/>
        <v>Muy alto en grasas</v>
      </c>
      <c r="BU288" s="18" t="str">
        <f t="shared" si="139"/>
        <v>Equilibrio de líquidos ideal</v>
      </c>
      <c r="BV288" s="18" t="str">
        <f t="shared" si="140"/>
        <v>Baja fuente de magnesio</v>
      </c>
      <c r="BW288" s="18" t="str">
        <f t="shared" si="141"/>
        <v>Sin aporte de Omega 3</v>
      </c>
      <c r="BX288" s="18" t="str">
        <f t="shared" si="142"/>
        <v>Contiene grasas trans</v>
      </c>
      <c r="BY288" s="18" t="str">
        <f t="shared" si="143"/>
        <v>Bajo poder antioxidante</v>
      </c>
      <c r="BZ288" s="6" t="str">
        <f t="shared" si="131"/>
        <v>Sin probióticos</v>
      </c>
      <c r="CA288" s="18" t="str">
        <f t="shared" si="144"/>
        <v>Moderadamente inflamatorio</v>
      </c>
      <c r="CB288" s="18" t="str">
        <f>IF(ISNUMBER(SEARCH("miel", D288)), "No irritante (Uso condicionado SII)", IF(OR(J288&gt;0, ISNUMBER(SEARCH("cacao", D288)), ISNUMBER(SEARCH("chocolate puro", D288))), "Altamente irritante", IF(OR(AND(O288&gt;15, BI288&gt;1), ISNUMBER(SEARCH("chocolate", D288))), "Moderadamente irritante", "No irritante")))</f>
        <v>No irritante</v>
      </c>
      <c r="CC288" s="6" t="str">
        <f t="shared" si="132"/>
        <v>Exceso relativo de Omega 6</v>
      </c>
    </row>
    <row r="289" spans="1:81" ht="15" customHeight="1" x14ac:dyDescent="0.3">
      <c r="A289" s="2">
        <f t="shared" si="133"/>
        <v>288</v>
      </c>
      <c r="B289" s="3" t="s">
        <v>391</v>
      </c>
      <c r="C289" s="3" t="s">
        <v>423</v>
      </c>
      <c r="D289" s="3" t="s">
        <v>424</v>
      </c>
      <c r="E289" s="3"/>
      <c r="F289" s="4">
        <v>1.1000000000000001</v>
      </c>
      <c r="G289" s="5">
        <v>0.97</v>
      </c>
      <c r="H289" s="5">
        <v>238</v>
      </c>
      <c r="I289" s="5">
        <v>62.4</v>
      </c>
      <c r="J289" s="5">
        <v>0</v>
      </c>
      <c r="K289" s="5">
        <v>10</v>
      </c>
      <c r="L289" s="5">
        <v>5.5</v>
      </c>
      <c r="M289" s="5">
        <v>2.7</v>
      </c>
      <c r="N289" s="5">
        <v>2.8</v>
      </c>
      <c r="O289" s="5">
        <v>2.8</v>
      </c>
      <c r="P289" s="5">
        <v>0</v>
      </c>
      <c r="Q289" s="5">
        <v>19.600000000000001</v>
      </c>
      <c r="R289" s="5">
        <v>6.8</v>
      </c>
      <c r="S289" s="5">
        <v>8.9</v>
      </c>
      <c r="T289" s="5">
        <v>3</v>
      </c>
      <c r="U289" s="5">
        <v>50</v>
      </c>
      <c r="V289" s="5">
        <v>0</v>
      </c>
      <c r="W289" s="5">
        <v>0</v>
      </c>
      <c r="X289" s="5">
        <v>0</v>
      </c>
      <c r="Y289" s="5">
        <v>0.01</v>
      </c>
      <c r="Z289" s="5">
        <v>0.01</v>
      </c>
      <c r="AA289" s="5">
        <v>5</v>
      </c>
      <c r="AB289" s="5">
        <v>0.04</v>
      </c>
      <c r="AC289" s="5">
        <v>0.13</v>
      </c>
      <c r="AD289" s="5">
        <v>3.7</v>
      </c>
      <c r="AE289" s="5">
        <v>0.1</v>
      </c>
      <c r="AF289" s="5">
        <v>2</v>
      </c>
      <c r="AG289" s="5">
        <v>0.01</v>
      </c>
      <c r="AH289" s="5">
        <v>0.6</v>
      </c>
      <c r="AI289" s="5">
        <v>2</v>
      </c>
      <c r="AJ289" s="5">
        <v>0</v>
      </c>
      <c r="AK289" s="5">
        <v>51</v>
      </c>
      <c r="AL289" s="5">
        <v>160</v>
      </c>
      <c r="AM289" s="5">
        <v>1.9</v>
      </c>
      <c r="AN289" s="5">
        <v>0</v>
      </c>
      <c r="AO289" s="5">
        <v>0</v>
      </c>
      <c r="AP289" s="5">
        <v>15</v>
      </c>
      <c r="AQ289" s="5">
        <v>703</v>
      </c>
      <c r="AR289" s="5">
        <v>140</v>
      </c>
      <c r="AS289" s="5">
        <v>0.16</v>
      </c>
      <c r="AT289" s="5">
        <v>0.27</v>
      </c>
      <c r="AU289" s="5">
        <v>11.5</v>
      </c>
      <c r="AV289" s="5">
        <f>IFERROR(VLOOKUP(IFERROR(VLOOKUP(D289,Mapa_Similitud!$A$2:$B$2000,2,FALSE()),D289),Hoja1!$A$2:$K$1000,2,FALSE()),IFERROR(VLOOKUP(IFERROR(VLOOKUP(D289,Mapa_Similitud!$A$2:$B$2000,2,FALSE()),D289),Omega3_Referencia!$A$2:$E$100,3,FALSE()),0))</f>
        <v>0.04</v>
      </c>
      <c r="AW289" s="3" t="str">
        <f>IFERROR(VLOOKUP(IFERROR(VLOOKUP(D289,Mapa_Similitud!$A$2:$B$2000,2,FALSE()),D289),Hoja1!$A$2:$K$1000,3,FALSE()),IFERROR(VLOOKUP(IFERROR(VLOOKUP(D289,Mapa_Similitud!$A$2:$B$2000,2,FALSE()),D289),Omega3_Referencia!$A$2:$E$100,4,FALSE()),"N/A"))</f>
        <v>ALA</v>
      </c>
      <c r="AX289" s="5">
        <f>IFERROR(VLOOKUP(IFERROR(VLOOKUP(D289,Mapa_Similitud!$A$2:$B$2000,2,FALSE()),D289),Hoja1!$A$2:$K$1000,5,FALSE()),0)</f>
        <v>0.2</v>
      </c>
      <c r="AY289" s="5">
        <f>IFERROR(VLOOKUP(IFERROR(VLOOKUP(D289,Mapa_Similitud!$A$2:$B$2000,2,FALSE()),D289),Hoja1!$A$2:$K$1000,7,FALSE()),0)</f>
        <v>0</v>
      </c>
      <c r="AZ289" s="5">
        <f>IFERROR(VLOOKUP(IFERROR(VLOOKUP(D289,Mapa_Similitud!$A$2:$B$2000,2,FALSE()),D289),Hoja1!$A$2:$K$1000,9,FALSE()),0)</f>
        <v>0</v>
      </c>
      <c r="BA289" s="25">
        <f t="shared" si="116"/>
        <v>4.2016806722689079E-2</v>
      </c>
      <c r="BB289" s="25">
        <f t="shared" si="117"/>
        <v>0</v>
      </c>
      <c r="BC289" s="25">
        <f t="shared" si="118"/>
        <v>0.21428571428571427</v>
      </c>
      <c r="BD289" s="25">
        <f t="shared" si="119"/>
        <v>7.9831932773109238E-3</v>
      </c>
      <c r="BE289" s="25">
        <f t="shared" si="120"/>
        <v>2.9537815126050422</v>
      </c>
      <c r="BF289" s="25">
        <f t="shared" si="121"/>
        <v>0.44117647058823528</v>
      </c>
      <c r="BG289" s="25">
        <f t="shared" si="122"/>
        <v>0.31874999999999998</v>
      </c>
      <c r="BH289" s="25">
        <f t="shared" si="123"/>
        <v>0.34693877551020402</v>
      </c>
      <c r="BI289" s="25">
        <f t="shared" si="124"/>
        <v>5.0214285714285714</v>
      </c>
      <c r="BJ289" s="25">
        <f t="shared" si="125"/>
        <v>0.50909090909090904</v>
      </c>
      <c r="BK289" s="25">
        <f t="shared" si="126"/>
        <v>0</v>
      </c>
      <c r="BL289" s="25">
        <f t="shared" si="127"/>
        <v>0.74117647058823533</v>
      </c>
      <c r="BM289" s="25">
        <f t="shared" si="128"/>
        <v>6.3025210084033612E-2</v>
      </c>
      <c r="BN289" s="18" t="str">
        <f t="shared" si="134"/>
        <v>Baja fuente de proteína</v>
      </c>
      <c r="BO289" s="18" t="str">
        <f t="shared" si="135"/>
        <v>Baja fuente de fibra</v>
      </c>
      <c r="BP289" s="18" t="str">
        <f t="shared" si="136"/>
        <v>Baja fuente de calcio</v>
      </c>
      <c r="BQ289" s="18" t="str">
        <f t="shared" si="137"/>
        <v>Baja fuente de hierro</v>
      </c>
      <c r="BR289" s="18" t="str">
        <f t="shared" si="138"/>
        <v>Muy alto en sodio</v>
      </c>
      <c r="BS289" s="6" t="str">
        <f t="shared" si="129"/>
        <v>Proinflamatorio</v>
      </c>
      <c r="BT289" s="6" t="str">
        <f t="shared" si="130"/>
        <v>Muy alto en grasas</v>
      </c>
      <c r="BU289" s="18" t="str">
        <f t="shared" si="139"/>
        <v>Alto riesgo de retención de líquidos</v>
      </c>
      <c r="BV289" s="18" t="str">
        <f t="shared" si="140"/>
        <v>Baja fuente de magnesio</v>
      </c>
      <c r="BW289" s="18" t="str">
        <f t="shared" si="141"/>
        <v>Sin aporte de Omega 3</v>
      </c>
      <c r="BX289" s="18" t="str">
        <f t="shared" si="142"/>
        <v>Contiene grasas trans</v>
      </c>
      <c r="BY289" s="18" t="str">
        <f t="shared" si="143"/>
        <v>Bajo poder antioxidante</v>
      </c>
      <c r="BZ289" s="6" t="str">
        <f t="shared" si="131"/>
        <v>Sin probióticos</v>
      </c>
      <c r="CA289" s="18" t="str">
        <f t="shared" si="144"/>
        <v>Moderadamente inflamatorio</v>
      </c>
      <c r="CB289" s="18" t="str">
        <f>IF(ISNUMBER(SEARCH("miel", D289)), "No irritante (Uso condicionado SII)", IF(OR(J289&gt;0, ISNUMBER(SEARCH("cacao", D289)), ISNUMBER(SEARCH("chocolate puro", D289))), "Altamente irritante", IF(OR(AND(O289&gt;15, BI289&gt;1), ISNUMBER(SEARCH("chocolate", D289))), "Moderadamente irritante", "No irritante")))</f>
        <v>No irritante</v>
      </c>
      <c r="CC289" s="6" t="str">
        <f t="shared" si="132"/>
        <v>Exceso relativo de Omega 6</v>
      </c>
    </row>
    <row r="290" spans="1:81" ht="15" customHeight="1" x14ac:dyDescent="0.3">
      <c r="A290" s="2">
        <f t="shared" si="133"/>
        <v>289</v>
      </c>
      <c r="B290" s="3" t="s">
        <v>391</v>
      </c>
      <c r="C290" s="3" t="s">
        <v>423</v>
      </c>
      <c r="D290" s="3" t="s">
        <v>425</v>
      </c>
      <c r="E290" s="3"/>
      <c r="F290" s="4">
        <v>1.8</v>
      </c>
      <c r="G290" s="5">
        <v>0.94</v>
      </c>
      <c r="H290" s="5">
        <v>534</v>
      </c>
      <c r="I290" s="5">
        <v>29.8</v>
      </c>
      <c r="J290" s="5">
        <v>0</v>
      </c>
      <c r="K290" s="5">
        <v>19.399999999999999</v>
      </c>
      <c r="L290" s="5">
        <v>0.2</v>
      </c>
      <c r="M290" s="5">
        <v>0</v>
      </c>
      <c r="N290" s="5">
        <v>0.2</v>
      </c>
      <c r="O290" s="5">
        <v>0.2</v>
      </c>
      <c r="P290" s="5">
        <v>0</v>
      </c>
      <c r="Q290" s="5">
        <v>50.6</v>
      </c>
      <c r="R290" s="5">
        <v>20.6</v>
      </c>
      <c r="S290" s="5">
        <v>23.1</v>
      </c>
      <c r="T290" s="5">
        <v>4</v>
      </c>
      <c r="U290" s="5">
        <v>80</v>
      </c>
      <c r="V290" s="5">
        <v>0</v>
      </c>
      <c r="W290" s="5">
        <v>0</v>
      </c>
      <c r="X290" s="5">
        <v>0</v>
      </c>
      <c r="Y290" s="5">
        <v>0.5</v>
      </c>
      <c r="Z290" s="5">
        <v>7.0000000000000007E-2</v>
      </c>
      <c r="AA290" s="5">
        <v>5</v>
      </c>
      <c r="AB290" s="5">
        <v>0.04</v>
      </c>
      <c r="AC290" s="5">
        <v>0.12</v>
      </c>
      <c r="AD290" s="5">
        <v>0</v>
      </c>
      <c r="AE290" s="5">
        <v>0.11</v>
      </c>
      <c r="AF290" s="5">
        <v>3</v>
      </c>
      <c r="AG290" s="5">
        <v>0.8</v>
      </c>
      <c r="AH290" s="5">
        <v>0</v>
      </c>
      <c r="AI290" s="5">
        <v>0</v>
      </c>
      <c r="AJ290" s="5">
        <v>0</v>
      </c>
      <c r="AK290" s="5">
        <v>21</v>
      </c>
      <c r="AL290" s="5">
        <v>59</v>
      </c>
      <c r="AM290" s="5">
        <v>1.1000000000000001</v>
      </c>
      <c r="AN290" s="5">
        <v>0</v>
      </c>
      <c r="AO290" s="5">
        <v>1.4</v>
      </c>
      <c r="AP290" s="5">
        <v>9</v>
      </c>
      <c r="AQ290" s="5">
        <v>929</v>
      </c>
      <c r="AR290" s="5">
        <v>53</v>
      </c>
      <c r="AS290" s="5">
        <v>0</v>
      </c>
      <c r="AT290" s="5">
        <v>0</v>
      </c>
      <c r="AU290" s="5">
        <v>0</v>
      </c>
      <c r="AV290" s="5">
        <f>IFERROR(VLOOKUP(IFERROR(VLOOKUP(D290,Mapa_Similitud!$A$2:$B$2000,2,FALSE()),D290),Hoja1!$A$2:$K$1000,2,FALSE()),IFERROR(VLOOKUP(IFERROR(VLOOKUP(D290,Mapa_Similitud!$A$2:$B$2000,2,FALSE()),D290),Omega3_Referencia!$A$2:$E$100,3,FALSE()),0))</f>
        <v>0.05</v>
      </c>
      <c r="AW290" s="3" t="str">
        <f>IFERROR(VLOOKUP(IFERROR(VLOOKUP(D290,Mapa_Similitud!$A$2:$B$2000,2,FALSE()),D290),Hoja1!$A$2:$K$1000,3,FALSE()),IFERROR(VLOOKUP(IFERROR(VLOOKUP(D290,Mapa_Similitud!$A$2:$B$2000,2,FALSE()),D290),Omega3_Referencia!$A$2:$E$100,4,FALSE()),"N/A"))</f>
        <v>ALA</v>
      </c>
      <c r="AX290" s="5">
        <f>IFERROR(VLOOKUP(IFERROR(VLOOKUP(D290,Mapa_Similitud!$A$2:$B$2000,2,FALSE()),D290),Hoja1!$A$2:$K$1000,5,FALSE()),0)</f>
        <v>0.2</v>
      </c>
      <c r="AY290" s="5">
        <f>IFERROR(VLOOKUP(IFERROR(VLOOKUP(D290,Mapa_Similitud!$A$2:$B$2000,2,FALSE()),D290),Hoja1!$A$2:$K$1000,7,FALSE()),0)</f>
        <v>0</v>
      </c>
      <c r="AZ290" s="5">
        <f>IFERROR(VLOOKUP(IFERROR(VLOOKUP(D290,Mapa_Similitud!$A$2:$B$2000,2,FALSE()),D290),Hoja1!$A$2:$K$1000,9,FALSE()),0)</f>
        <v>0</v>
      </c>
      <c r="BA290" s="25">
        <f t="shared" si="116"/>
        <v>3.6329588014981269E-2</v>
      </c>
      <c r="BB290" s="25">
        <f t="shared" si="117"/>
        <v>0</v>
      </c>
      <c r="BC290" s="25">
        <f t="shared" si="118"/>
        <v>3.9325842696629212E-2</v>
      </c>
      <c r="BD290" s="25">
        <f t="shared" si="119"/>
        <v>2.0599250936329588E-3</v>
      </c>
      <c r="BE290" s="25">
        <f t="shared" si="120"/>
        <v>1.7397003745318351</v>
      </c>
      <c r="BF290" s="25">
        <f t="shared" si="121"/>
        <v>0.1941747572815534</v>
      </c>
      <c r="BG290" s="25">
        <f t="shared" si="122"/>
        <v>0.3559322033898305</v>
      </c>
      <c r="BH290" s="25">
        <f t="shared" si="123"/>
        <v>0.40711462450592889</v>
      </c>
      <c r="BI290" s="25">
        <f t="shared" si="124"/>
        <v>17.528301886792452</v>
      </c>
      <c r="BJ290" s="25">
        <f t="shared" si="125"/>
        <v>1</v>
      </c>
      <c r="BK290" s="25">
        <f t="shared" si="126"/>
        <v>0</v>
      </c>
      <c r="BL290" s="25">
        <f t="shared" si="127"/>
        <v>0.85280898876404498</v>
      </c>
      <c r="BM290" s="25">
        <f t="shared" si="128"/>
        <v>1.6853932584269662E-2</v>
      </c>
      <c r="BN290" s="18" t="str">
        <f t="shared" si="134"/>
        <v>Baja fuente de proteína</v>
      </c>
      <c r="BO290" s="18" t="str">
        <f t="shared" si="135"/>
        <v>Baja fuente de fibra</v>
      </c>
      <c r="BP290" s="18" t="str">
        <f t="shared" si="136"/>
        <v>Baja fuente de calcio</v>
      </c>
      <c r="BQ290" s="18" t="str">
        <f t="shared" si="137"/>
        <v>Baja fuente de hierro</v>
      </c>
      <c r="BR290" s="18" t="str">
        <f t="shared" si="138"/>
        <v>Alto en sodio</v>
      </c>
      <c r="BS290" s="6" t="str">
        <f t="shared" si="129"/>
        <v>Proinflamatorio</v>
      </c>
      <c r="BT290" s="6" t="str">
        <f t="shared" si="130"/>
        <v>Muy alto en grasas</v>
      </c>
      <c r="BU290" s="18" t="str">
        <f t="shared" si="139"/>
        <v>Alto riesgo de retención de líquidos</v>
      </c>
      <c r="BV290" s="18" t="str">
        <f t="shared" si="140"/>
        <v>Baja fuente de magnesio</v>
      </c>
      <c r="BW290" s="18" t="str">
        <f t="shared" si="141"/>
        <v>Sin aporte de Omega 3</v>
      </c>
      <c r="BX290" s="18" t="str">
        <f t="shared" si="142"/>
        <v>Contiene grasas trans</v>
      </c>
      <c r="BY290" s="18" t="str">
        <f t="shared" si="143"/>
        <v>Bajo poder antioxidante</v>
      </c>
      <c r="BZ290" s="6" t="str">
        <f t="shared" si="131"/>
        <v>Sin probióticos</v>
      </c>
      <c r="CA290" s="18" t="str">
        <f t="shared" si="144"/>
        <v>Moderadamente inflamatorio</v>
      </c>
      <c r="CB290" s="18" t="str">
        <f>IF(ISNUMBER(SEARCH("miel", D290)), "No irritante (Uso condicionado SII)", IF(OR(J290&gt;0, ISNUMBER(SEARCH("cacao", D290)), ISNUMBER(SEARCH("chocolate puro", D290))), "Altamente irritante", IF(OR(AND(O290&gt;15, BI290&gt;1), ISNUMBER(SEARCH("chocolate", D290))), "Moderadamente irritante", "No irritante")))</f>
        <v>No irritante</v>
      </c>
      <c r="CC290" s="6" t="str">
        <f t="shared" si="132"/>
        <v>Exceso relativo de Omega 6</v>
      </c>
    </row>
    <row r="291" spans="1:81" ht="15" customHeight="1" x14ac:dyDescent="0.3">
      <c r="A291" s="2">
        <f t="shared" si="133"/>
        <v>290</v>
      </c>
      <c r="B291" s="3" t="s">
        <v>391</v>
      </c>
      <c r="C291" s="3" t="s">
        <v>423</v>
      </c>
      <c r="D291" s="3" t="s">
        <v>426</v>
      </c>
      <c r="E291" s="3"/>
      <c r="F291" s="4">
        <v>3</v>
      </c>
      <c r="G291" s="5">
        <v>1</v>
      </c>
      <c r="H291" s="5">
        <v>519</v>
      </c>
      <c r="I291" s="5">
        <v>33.299999999999997</v>
      </c>
      <c r="J291" s="5">
        <v>0</v>
      </c>
      <c r="K291" s="5">
        <v>15.3</v>
      </c>
      <c r="L291" s="5">
        <v>0.9</v>
      </c>
      <c r="M291" s="5">
        <v>0</v>
      </c>
      <c r="N291" s="5">
        <v>0.9</v>
      </c>
      <c r="O291" s="5">
        <v>0.9</v>
      </c>
      <c r="P291" s="5">
        <v>0</v>
      </c>
      <c r="Q291" s="5">
        <v>50.5</v>
      </c>
      <c r="R291" s="5">
        <v>26.8</v>
      </c>
      <c r="S291" s="5">
        <v>18.7</v>
      </c>
      <c r="T291" s="5">
        <v>2.6</v>
      </c>
      <c r="U291" s="5">
        <v>76</v>
      </c>
      <c r="V291" s="5">
        <v>0</v>
      </c>
      <c r="W291" s="5">
        <v>0</v>
      </c>
      <c r="X291" s="5">
        <v>0</v>
      </c>
      <c r="Y291" s="5">
        <v>0</v>
      </c>
      <c r="Z291" s="5">
        <v>0.56999999999999995</v>
      </c>
      <c r="AA291" s="5">
        <v>6</v>
      </c>
      <c r="AB291" s="5">
        <v>0.56000000000000005</v>
      </c>
      <c r="AC291" s="5">
        <v>0.25</v>
      </c>
      <c r="AD291" s="5">
        <v>11.5</v>
      </c>
      <c r="AE291" s="5">
        <v>0.16</v>
      </c>
      <c r="AF291" s="5">
        <v>2</v>
      </c>
      <c r="AG291" s="5">
        <v>0.85</v>
      </c>
      <c r="AH291" s="5">
        <v>0.9</v>
      </c>
      <c r="AI291" s="5">
        <v>0</v>
      </c>
      <c r="AJ291" s="5">
        <v>0</v>
      </c>
      <c r="AK291" s="5">
        <v>13</v>
      </c>
      <c r="AL291" s="5">
        <v>90</v>
      </c>
      <c r="AM291" s="5">
        <v>1.7</v>
      </c>
      <c r="AN291" s="5">
        <v>11</v>
      </c>
      <c r="AO291" s="5">
        <v>1.4</v>
      </c>
      <c r="AP291" s="5">
        <v>23</v>
      </c>
      <c r="AQ291" s="5">
        <v>889</v>
      </c>
      <c r="AR291" s="5">
        <v>232</v>
      </c>
      <c r="AS291" s="5">
        <v>0.04</v>
      </c>
      <c r="AT291" s="5">
        <v>0.08</v>
      </c>
      <c r="AU291" s="5">
        <v>21.1</v>
      </c>
      <c r="AV291" s="5">
        <f>IFERROR(VLOOKUP(IFERROR(VLOOKUP(D291,Mapa_Similitud!$A$2:$B$2000,2,FALSE()),D291),Hoja1!$A$2:$K$1000,2,FALSE()),IFERROR(VLOOKUP(IFERROR(VLOOKUP(D291,Mapa_Similitud!$A$2:$B$2000,2,FALSE()),D291),Omega3_Referencia!$A$2:$E$100,3,FALSE()),0))</f>
        <v>0.06</v>
      </c>
      <c r="AW291" s="3" t="str">
        <f>IFERROR(VLOOKUP(IFERROR(VLOOKUP(D291,Mapa_Similitud!$A$2:$B$2000,2,FALSE()),D291),Hoja1!$A$2:$K$1000,3,FALSE()),IFERROR(VLOOKUP(IFERROR(VLOOKUP(D291,Mapa_Similitud!$A$2:$B$2000,2,FALSE()),D291),Omega3_Referencia!$A$2:$E$100,4,FALSE()),"N/A"))</f>
        <v>ALA</v>
      </c>
      <c r="AX291" s="5">
        <f>IFERROR(VLOOKUP(IFERROR(VLOOKUP(D291,Mapa_Similitud!$A$2:$B$2000,2,FALSE()),D291),Hoja1!$A$2:$K$1000,5,FALSE()),0)</f>
        <v>0.3</v>
      </c>
      <c r="AY291" s="5">
        <f>IFERROR(VLOOKUP(IFERROR(VLOOKUP(D291,Mapa_Similitud!$A$2:$B$2000,2,FALSE()),D291),Hoja1!$A$2:$K$1000,7,FALSE()),0)</f>
        <v>0</v>
      </c>
      <c r="AZ291" s="5">
        <f>IFERROR(VLOOKUP(IFERROR(VLOOKUP(D291,Mapa_Similitud!$A$2:$B$2000,2,FALSE()),D291),Hoja1!$A$2:$K$1000,9,FALSE()),0)</f>
        <v>0</v>
      </c>
      <c r="BA291" s="25">
        <f t="shared" si="116"/>
        <v>2.947976878612717E-2</v>
      </c>
      <c r="BB291" s="25">
        <f t="shared" si="117"/>
        <v>0</v>
      </c>
      <c r="BC291" s="25">
        <f t="shared" si="118"/>
        <v>2.5048169556840076E-2</v>
      </c>
      <c r="BD291" s="25">
        <f t="shared" si="119"/>
        <v>3.2755298651252407E-3</v>
      </c>
      <c r="BE291" s="25">
        <f t="shared" si="120"/>
        <v>1.7129094412331407</v>
      </c>
      <c r="BF291" s="25">
        <f t="shared" si="121"/>
        <v>9.7014925373134331E-2</v>
      </c>
      <c r="BG291" s="25">
        <f t="shared" si="122"/>
        <v>0.14444444444444443</v>
      </c>
      <c r="BH291" s="25">
        <f t="shared" si="123"/>
        <v>0.53069306930693072</v>
      </c>
      <c r="BI291" s="25">
        <f t="shared" si="124"/>
        <v>3.8318965517241379</v>
      </c>
      <c r="BJ291" s="25">
        <f t="shared" si="125"/>
        <v>1</v>
      </c>
      <c r="BK291" s="25">
        <f t="shared" si="126"/>
        <v>0</v>
      </c>
      <c r="BL291" s="25">
        <f t="shared" si="127"/>
        <v>0.87572254335260113</v>
      </c>
      <c r="BM291" s="25">
        <f t="shared" si="128"/>
        <v>4.4315992292870907E-2</v>
      </c>
      <c r="BN291" s="18" t="str">
        <f t="shared" si="134"/>
        <v>Baja fuente de proteína</v>
      </c>
      <c r="BO291" s="18" t="str">
        <f t="shared" si="135"/>
        <v>Baja fuente de fibra</v>
      </c>
      <c r="BP291" s="18" t="str">
        <f t="shared" si="136"/>
        <v>Baja fuente de calcio</v>
      </c>
      <c r="BQ291" s="18" t="str">
        <f t="shared" si="137"/>
        <v>Baja fuente de hierro</v>
      </c>
      <c r="BR291" s="18" t="str">
        <f t="shared" si="138"/>
        <v>Alto en sodio</v>
      </c>
      <c r="BS291" s="6" t="str">
        <f t="shared" si="129"/>
        <v>Proinflamatorio</v>
      </c>
      <c r="BT291" s="6" t="str">
        <f t="shared" si="130"/>
        <v>Muy alto en grasas</v>
      </c>
      <c r="BU291" s="18" t="str">
        <f t="shared" si="139"/>
        <v>Alto riesgo de retención de líquidos</v>
      </c>
      <c r="BV291" s="18" t="str">
        <f t="shared" si="140"/>
        <v>Baja fuente de magnesio</v>
      </c>
      <c r="BW291" s="18" t="str">
        <f t="shared" si="141"/>
        <v>Sin aporte de Omega 3</v>
      </c>
      <c r="BX291" s="18" t="str">
        <f t="shared" si="142"/>
        <v>Contiene grasas trans</v>
      </c>
      <c r="BY291" s="18" t="str">
        <f t="shared" si="143"/>
        <v>Bajo poder antioxidante</v>
      </c>
      <c r="BZ291" s="6" t="str">
        <f t="shared" si="131"/>
        <v>Sin probióticos</v>
      </c>
      <c r="CA291" s="18" t="str">
        <f t="shared" si="144"/>
        <v>Moderadamente inflamatorio</v>
      </c>
      <c r="CB291" s="18" t="str">
        <f>IF(ISNUMBER(SEARCH("miel", D291)), "No irritante (Uso condicionado SII)", IF(OR(J291&gt;0, ISNUMBER(SEARCH("cacao", D291)), ISNUMBER(SEARCH("chocolate puro", D291))), "Altamente irritante", IF(OR(AND(O291&gt;15, BI291&gt;1), ISNUMBER(SEARCH("chocolate", D291))), "Moderadamente irritante", "No irritante")))</f>
        <v>No irritante</v>
      </c>
      <c r="CC291" s="6" t="str">
        <f t="shared" si="132"/>
        <v>Exceso relativo de Omega 6</v>
      </c>
    </row>
    <row r="292" spans="1:81" ht="15" customHeight="1" x14ac:dyDescent="0.3">
      <c r="A292" s="2">
        <f t="shared" si="133"/>
        <v>291</v>
      </c>
      <c r="B292" s="3" t="s">
        <v>391</v>
      </c>
      <c r="C292" s="3" t="s">
        <v>423</v>
      </c>
      <c r="D292" s="3" t="s">
        <v>427</v>
      </c>
      <c r="E292" s="3"/>
      <c r="F292" s="4">
        <v>6</v>
      </c>
      <c r="G292" s="5">
        <v>1</v>
      </c>
      <c r="H292" s="5">
        <v>293</v>
      </c>
      <c r="I292" s="5">
        <v>53.7</v>
      </c>
      <c r="J292" s="5">
        <v>0</v>
      </c>
      <c r="K292" s="5">
        <v>14.4</v>
      </c>
      <c r="L292" s="5">
        <v>3.1</v>
      </c>
      <c r="M292" s="5">
        <v>2.6</v>
      </c>
      <c r="N292" s="5">
        <v>0.48</v>
      </c>
      <c r="O292" s="5">
        <v>0.48</v>
      </c>
      <c r="P292" s="5">
        <v>0</v>
      </c>
      <c r="Q292" s="5">
        <v>24.8</v>
      </c>
      <c r="R292" s="5">
        <v>8.5</v>
      </c>
      <c r="S292" s="5">
        <v>11.3</v>
      </c>
      <c r="T292" s="5">
        <v>2.1</v>
      </c>
      <c r="U292" s="5">
        <v>70</v>
      </c>
      <c r="V292" s="5">
        <v>0</v>
      </c>
      <c r="W292" s="5">
        <v>0</v>
      </c>
      <c r="X292" s="5">
        <v>0</v>
      </c>
      <c r="Y292" s="5">
        <v>0</v>
      </c>
      <c r="Z292" s="5">
        <v>7.0000000000000007E-2</v>
      </c>
      <c r="AA292" s="5">
        <v>5</v>
      </c>
      <c r="AB292" s="5">
        <v>0.23</v>
      </c>
      <c r="AC292" s="5">
        <v>0.15</v>
      </c>
      <c r="AD292" s="5">
        <v>6.6</v>
      </c>
      <c r="AE292" s="5">
        <v>0.03</v>
      </c>
      <c r="AF292" s="5">
        <v>0.9</v>
      </c>
      <c r="AG292" s="5">
        <v>2</v>
      </c>
      <c r="AH292" s="5">
        <v>0.4</v>
      </c>
      <c r="AI292" s="5">
        <v>2</v>
      </c>
      <c r="AJ292" s="5">
        <v>0</v>
      </c>
      <c r="AK292" s="5">
        <v>50.6</v>
      </c>
      <c r="AL292" s="5">
        <v>250</v>
      </c>
      <c r="AM292" s="5">
        <v>1</v>
      </c>
      <c r="AN292" s="5">
        <v>3.6</v>
      </c>
      <c r="AO292" s="5">
        <v>2.4</v>
      </c>
      <c r="AP292" s="5">
        <v>7.5</v>
      </c>
      <c r="AQ292" s="5">
        <v>672</v>
      </c>
      <c r="AR292" s="5">
        <v>230</v>
      </c>
      <c r="AS292" s="5">
        <v>0.02</v>
      </c>
      <c r="AT292" s="5">
        <v>0.24</v>
      </c>
      <c r="AU292" s="5">
        <v>17.399999999999999</v>
      </c>
      <c r="AV292" s="5">
        <f>IFERROR(VLOOKUP(IFERROR(VLOOKUP(D292,Mapa_Similitud!$A$2:$B$2000,2,FALSE()),D292),Hoja1!$A$2:$K$1000,2,FALSE()),IFERROR(VLOOKUP(IFERROR(VLOOKUP(D292,Mapa_Similitud!$A$2:$B$2000,2,FALSE()),D292),Omega3_Referencia!$A$2:$E$100,3,FALSE()),0))</f>
        <v>0.03</v>
      </c>
      <c r="AW292" s="3" t="str">
        <f>IFERROR(VLOOKUP(IFERROR(VLOOKUP(D292,Mapa_Similitud!$A$2:$B$2000,2,FALSE()),D292),Hoja1!$A$2:$K$1000,3,FALSE()),IFERROR(VLOOKUP(IFERROR(VLOOKUP(D292,Mapa_Similitud!$A$2:$B$2000,2,FALSE()),D292),Omega3_Referencia!$A$2:$E$100,4,FALSE()),"N/A"))</f>
        <v>ALA</v>
      </c>
      <c r="AX292" s="5">
        <f>IFERROR(VLOOKUP(IFERROR(VLOOKUP(D292,Mapa_Similitud!$A$2:$B$2000,2,FALSE()),D292),Hoja1!$A$2:$K$1000,5,FALSE()),0)</f>
        <v>0.2</v>
      </c>
      <c r="AY292" s="5">
        <f>IFERROR(VLOOKUP(IFERROR(VLOOKUP(D292,Mapa_Similitud!$A$2:$B$2000,2,FALSE()),D292),Hoja1!$A$2:$K$1000,7,FALSE()),0)</f>
        <v>0</v>
      </c>
      <c r="AZ292" s="5">
        <f>IFERROR(VLOOKUP(IFERROR(VLOOKUP(D292,Mapa_Similitud!$A$2:$B$2000,2,FALSE()),D292),Hoja1!$A$2:$K$1000,9,FALSE()),0)</f>
        <v>0</v>
      </c>
      <c r="BA292" s="25">
        <f t="shared" si="116"/>
        <v>4.9146757679180891E-2</v>
      </c>
      <c r="BB292" s="25">
        <f t="shared" si="117"/>
        <v>0</v>
      </c>
      <c r="BC292" s="25">
        <f t="shared" si="118"/>
        <v>0.17269624573378839</v>
      </c>
      <c r="BD292" s="25">
        <f t="shared" si="119"/>
        <v>3.4129692832764505E-3</v>
      </c>
      <c r="BE292" s="25">
        <f t="shared" si="120"/>
        <v>2.2935153583617747</v>
      </c>
      <c r="BF292" s="25">
        <f t="shared" si="121"/>
        <v>0.24705882352941178</v>
      </c>
      <c r="BG292" s="25">
        <f t="shared" si="122"/>
        <v>0.2024</v>
      </c>
      <c r="BH292" s="25">
        <f t="shared" si="123"/>
        <v>0.34274193548387094</v>
      </c>
      <c r="BI292" s="25">
        <f t="shared" si="124"/>
        <v>2.9217391304347826</v>
      </c>
      <c r="BJ292" s="25">
        <f t="shared" si="125"/>
        <v>0.15483870967741933</v>
      </c>
      <c r="BK292" s="25">
        <f t="shared" si="126"/>
        <v>0</v>
      </c>
      <c r="BL292" s="25">
        <f t="shared" si="127"/>
        <v>0.76177474402730383</v>
      </c>
      <c r="BM292" s="25">
        <f t="shared" si="128"/>
        <v>2.5597269624573378E-2</v>
      </c>
      <c r="BN292" s="18" t="str">
        <f t="shared" si="134"/>
        <v>Baja fuente de proteína</v>
      </c>
      <c r="BO292" s="18" t="str">
        <f t="shared" si="135"/>
        <v>Baja fuente de fibra</v>
      </c>
      <c r="BP292" s="18" t="str">
        <f t="shared" si="136"/>
        <v>Baja fuente de calcio</v>
      </c>
      <c r="BQ292" s="18" t="str">
        <f t="shared" si="137"/>
        <v>Baja fuente de hierro</v>
      </c>
      <c r="BR292" s="18" t="str">
        <f t="shared" si="138"/>
        <v>Muy alto en sodio</v>
      </c>
      <c r="BS292" s="6" t="str">
        <f t="shared" si="129"/>
        <v>Proinflamatorio</v>
      </c>
      <c r="BT292" s="6" t="str">
        <f t="shared" si="130"/>
        <v>Muy alto en grasas</v>
      </c>
      <c r="BU292" s="18" t="str">
        <f t="shared" si="139"/>
        <v>Alto riesgo de retención de líquidos</v>
      </c>
      <c r="BV292" s="18" t="str">
        <f t="shared" si="140"/>
        <v>Baja fuente de magnesio</v>
      </c>
      <c r="BW292" s="18" t="str">
        <f t="shared" si="141"/>
        <v>Sin aporte de Omega 3</v>
      </c>
      <c r="BX292" s="18" t="str">
        <f t="shared" si="142"/>
        <v>Contiene grasas trans</v>
      </c>
      <c r="BY292" s="18" t="str">
        <f t="shared" si="143"/>
        <v>Bajo poder antioxidante</v>
      </c>
      <c r="BZ292" s="6" t="str">
        <f t="shared" si="131"/>
        <v>Sin probióticos</v>
      </c>
      <c r="CA292" s="18" t="str">
        <f t="shared" si="144"/>
        <v>Moderadamente inflamatorio</v>
      </c>
      <c r="CB292" s="18" t="str">
        <f>IF(ISNUMBER(SEARCH("miel", D292)), "No irritante (Uso condicionado SII)", IF(OR(J292&gt;0, ISNUMBER(SEARCH("cacao", D292)), ISNUMBER(SEARCH("chocolate puro", D292))), "Altamente irritante", IF(OR(AND(O292&gt;15, BI292&gt;1), ISNUMBER(SEARCH("chocolate", D292))), "Moderadamente irritante", "No irritante")))</f>
        <v>No irritante</v>
      </c>
      <c r="CC292" s="6" t="str">
        <f t="shared" si="132"/>
        <v>Exceso relativo de Omega 6</v>
      </c>
    </row>
    <row r="293" spans="1:81" ht="15" customHeight="1" x14ac:dyDescent="0.3">
      <c r="A293" s="2">
        <f t="shared" si="133"/>
        <v>292</v>
      </c>
      <c r="B293" s="3" t="s">
        <v>391</v>
      </c>
      <c r="C293" s="3" t="s">
        <v>423</v>
      </c>
      <c r="D293" s="3" t="s">
        <v>428</v>
      </c>
      <c r="E293" s="3"/>
      <c r="F293" s="4">
        <v>2.5</v>
      </c>
      <c r="G293" s="5">
        <v>0.99</v>
      </c>
      <c r="H293" s="5">
        <v>356</v>
      </c>
      <c r="I293" s="5">
        <v>43.7</v>
      </c>
      <c r="J293" s="5">
        <v>0</v>
      </c>
      <c r="K293" s="5">
        <v>21.2</v>
      </c>
      <c r="L293" s="5">
        <v>1.9</v>
      </c>
      <c r="M293" s="5">
        <v>0</v>
      </c>
      <c r="N293" s="5">
        <v>1.9</v>
      </c>
      <c r="O293" s="5">
        <v>1.9</v>
      </c>
      <c r="P293" s="5">
        <v>0</v>
      </c>
      <c r="Q293" s="5">
        <v>29.3</v>
      </c>
      <c r="R293" s="5">
        <v>12.4</v>
      </c>
      <c r="S293" s="5">
        <v>13.1</v>
      </c>
      <c r="T293" s="5">
        <v>2.5</v>
      </c>
      <c r="U293" s="5">
        <v>72.599999999999994</v>
      </c>
      <c r="V293" s="5">
        <v>0</v>
      </c>
      <c r="W293" s="5">
        <v>0</v>
      </c>
      <c r="X293" s="5">
        <v>0</v>
      </c>
      <c r="Y293" s="5">
        <v>0</v>
      </c>
      <c r="Z293" s="5">
        <v>0.28999999999999998</v>
      </c>
      <c r="AA293" s="5">
        <v>6</v>
      </c>
      <c r="AB293" s="5">
        <v>0.33</v>
      </c>
      <c r="AC293" s="5">
        <v>0.15</v>
      </c>
      <c r="AD293" s="5">
        <v>11.5</v>
      </c>
      <c r="AE293" s="5">
        <v>0.14000000000000001</v>
      </c>
      <c r="AF293" s="5">
        <v>0.9</v>
      </c>
      <c r="AG293" s="5">
        <v>0.9</v>
      </c>
      <c r="AH293" s="5">
        <v>0.9</v>
      </c>
      <c r="AI293" s="5">
        <v>0</v>
      </c>
      <c r="AJ293" s="5">
        <v>0</v>
      </c>
      <c r="AK293" s="5">
        <v>18.399999999999999</v>
      </c>
      <c r="AL293" s="5">
        <v>270</v>
      </c>
      <c r="AM293" s="5">
        <v>2.1</v>
      </c>
      <c r="AN293" s="5">
        <v>10.9</v>
      </c>
      <c r="AO293" s="5">
        <v>1.2</v>
      </c>
      <c r="AP293" s="5">
        <v>10.3</v>
      </c>
      <c r="AQ293" s="5">
        <v>1404</v>
      </c>
      <c r="AR293" s="5">
        <v>180</v>
      </c>
      <c r="AS293" s="5">
        <v>0.04</v>
      </c>
      <c r="AT293" s="5">
        <v>0.08</v>
      </c>
      <c r="AU293" s="5">
        <v>21.1</v>
      </c>
      <c r="AV293" s="5">
        <f>IFERROR(VLOOKUP(IFERROR(VLOOKUP(D293,Mapa_Similitud!$A$2:$B$2000,2,FALSE()),D293),Hoja1!$A$2:$K$1000,2,FALSE()),IFERROR(VLOOKUP(IFERROR(VLOOKUP(D293,Mapa_Similitud!$A$2:$B$2000,2,FALSE()),D293),Omega3_Referencia!$A$2:$E$100,3,FALSE()),0))</f>
        <v>0.05</v>
      </c>
      <c r="AW293" s="3" t="str">
        <f>IFERROR(VLOOKUP(IFERROR(VLOOKUP(D293,Mapa_Similitud!$A$2:$B$2000,2,FALSE()),D293),Hoja1!$A$2:$K$1000,3,FALSE()),IFERROR(VLOOKUP(IFERROR(VLOOKUP(D293,Mapa_Similitud!$A$2:$B$2000,2,FALSE()),D293),Omega3_Referencia!$A$2:$E$100,4,FALSE()),"N/A"))</f>
        <v>ALA</v>
      </c>
      <c r="AX293" s="5">
        <f>IFERROR(VLOOKUP(IFERROR(VLOOKUP(D293,Mapa_Similitud!$A$2:$B$2000,2,FALSE()),D293),Hoja1!$A$2:$K$1000,5,FALSE()),0)</f>
        <v>0.3</v>
      </c>
      <c r="AY293" s="5">
        <f>IFERROR(VLOOKUP(IFERROR(VLOOKUP(D293,Mapa_Similitud!$A$2:$B$2000,2,FALSE()),D293),Hoja1!$A$2:$K$1000,7,FALSE()),0)</f>
        <v>0</v>
      </c>
      <c r="AZ293" s="5">
        <f>IFERROR(VLOOKUP(IFERROR(VLOOKUP(D293,Mapa_Similitud!$A$2:$B$2000,2,FALSE()),D293),Hoja1!$A$2:$K$1000,9,FALSE()),0)</f>
        <v>0</v>
      </c>
      <c r="BA293" s="25">
        <f t="shared" si="116"/>
        <v>5.955056179775281E-2</v>
      </c>
      <c r="BB293" s="25">
        <f t="shared" si="117"/>
        <v>0</v>
      </c>
      <c r="BC293" s="25">
        <f t="shared" si="118"/>
        <v>5.1685393258426963E-2</v>
      </c>
      <c r="BD293" s="25">
        <f t="shared" si="119"/>
        <v>5.8988764044943824E-3</v>
      </c>
      <c r="BE293" s="25">
        <f t="shared" si="120"/>
        <v>3.9438202247191012</v>
      </c>
      <c r="BF293" s="25">
        <f t="shared" si="121"/>
        <v>0.20161290322580644</v>
      </c>
      <c r="BG293" s="25">
        <f t="shared" si="122"/>
        <v>6.8148148148148138E-2</v>
      </c>
      <c r="BH293" s="25">
        <f t="shared" si="123"/>
        <v>0.42320819112627989</v>
      </c>
      <c r="BI293" s="25">
        <f t="shared" si="124"/>
        <v>7.8</v>
      </c>
      <c r="BJ293" s="25">
        <f t="shared" si="125"/>
        <v>1</v>
      </c>
      <c r="BK293" s="25">
        <f t="shared" si="126"/>
        <v>0</v>
      </c>
      <c r="BL293" s="25">
        <f t="shared" si="127"/>
        <v>0.74073033707865166</v>
      </c>
      <c r="BM293" s="25">
        <f t="shared" si="128"/>
        <v>2.8932584269662925E-2</v>
      </c>
      <c r="BN293" s="18" t="str">
        <f t="shared" si="134"/>
        <v>Baja fuente de proteína</v>
      </c>
      <c r="BO293" s="18" t="str">
        <f t="shared" si="135"/>
        <v>Baja fuente de fibra</v>
      </c>
      <c r="BP293" s="18" t="str">
        <f t="shared" si="136"/>
        <v>Baja fuente de calcio</v>
      </c>
      <c r="BQ293" s="18" t="str">
        <f t="shared" si="137"/>
        <v>Baja fuente de hierro</v>
      </c>
      <c r="BR293" s="18" t="str">
        <f t="shared" si="138"/>
        <v>Muy alto en sodio</v>
      </c>
      <c r="BS293" s="6" t="str">
        <f t="shared" si="129"/>
        <v>Proinflamatorio</v>
      </c>
      <c r="BT293" s="6" t="str">
        <f t="shared" si="130"/>
        <v>Muy alto en grasas</v>
      </c>
      <c r="BU293" s="18" t="str">
        <f t="shared" si="139"/>
        <v>Alto riesgo de retención de líquidos</v>
      </c>
      <c r="BV293" s="18" t="str">
        <f t="shared" si="140"/>
        <v>Baja fuente de magnesio</v>
      </c>
      <c r="BW293" s="18" t="str">
        <f t="shared" si="141"/>
        <v>Sin aporte de Omega 3</v>
      </c>
      <c r="BX293" s="18" t="str">
        <f t="shared" si="142"/>
        <v>Contiene grasas trans</v>
      </c>
      <c r="BY293" s="18" t="str">
        <f t="shared" si="143"/>
        <v>Bajo poder antioxidante</v>
      </c>
      <c r="BZ293" s="6" t="str">
        <f t="shared" si="131"/>
        <v>Sin probióticos</v>
      </c>
      <c r="CA293" s="18" t="str">
        <f t="shared" si="144"/>
        <v>Moderadamente inflamatorio</v>
      </c>
      <c r="CB293" s="18" t="str">
        <f>IF(ISNUMBER(SEARCH("miel", D293)), "No irritante (Uso condicionado SII)", IF(OR(J293&gt;0, ISNUMBER(SEARCH("cacao", D293)), ISNUMBER(SEARCH("chocolate puro", D293))), "Altamente irritante", IF(OR(AND(O293&gt;15, BI293&gt;1), ISNUMBER(SEARCH("chocolate", D293))), "Moderadamente irritante", "No irritante")))</f>
        <v>No irritante</v>
      </c>
      <c r="CC293" s="6" t="str">
        <f t="shared" si="132"/>
        <v>Exceso relativo de Omega 6</v>
      </c>
    </row>
    <row r="294" spans="1:81" ht="15" customHeight="1" x14ac:dyDescent="0.3">
      <c r="A294" s="2">
        <f t="shared" si="133"/>
        <v>293</v>
      </c>
      <c r="B294" s="3" t="s">
        <v>391</v>
      </c>
      <c r="C294" s="3" t="s">
        <v>423</v>
      </c>
      <c r="D294" s="3" t="s">
        <v>429</v>
      </c>
      <c r="E294" s="3"/>
      <c r="F294" s="4">
        <v>2</v>
      </c>
      <c r="G294" s="5">
        <v>1</v>
      </c>
      <c r="H294" s="5">
        <v>213</v>
      </c>
      <c r="I294" s="5">
        <v>57.4</v>
      </c>
      <c r="J294" s="5">
        <v>0</v>
      </c>
      <c r="K294" s="5">
        <v>19.100000000000001</v>
      </c>
      <c r="L294" s="5">
        <v>9.9</v>
      </c>
      <c r="M294" s="5">
        <v>0</v>
      </c>
      <c r="N294" s="5">
        <v>9.9</v>
      </c>
      <c r="O294" s="5">
        <v>9.9</v>
      </c>
      <c r="P294" s="5">
        <v>0</v>
      </c>
      <c r="Q294" s="5">
        <v>10.8</v>
      </c>
      <c r="R294" s="5">
        <v>3.5</v>
      </c>
      <c r="S294" s="5">
        <v>4.3</v>
      </c>
      <c r="T294" s="5">
        <v>1.7</v>
      </c>
      <c r="U294" s="5">
        <v>60.4</v>
      </c>
      <c r="V294" s="5">
        <v>0</v>
      </c>
      <c r="W294" s="5">
        <v>0</v>
      </c>
      <c r="X294" s="5">
        <v>0</v>
      </c>
      <c r="Y294" s="5">
        <v>0</v>
      </c>
      <c r="Z294" s="5">
        <v>0.08</v>
      </c>
      <c r="AA294" s="5">
        <v>11</v>
      </c>
      <c r="AB294" s="5">
        <v>0.46</v>
      </c>
      <c r="AC294" s="5">
        <v>0.18</v>
      </c>
      <c r="AD294" s="5">
        <v>6.8</v>
      </c>
      <c r="AE294" s="5">
        <v>0.2</v>
      </c>
      <c r="AF294" s="5">
        <v>0</v>
      </c>
      <c r="AG294" s="5">
        <v>0</v>
      </c>
      <c r="AH294" s="5">
        <v>0.57999999999999996</v>
      </c>
      <c r="AI294" s="5">
        <v>0</v>
      </c>
      <c r="AJ294" s="5">
        <v>0</v>
      </c>
      <c r="AK294" s="5">
        <v>9.6</v>
      </c>
      <c r="AL294" s="5">
        <v>136</v>
      </c>
      <c r="AM294" s="5">
        <v>2.1</v>
      </c>
      <c r="AN294" s="5">
        <v>10.9</v>
      </c>
      <c r="AO294" s="5">
        <v>2.8</v>
      </c>
      <c r="AP294" s="5">
        <v>17.5</v>
      </c>
      <c r="AQ294" s="5">
        <v>634</v>
      </c>
      <c r="AR294" s="5">
        <v>270</v>
      </c>
      <c r="AS294" s="5">
        <v>0</v>
      </c>
      <c r="AT294" s="5">
        <v>0.24</v>
      </c>
      <c r="AU294" s="5">
        <v>0</v>
      </c>
      <c r="AV294" s="5">
        <f>IFERROR(VLOOKUP(IFERROR(VLOOKUP(D294,Mapa_Similitud!$A$2:$B$2000,2,FALSE()),D294),Hoja1!$A$2:$K$1000,2,FALSE()),IFERROR(VLOOKUP(IFERROR(VLOOKUP(D294,Mapa_Similitud!$A$2:$B$2000,2,FALSE()),D294),Omega3_Referencia!$A$2:$E$100,3,FALSE()),0))</f>
        <v>0.02</v>
      </c>
      <c r="AW294" s="3" t="str">
        <f>IFERROR(VLOOKUP(IFERROR(VLOOKUP(D294,Mapa_Similitud!$A$2:$B$2000,2,FALSE()),D294),Hoja1!$A$2:$K$1000,3,FALSE()),IFERROR(VLOOKUP(IFERROR(VLOOKUP(D294,Mapa_Similitud!$A$2:$B$2000,2,FALSE()),D294),Omega3_Referencia!$A$2:$E$100,4,FALSE()),"N/A"))</f>
        <v>ALA</v>
      </c>
      <c r="AX294" s="5">
        <f>IFERROR(VLOOKUP(IFERROR(VLOOKUP(D294,Mapa_Similitud!$A$2:$B$2000,2,FALSE()),D294),Hoja1!$A$2:$K$1000,5,FALSE()),0)</f>
        <v>0.1</v>
      </c>
      <c r="AY294" s="5">
        <f>IFERROR(VLOOKUP(IFERROR(VLOOKUP(D294,Mapa_Similitud!$A$2:$B$2000,2,FALSE()),D294),Hoja1!$A$2:$K$1000,7,FALSE()),0)</f>
        <v>0</v>
      </c>
      <c r="AZ294" s="5">
        <f>IFERROR(VLOOKUP(IFERROR(VLOOKUP(D294,Mapa_Similitud!$A$2:$B$2000,2,FALSE()),D294),Hoja1!$A$2:$K$1000,9,FALSE()),0)</f>
        <v>0</v>
      </c>
      <c r="BA294" s="25">
        <f t="shared" si="116"/>
        <v>8.9671361502347419E-2</v>
      </c>
      <c r="BB294" s="25">
        <f t="shared" si="117"/>
        <v>0</v>
      </c>
      <c r="BC294" s="25">
        <f t="shared" si="118"/>
        <v>4.5070422535211263E-2</v>
      </c>
      <c r="BD294" s="25">
        <f t="shared" si="119"/>
        <v>9.8591549295774655E-3</v>
      </c>
      <c r="BE294" s="25">
        <f t="shared" si="120"/>
        <v>2.976525821596244</v>
      </c>
      <c r="BF294" s="25">
        <f t="shared" si="121"/>
        <v>0.48571428571428571</v>
      </c>
      <c r="BG294" s="25">
        <f t="shared" si="122"/>
        <v>7.0588235294117646E-2</v>
      </c>
      <c r="BH294" s="25">
        <f t="shared" si="123"/>
        <v>0.32407407407407407</v>
      </c>
      <c r="BI294" s="25">
        <f t="shared" si="124"/>
        <v>2.3481481481481481</v>
      </c>
      <c r="BJ294" s="25">
        <f t="shared" si="125"/>
        <v>1</v>
      </c>
      <c r="BK294" s="25">
        <f t="shared" si="126"/>
        <v>0</v>
      </c>
      <c r="BL294" s="25">
        <f t="shared" si="127"/>
        <v>0.45633802816901409</v>
      </c>
      <c r="BM294" s="25">
        <f t="shared" si="128"/>
        <v>8.2159624413145546E-2</v>
      </c>
      <c r="BN294" s="18" t="str">
        <f t="shared" si="134"/>
        <v>Baja fuente de proteína</v>
      </c>
      <c r="BO294" s="18" t="str">
        <f t="shared" si="135"/>
        <v>Baja fuente de fibra</v>
      </c>
      <c r="BP294" s="18" t="str">
        <f t="shared" si="136"/>
        <v>Baja fuente de calcio</v>
      </c>
      <c r="BQ294" s="18" t="str">
        <f t="shared" si="137"/>
        <v>Media fuente de hierro</v>
      </c>
      <c r="BR294" s="18" t="str">
        <f t="shared" si="138"/>
        <v>Muy alto en sodio</v>
      </c>
      <c r="BS294" s="6" t="str">
        <f t="shared" si="129"/>
        <v>Proinflamatorio</v>
      </c>
      <c r="BT294" s="6" t="str">
        <f t="shared" si="130"/>
        <v>Muy alto en grasas</v>
      </c>
      <c r="BU294" s="18" t="str">
        <f t="shared" si="139"/>
        <v>Alto riesgo de retención de líquidos</v>
      </c>
      <c r="BV294" s="18" t="str">
        <f t="shared" si="140"/>
        <v>Baja fuente de magnesio</v>
      </c>
      <c r="BW294" s="18" t="str">
        <f t="shared" si="141"/>
        <v>Sin aporte de Omega 3</v>
      </c>
      <c r="BX294" s="18" t="str">
        <f t="shared" si="142"/>
        <v>Contiene grasas trans</v>
      </c>
      <c r="BY294" s="18" t="str">
        <f t="shared" si="143"/>
        <v>Bajo poder antioxidante</v>
      </c>
      <c r="BZ294" s="6" t="str">
        <f t="shared" si="131"/>
        <v>Sin probióticos</v>
      </c>
      <c r="CA294" s="18" t="str">
        <f t="shared" si="144"/>
        <v>Moderadamente inflamatorio</v>
      </c>
      <c r="CB294" s="18" t="str">
        <f>IF(ISNUMBER(SEARCH("miel", D294)), "No irritante (Uso condicionado SII)", IF(OR(J294&gt;0, ISNUMBER(SEARCH("cacao", D294)), ISNUMBER(SEARCH("chocolate puro", D294))), "Altamente irritante", IF(OR(AND(O294&gt;15, BI294&gt;1), ISNUMBER(SEARCH("chocolate", D294))), "Moderadamente irritante", "No irritante")))</f>
        <v>No irritante</v>
      </c>
      <c r="CC294" s="6" t="str">
        <f t="shared" si="132"/>
        <v>Exceso relativo de Omega 6</v>
      </c>
    </row>
    <row r="295" spans="1:81" ht="15" customHeight="1" x14ac:dyDescent="0.3">
      <c r="A295" s="2">
        <f t="shared" si="133"/>
        <v>294</v>
      </c>
      <c r="B295" s="3" t="s">
        <v>391</v>
      </c>
      <c r="C295" s="3" t="s">
        <v>423</v>
      </c>
      <c r="D295" s="3" t="s">
        <v>430</v>
      </c>
      <c r="E295" s="3"/>
      <c r="F295" s="4">
        <v>4.5</v>
      </c>
      <c r="G295" s="5">
        <v>1</v>
      </c>
      <c r="H295" s="5">
        <v>120</v>
      </c>
      <c r="I295" s="5">
        <v>72.900000000000006</v>
      </c>
      <c r="J295" s="5">
        <v>0</v>
      </c>
      <c r="K295" s="5">
        <v>18.399999999999999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5.0999999999999996</v>
      </c>
      <c r="R295" s="5">
        <v>1.9</v>
      </c>
      <c r="S295" s="5">
        <v>2.1</v>
      </c>
      <c r="T295" s="5">
        <v>0.6</v>
      </c>
      <c r="U295" s="5">
        <v>68</v>
      </c>
      <c r="V295" s="5">
        <v>0</v>
      </c>
      <c r="W295" s="5">
        <v>0</v>
      </c>
      <c r="X295" s="5">
        <v>0</v>
      </c>
      <c r="Y295" s="5">
        <v>0</v>
      </c>
      <c r="Z295" s="5">
        <v>0.08</v>
      </c>
      <c r="AA295" s="5">
        <v>11</v>
      </c>
      <c r="AB295" s="5">
        <v>0.52</v>
      </c>
      <c r="AC295" s="5">
        <v>0.25</v>
      </c>
      <c r="AD295" s="5">
        <v>7.3</v>
      </c>
      <c r="AE295" s="5">
        <v>0.22</v>
      </c>
      <c r="AF295" s="5">
        <v>0</v>
      </c>
      <c r="AG295" s="5">
        <v>0</v>
      </c>
      <c r="AH295" s="5">
        <v>0.6</v>
      </c>
      <c r="AI295" s="5">
        <v>1</v>
      </c>
      <c r="AJ295" s="5">
        <v>0</v>
      </c>
      <c r="AK295" s="5">
        <v>9</v>
      </c>
      <c r="AL295" s="5">
        <v>280</v>
      </c>
      <c r="AM295" s="5">
        <v>1.2</v>
      </c>
      <c r="AN295" s="5">
        <v>11</v>
      </c>
      <c r="AO295" s="5">
        <v>2.2999999999999998</v>
      </c>
      <c r="AP295" s="5">
        <v>18</v>
      </c>
      <c r="AQ295" s="5">
        <v>634</v>
      </c>
      <c r="AR295" s="5">
        <v>280</v>
      </c>
      <c r="AS295" s="5">
        <v>0.02</v>
      </c>
      <c r="AT295" s="5">
        <v>0.22</v>
      </c>
      <c r="AU295" s="5">
        <v>8</v>
      </c>
      <c r="AV295" s="5">
        <f>IFERROR(VLOOKUP(IFERROR(VLOOKUP(D295,Mapa_Similitud!$A$2:$B$2000,2,FALSE()),D295),Hoja1!$A$2:$K$1000,2,FALSE()),IFERROR(VLOOKUP(IFERROR(VLOOKUP(D295,Mapa_Similitud!$A$2:$B$2000,2,FALSE()),D295),Omega3_Referencia!$A$2:$E$100,3,FALSE()),0))</f>
        <v>0.02</v>
      </c>
      <c r="AW295" s="3" t="str">
        <f>IFERROR(VLOOKUP(IFERROR(VLOOKUP(D295,Mapa_Similitud!$A$2:$B$2000,2,FALSE()),D295),Hoja1!$A$2:$K$1000,3,FALSE()),IFERROR(VLOOKUP(IFERROR(VLOOKUP(D295,Mapa_Similitud!$A$2:$B$2000,2,FALSE()),D295),Omega3_Referencia!$A$2:$E$100,4,FALSE()),"N/A"))</f>
        <v>ALA</v>
      </c>
      <c r="AX295" s="5">
        <f>IFERROR(VLOOKUP(IFERROR(VLOOKUP(D295,Mapa_Similitud!$A$2:$B$2000,2,FALSE()),D295),Hoja1!$A$2:$K$1000,5,FALSE()),0)</f>
        <v>0.1</v>
      </c>
      <c r="AY295" s="5">
        <f>IFERROR(VLOOKUP(IFERROR(VLOOKUP(D295,Mapa_Similitud!$A$2:$B$2000,2,FALSE()),D295),Hoja1!$A$2:$K$1000,7,FALSE()),0)</f>
        <v>0</v>
      </c>
      <c r="AZ295" s="5">
        <f>IFERROR(VLOOKUP(IFERROR(VLOOKUP(D295,Mapa_Similitud!$A$2:$B$2000,2,FALSE()),D295),Hoja1!$A$2:$K$1000,9,FALSE()),0)</f>
        <v>0</v>
      </c>
      <c r="BA295" s="25">
        <f t="shared" si="116"/>
        <v>0.15333333333333332</v>
      </c>
      <c r="BB295" s="25">
        <f t="shared" si="117"/>
        <v>0</v>
      </c>
      <c r="BC295" s="25">
        <f t="shared" si="118"/>
        <v>7.4999999999999997E-2</v>
      </c>
      <c r="BD295" s="25">
        <f t="shared" si="119"/>
        <v>0.01</v>
      </c>
      <c r="BE295" s="25">
        <f t="shared" si="120"/>
        <v>5.2833333333333332</v>
      </c>
      <c r="BF295" s="25">
        <f t="shared" si="121"/>
        <v>0.31578947368421051</v>
      </c>
      <c r="BG295" s="25">
        <f t="shared" si="122"/>
        <v>3.214285714285714E-2</v>
      </c>
      <c r="BH295" s="25">
        <f t="shared" si="123"/>
        <v>0.37254901960784315</v>
      </c>
      <c r="BI295" s="25">
        <f t="shared" si="124"/>
        <v>2.2642857142857142</v>
      </c>
      <c r="BJ295" s="25">
        <f t="shared" si="125"/>
        <v>0</v>
      </c>
      <c r="BK295" s="25">
        <f t="shared" si="126"/>
        <v>0</v>
      </c>
      <c r="BL295" s="25">
        <f t="shared" si="127"/>
        <v>0.38250000000000001</v>
      </c>
      <c r="BM295" s="25">
        <f t="shared" si="128"/>
        <v>0.15</v>
      </c>
      <c r="BN295" s="18" t="str">
        <f t="shared" si="134"/>
        <v>Alta fuente de proteína</v>
      </c>
      <c r="BO295" s="18" t="str">
        <f t="shared" si="135"/>
        <v>Baja fuente de fibra</v>
      </c>
      <c r="BP295" s="18" t="str">
        <f t="shared" si="136"/>
        <v>Baja fuente de calcio</v>
      </c>
      <c r="BQ295" s="18" t="str">
        <f t="shared" si="137"/>
        <v>Media fuente de hierro</v>
      </c>
      <c r="BR295" s="18" t="str">
        <f t="shared" si="138"/>
        <v>Muy alto en sodio</v>
      </c>
      <c r="BS295" s="6" t="str">
        <f t="shared" si="129"/>
        <v>Proinflamatorio</v>
      </c>
      <c r="BT295" s="6" t="str">
        <f t="shared" si="130"/>
        <v>Alto en grasas</v>
      </c>
      <c r="BU295" s="18" t="str">
        <f t="shared" si="139"/>
        <v>Alto riesgo de retención de líquidos</v>
      </c>
      <c r="BV295" s="18" t="str">
        <f t="shared" si="140"/>
        <v>Baja fuente de magnesio</v>
      </c>
      <c r="BW295" s="18" t="str">
        <f t="shared" si="141"/>
        <v>Sin aporte de Omega 3</v>
      </c>
      <c r="BX295" s="18" t="str">
        <f t="shared" si="142"/>
        <v>Contiene grasas trans</v>
      </c>
      <c r="BY295" s="18" t="str">
        <f t="shared" si="143"/>
        <v>Bajo poder antioxidante</v>
      </c>
      <c r="BZ295" s="6" t="str">
        <f t="shared" si="131"/>
        <v>Sin probióticos</v>
      </c>
      <c r="CA295" s="18" t="str">
        <f t="shared" si="144"/>
        <v>Moderadamente inflamatorio</v>
      </c>
      <c r="CB295" s="18" t="str">
        <f>IF(ISNUMBER(SEARCH("miel", D295)), "No irritante (Uso condicionado SII)", IF(OR(J295&gt;0, ISNUMBER(SEARCH("cacao", D295)), ISNUMBER(SEARCH("chocolate puro", D295))), "Altamente irritante", IF(OR(AND(O295&gt;15, BI295&gt;1), ISNUMBER(SEARCH("chocolate", D295))), "Moderadamente irritante", "No irritante")))</f>
        <v>No irritante</v>
      </c>
      <c r="CC295" s="6" t="str">
        <f t="shared" si="132"/>
        <v>Exceso relativo de Omega 6</v>
      </c>
    </row>
    <row r="296" spans="1:81" ht="15" customHeight="1" x14ac:dyDescent="0.3">
      <c r="A296" s="2">
        <f t="shared" si="133"/>
        <v>295</v>
      </c>
      <c r="B296" s="3" t="s">
        <v>391</v>
      </c>
      <c r="C296" s="3" t="s">
        <v>423</v>
      </c>
      <c r="D296" s="3" t="s">
        <v>431</v>
      </c>
      <c r="E296" s="3"/>
      <c r="F296" s="4">
        <v>4.5</v>
      </c>
      <c r="G296" s="5">
        <v>1</v>
      </c>
      <c r="H296" s="5">
        <v>375</v>
      </c>
      <c r="I296" s="5">
        <v>34.299999999999997</v>
      </c>
      <c r="J296" s="5">
        <v>0</v>
      </c>
      <c r="K296" s="5">
        <v>43.2</v>
      </c>
      <c r="L296" s="5">
        <v>0.1</v>
      </c>
      <c r="M296" s="5">
        <v>0</v>
      </c>
      <c r="N296" s="5">
        <v>0.1</v>
      </c>
      <c r="O296" s="5">
        <v>0.1</v>
      </c>
      <c r="P296" s="5">
        <v>0</v>
      </c>
      <c r="Q296" s="5">
        <v>22.4</v>
      </c>
      <c r="R296" s="5">
        <v>6.5</v>
      </c>
      <c r="S296" s="5">
        <v>13.2</v>
      </c>
      <c r="T296" s="5">
        <v>2.5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0.08</v>
      </c>
      <c r="AA296" s="5">
        <v>11</v>
      </c>
      <c r="AB296" s="5">
        <v>0.84</v>
      </c>
      <c r="AC296" s="5">
        <v>0.2</v>
      </c>
      <c r="AD296" s="5">
        <v>0</v>
      </c>
      <c r="AE296" s="5">
        <v>0.42</v>
      </c>
      <c r="AF296" s="5">
        <v>13.5</v>
      </c>
      <c r="AG296" s="5">
        <v>15.7</v>
      </c>
      <c r="AH296" s="5">
        <v>0</v>
      </c>
      <c r="AI296" s="5">
        <v>0</v>
      </c>
      <c r="AJ296" s="5">
        <v>0</v>
      </c>
      <c r="AK296" s="5">
        <v>27.1</v>
      </c>
      <c r="AL296" s="5">
        <v>158</v>
      </c>
      <c r="AM296" s="5">
        <v>3.4</v>
      </c>
      <c r="AN296" s="5">
        <v>11</v>
      </c>
      <c r="AO296" s="5">
        <v>3</v>
      </c>
      <c r="AP296" s="5">
        <v>1.6</v>
      </c>
      <c r="AQ296" s="5">
        <v>1661</v>
      </c>
      <c r="AR296" s="5">
        <v>153</v>
      </c>
      <c r="AS296" s="5">
        <v>0</v>
      </c>
      <c r="AT296" s="5">
        <v>0.1</v>
      </c>
      <c r="AU296" s="5">
        <v>0</v>
      </c>
      <c r="AV296" s="5">
        <f>IFERROR(VLOOKUP(IFERROR(VLOOKUP(D296,Mapa_Similitud!$A$2:$B$2000,2,FALSE()),D296),Hoja1!$A$2:$K$1000,2,FALSE()),IFERROR(VLOOKUP(IFERROR(VLOOKUP(D296,Mapa_Similitud!$A$2:$B$2000,2,FALSE()),D296),Omega3_Referencia!$A$2:$E$100,3,FALSE()),0))</f>
        <v>0.04</v>
      </c>
      <c r="AW296" s="3" t="str">
        <f>IFERROR(VLOOKUP(IFERROR(VLOOKUP(D296,Mapa_Similitud!$A$2:$B$2000,2,FALSE()),D296),Hoja1!$A$2:$K$1000,3,FALSE()),IFERROR(VLOOKUP(IFERROR(VLOOKUP(D296,Mapa_Similitud!$A$2:$B$2000,2,FALSE()),D296),Omega3_Referencia!$A$2:$E$100,4,FALSE()),"N/A"))</f>
        <v>ALA</v>
      </c>
      <c r="AX296" s="5">
        <f>IFERROR(VLOOKUP(IFERROR(VLOOKUP(D296,Mapa_Similitud!$A$2:$B$2000,2,FALSE()),D296),Hoja1!$A$2:$K$1000,5,FALSE()),0)</f>
        <v>0.1</v>
      </c>
      <c r="AY296" s="5">
        <f>IFERROR(VLOOKUP(IFERROR(VLOOKUP(D296,Mapa_Similitud!$A$2:$B$2000,2,FALSE()),D296),Hoja1!$A$2:$K$1000,7,FALSE()),0)</f>
        <v>0</v>
      </c>
      <c r="AZ296" s="5">
        <f>IFERROR(VLOOKUP(IFERROR(VLOOKUP(D296,Mapa_Similitud!$A$2:$B$2000,2,FALSE()),D296),Hoja1!$A$2:$K$1000,9,FALSE()),0)</f>
        <v>0</v>
      </c>
      <c r="BA296" s="25">
        <f t="shared" si="116"/>
        <v>0.11520000000000001</v>
      </c>
      <c r="BB296" s="25">
        <f t="shared" si="117"/>
        <v>0</v>
      </c>
      <c r="BC296" s="25">
        <f t="shared" si="118"/>
        <v>7.2266666666666673E-2</v>
      </c>
      <c r="BD296" s="25">
        <f t="shared" si="119"/>
        <v>9.0666666666666656E-3</v>
      </c>
      <c r="BE296" s="25">
        <f t="shared" si="120"/>
        <v>4.4293333333333331</v>
      </c>
      <c r="BF296" s="25">
        <f t="shared" si="121"/>
        <v>0.38461538461538464</v>
      </c>
      <c r="BG296" s="25">
        <f t="shared" si="122"/>
        <v>0.17151898734177215</v>
      </c>
      <c r="BH296" s="25">
        <f t="shared" si="123"/>
        <v>0.29017857142857145</v>
      </c>
      <c r="BI296" s="25">
        <f t="shared" si="124"/>
        <v>10.856209150326798</v>
      </c>
      <c r="BJ296" s="25">
        <f t="shared" si="125"/>
        <v>1</v>
      </c>
      <c r="BK296" s="25">
        <f t="shared" si="126"/>
        <v>0</v>
      </c>
      <c r="BL296" s="25">
        <f t="shared" si="127"/>
        <v>0.53759999999999997</v>
      </c>
      <c r="BM296" s="25">
        <f t="shared" si="128"/>
        <v>4.2666666666666669E-3</v>
      </c>
      <c r="BN296" s="18" t="str">
        <f t="shared" si="134"/>
        <v>Media fuente de proteína</v>
      </c>
      <c r="BO296" s="18" t="str">
        <f t="shared" si="135"/>
        <v>Baja fuente de fibra</v>
      </c>
      <c r="BP296" s="18" t="str">
        <f t="shared" si="136"/>
        <v>Baja fuente de calcio</v>
      </c>
      <c r="BQ296" s="18" t="str">
        <f t="shared" si="137"/>
        <v>Media fuente de hierro</v>
      </c>
      <c r="BR296" s="18" t="str">
        <f t="shared" si="138"/>
        <v>Muy alto en sodio</v>
      </c>
      <c r="BS296" s="6" t="str">
        <f t="shared" si="129"/>
        <v>Proinflamatorio</v>
      </c>
      <c r="BT296" s="6" t="str">
        <f t="shared" si="130"/>
        <v>Muy alto en grasas</v>
      </c>
      <c r="BU296" s="18" t="str">
        <f t="shared" si="139"/>
        <v>Alto riesgo de retención de líquidos</v>
      </c>
      <c r="BV296" s="18" t="str">
        <f t="shared" si="140"/>
        <v>Baja fuente de magnesio</v>
      </c>
      <c r="BW296" s="18" t="str">
        <f t="shared" si="141"/>
        <v>Sin aporte de Omega 3</v>
      </c>
      <c r="BX296" s="18" t="str">
        <f t="shared" si="142"/>
        <v>Contiene grasas trans</v>
      </c>
      <c r="BY296" s="18" t="str">
        <f t="shared" si="143"/>
        <v>Bajo poder antioxidante</v>
      </c>
      <c r="BZ296" s="6" t="str">
        <f t="shared" si="131"/>
        <v>Sin probióticos</v>
      </c>
      <c r="CA296" s="18" t="str">
        <f t="shared" si="144"/>
        <v>Moderadamente inflamatorio</v>
      </c>
      <c r="CB296" s="18" t="str">
        <f>IF(ISNUMBER(SEARCH("miel", D296)), "No irritante (Uso condicionado SII)", IF(OR(J296&gt;0, ISNUMBER(SEARCH("cacao", D296)), ISNUMBER(SEARCH("chocolate puro", D296))), "Altamente irritante", IF(OR(AND(O296&gt;15, BI296&gt;1), ISNUMBER(SEARCH("chocolate", D296))), "Moderadamente irritante", "No irritante")))</f>
        <v>No irritante</v>
      </c>
      <c r="CC296" s="6" t="str">
        <f t="shared" si="132"/>
        <v>Exceso relativo de Omega 6</v>
      </c>
    </row>
    <row r="297" spans="1:81" ht="15" customHeight="1" x14ac:dyDescent="0.3">
      <c r="A297" s="2">
        <f t="shared" si="133"/>
        <v>296</v>
      </c>
      <c r="B297" s="3" t="s">
        <v>391</v>
      </c>
      <c r="C297" s="3" t="s">
        <v>423</v>
      </c>
      <c r="D297" s="3" t="s">
        <v>432</v>
      </c>
      <c r="E297" s="3"/>
      <c r="F297" s="4">
        <v>2.8</v>
      </c>
      <c r="G297" s="5">
        <v>1</v>
      </c>
      <c r="H297" s="5">
        <v>136</v>
      </c>
      <c r="I297" s="5">
        <v>69.5</v>
      </c>
      <c r="J297" s="5">
        <v>0</v>
      </c>
      <c r="K297" s="5">
        <v>21.4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5.6</v>
      </c>
      <c r="R297" s="5">
        <v>1.9</v>
      </c>
      <c r="S297" s="5">
        <v>2.7</v>
      </c>
      <c r="T297" s="5">
        <v>0.66</v>
      </c>
      <c r="U297" s="5">
        <v>70.900000000000006</v>
      </c>
      <c r="V297" s="5">
        <v>0</v>
      </c>
      <c r="W297" s="5">
        <v>0</v>
      </c>
      <c r="X297" s="5">
        <v>0</v>
      </c>
      <c r="Y297" s="5">
        <v>0</v>
      </c>
      <c r="Z297" s="5">
        <v>0.08</v>
      </c>
      <c r="AA297" s="5">
        <v>11</v>
      </c>
      <c r="AB297" s="5">
        <v>0.56999999999999995</v>
      </c>
      <c r="AC297" s="5">
        <v>0.25</v>
      </c>
      <c r="AD297" s="5">
        <v>6.7</v>
      </c>
      <c r="AE297" s="5">
        <v>0.41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12.7</v>
      </c>
      <c r="AL297" s="5">
        <v>223</v>
      </c>
      <c r="AM297" s="5">
        <v>2.2999999999999998</v>
      </c>
      <c r="AN297" s="5">
        <v>11.4</v>
      </c>
      <c r="AO297" s="5">
        <v>2.2000000000000002</v>
      </c>
      <c r="AP297" s="5">
        <v>17.100000000000001</v>
      </c>
      <c r="AQ297" s="5">
        <v>1964</v>
      </c>
      <c r="AR297" s="5">
        <v>250</v>
      </c>
      <c r="AS297" s="5">
        <v>0</v>
      </c>
      <c r="AT297" s="5">
        <v>0.1</v>
      </c>
      <c r="AU297" s="5">
        <v>0</v>
      </c>
      <c r="AV297" s="5">
        <f>IFERROR(VLOOKUP(IFERROR(VLOOKUP(D297,Mapa_Similitud!$A$2:$B$2000,2,FALSE()),D297),Hoja1!$A$2:$K$1000,2,FALSE()),IFERROR(VLOOKUP(IFERROR(VLOOKUP(D297,Mapa_Similitud!$A$2:$B$2000,2,FALSE()),D297),Omega3_Referencia!$A$2:$E$100,3,FALSE()),0))</f>
        <v>0.03</v>
      </c>
      <c r="AW297" s="3" t="str">
        <f>IFERROR(VLOOKUP(IFERROR(VLOOKUP(D297,Mapa_Similitud!$A$2:$B$2000,2,FALSE()),D297),Hoja1!$A$2:$K$1000,3,FALSE()),IFERROR(VLOOKUP(IFERROR(VLOOKUP(D297,Mapa_Similitud!$A$2:$B$2000,2,FALSE()),D297),Omega3_Referencia!$A$2:$E$100,4,FALSE()),"N/A"))</f>
        <v>ALA</v>
      </c>
      <c r="AX297" s="5">
        <f>IFERROR(VLOOKUP(IFERROR(VLOOKUP(D297,Mapa_Similitud!$A$2:$B$2000,2,FALSE()),D297),Hoja1!$A$2:$K$1000,5,FALSE()),0)</f>
        <v>0.1</v>
      </c>
      <c r="AY297" s="5">
        <f>IFERROR(VLOOKUP(IFERROR(VLOOKUP(D297,Mapa_Similitud!$A$2:$B$2000,2,FALSE()),D297),Hoja1!$A$2:$K$1000,7,FALSE()),0)</f>
        <v>0</v>
      </c>
      <c r="AZ297" s="5">
        <f>IFERROR(VLOOKUP(IFERROR(VLOOKUP(D297,Mapa_Similitud!$A$2:$B$2000,2,FALSE()),D297),Hoja1!$A$2:$K$1000,9,FALSE()),0)</f>
        <v>0</v>
      </c>
      <c r="BA297" s="25">
        <f t="shared" si="116"/>
        <v>0.15735294117647058</v>
      </c>
      <c r="BB297" s="25">
        <f t="shared" si="117"/>
        <v>0</v>
      </c>
      <c r="BC297" s="25">
        <f t="shared" si="118"/>
        <v>9.3382352941176472E-2</v>
      </c>
      <c r="BD297" s="25">
        <f t="shared" si="119"/>
        <v>1.6911764705882352E-2</v>
      </c>
      <c r="BE297" s="25">
        <f t="shared" si="120"/>
        <v>14.441176470588236</v>
      </c>
      <c r="BF297" s="25">
        <f t="shared" si="121"/>
        <v>0.3473684210526316</v>
      </c>
      <c r="BG297" s="25">
        <f t="shared" si="122"/>
        <v>5.6950672645739907E-2</v>
      </c>
      <c r="BH297" s="25">
        <f t="shared" si="123"/>
        <v>0.3392857142857143</v>
      </c>
      <c r="BI297" s="25">
        <f t="shared" si="124"/>
        <v>7.8559999999999999</v>
      </c>
      <c r="BJ297" s="25">
        <f t="shared" si="125"/>
        <v>0</v>
      </c>
      <c r="BK297" s="25">
        <f t="shared" si="126"/>
        <v>0</v>
      </c>
      <c r="BL297" s="25">
        <f t="shared" si="127"/>
        <v>0.37058823529411766</v>
      </c>
      <c r="BM297" s="25">
        <f t="shared" si="128"/>
        <v>0.12573529411764706</v>
      </c>
      <c r="BN297" s="18" t="str">
        <f t="shared" si="134"/>
        <v>Alta fuente de proteína</v>
      </c>
      <c r="BO297" s="18" t="str">
        <f t="shared" si="135"/>
        <v>Baja fuente de fibra</v>
      </c>
      <c r="BP297" s="18" t="str">
        <f t="shared" si="136"/>
        <v>Baja fuente de calcio</v>
      </c>
      <c r="BQ297" s="18" t="str">
        <f t="shared" si="137"/>
        <v>Alta fuente de hierro</v>
      </c>
      <c r="BR297" s="18" t="str">
        <f t="shared" si="138"/>
        <v>Muy alto en sodio</v>
      </c>
      <c r="BS297" s="6" t="str">
        <f t="shared" si="129"/>
        <v>Proinflamatorio</v>
      </c>
      <c r="BT297" s="6" t="str">
        <f t="shared" si="130"/>
        <v>Alto en grasas</v>
      </c>
      <c r="BU297" s="18" t="str">
        <f t="shared" si="139"/>
        <v>Alto riesgo de retención de líquidos</v>
      </c>
      <c r="BV297" s="18" t="str">
        <f t="shared" si="140"/>
        <v>Baja fuente de magnesio</v>
      </c>
      <c r="BW297" s="18" t="str">
        <f t="shared" si="141"/>
        <v>Sin aporte de Omega 3</v>
      </c>
      <c r="BX297" s="18" t="str">
        <f t="shared" si="142"/>
        <v>Contiene grasas trans</v>
      </c>
      <c r="BY297" s="18" t="str">
        <f t="shared" si="143"/>
        <v>Bajo poder antioxidante</v>
      </c>
      <c r="BZ297" s="6" t="str">
        <f t="shared" si="131"/>
        <v>Sin probióticos</v>
      </c>
      <c r="CA297" s="18" t="str">
        <f t="shared" si="144"/>
        <v>Moderadamente inflamatorio</v>
      </c>
      <c r="CB297" s="18" t="str">
        <f>IF(ISNUMBER(SEARCH("miel", D297)), "No irritante (Uso condicionado SII)", IF(OR(J297&gt;0, ISNUMBER(SEARCH("cacao", D297)), ISNUMBER(SEARCH("chocolate puro", D297))), "Altamente irritante", IF(OR(AND(O297&gt;15, BI297&gt;1), ISNUMBER(SEARCH("chocolate", D297))), "Moderadamente irritante", "No irritante")))</f>
        <v>No irritante</v>
      </c>
      <c r="CC297" s="6" t="str">
        <f t="shared" si="132"/>
        <v>Exceso relativo de Omega 6</v>
      </c>
    </row>
    <row r="298" spans="1:81" ht="15" customHeight="1" x14ac:dyDescent="0.3">
      <c r="A298" s="2">
        <f t="shared" si="133"/>
        <v>297</v>
      </c>
      <c r="B298" s="3" t="s">
        <v>391</v>
      </c>
      <c r="C298" s="3" t="s">
        <v>423</v>
      </c>
      <c r="D298" s="3" t="s">
        <v>433</v>
      </c>
      <c r="E298" s="3"/>
      <c r="F298" s="4">
        <v>2.5</v>
      </c>
      <c r="G298" s="5">
        <v>0.99</v>
      </c>
      <c r="H298" s="5">
        <v>308</v>
      </c>
      <c r="I298" s="5">
        <v>48</v>
      </c>
      <c r="J298" s="5">
        <v>0</v>
      </c>
      <c r="K298" s="5">
        <v>32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20</v>
      </c>
      <c r="R298" s="5">
        <v>7.5</v>
      </c>
      <c r="S298" s="5">
        <v>8.4</v>
      </c>
      <c r="T298" s="5">
        <v>1.4</v>
      </c>
      <c r="U298" s="5">
        <v>172</v>
      </c>
      <c r="V298" s="5">
        <v>0</v>
      </c>
      <c r="W298" s="5">
        <v>0</v>
      </c>
      <c r="X298" s="5">
        <v>0</v>
      </c>
      <c r="Y298" s="5">
        <v>0</v>
      </c>
      <c r="Z298" s="5">
        <v>0.28000000000000003</v>
      </c>
      <c r="AA298" s="5">
        <v>11</v>
      </c>
      <c r="AB298" s="5">
        <v>0.67</v>
      </c>
      <c r="AC298" s="5">
        <v>0.19</v>
      </c>
      <c r="AD298" s="5">
        <v>12</v>
      </c>
      <c r="AE298" s="5">
        <v>0.16</v>
      </c>
      <c r="AF298" s="5">
        <v>4.5999999999999996</v>
      </c>
      <c r="AG298" s="5">
        <v>3.8</v>
      </c>
      <c r="AH298" s="5">
        <v>0</v>
      </c>
      <c r="AI298" s="5">
        <v>0</v>
      </c>
      <c r="AJ298" s="5">
        <v>0</v>
      </c>
      <c r="AK298" s="5">
        <v>21.4</v>
      </c>
      <c r="AL298" s="5">
        <v>180</v>
      </c>
      <c r="AM298" s="5">
        <v>4.0999999999999996</v>
      </c>
      <c r="AN298" s="5">
        <v>3.8</v>
      </c>
      <c r="AO298" s="5">
        <v>2</v>
      </c>
      <c r="AP298" s="5">
        <v>21.3</v>
      </c>
      <c r="AQ298" s="5">
        <v>1470</v>
      </c>
      <c r="AR298" s="5">
        <v>230</v>
      </c>
      <c r="AS298" s="5">
        <v>0</v>
      </c>
      <c r="AT298" s="5">
        <v>0</v>
      </c>
      <c r="AU298" s="5">
        <v>0</v>
      </c>
      <c r="AV298" s="5">
        <f>IFERROR(VLOOKUP(IFERROR(VLOOKUP(D298,Mapa_Similitud!$A$2:$B$2000,2,FALSE()),D298),Hoja1!$A$2:$K$1000,2,FALSE()),IFERROR(VLOOKUP(IFERROR(VLOOKUP(D298,Mapa_Similitud!$A$2:$B$2000,2,FALSE()),D298),Omega3_Referencia!$A$2:$E$100,3,FALSE()),0))</f>
        <v>0.02</v>
      </c>
      <c r="AW298" s="3" t="str">
        <f>IFERROR(VLOOKUP(IFERROR(VLOOKUP(D298,Mapa_Similitud!$A$2:$B$2000,2,FALSE()),D298),Hoja1!$A$2:$K$1000,3,FALSE()),IFERROR(VLOOKUP(IFERROR(VLOOKUP(D298,Mapa_Similitud!$A$2:$B$2000,2,FALSE()),D298),Omega3_Referencia!$A$2:$E$100,4,FALSE()),"N/A"))</f>
        <v>ALA</v>
      </c>
      <c r="AX298" s="5">
        <f>IFERROR(VLOOKUP(IFERROR(VLOOKUP(D298,Mapa_Similitud!$A$2:$B$2000,2,FALSE()),D298),Hoja1!$A$2:$K$1000,5,FALSE()),0)</f>
        <v>0.1</v>
      </c>
      <c r="AY298" s="5">
        <f>IFERROR(VLOOKUP(IFERROR(VLOOKUP(D298,Mapa_Similitud!$A$2:$B$2000,2,FALSE()),D298),Hoja1!$A$2:$K$1000,7,FALSE()),0)</f>
        <v>0</v>
      </c>
      <c r="AZ298" s="5">
        <f>IFERROR(VLOOKUP(IFERROR(VLOOKUP(D298,Mapa_Similitud!$A$2:$B$2000,2,FALSE()),D298),Hoja1!$A$2:$K$1000,9,FALSE()),0)</f>
        <v>0</v>
      </c>
      <c r="BA298" s="25">
        <f t="shared" si="116"/>
        <v>0.1038961038961039</v>
      </c>
      <c r="BB298" s="25">
        <f t="shared" si="117"/>
        <v>0</v>
      </c>
      <c r="BC298" s="25">
        <f t="shared" si="118"/>
        <v>6.9480519480519476E-2</v>
      </c>
      <c r="BD298" s="25">
        <f t="shared" si="119"/>
        <v>1.3311688311688311E-2</v>
      </c>
      <c r="BE298" s="25">
        <f t="shared" si="120"/>
        <v>4.7727272727272725</v>
      </c>
      <c r="BF298" s="25">
        <f t="shared" si="121"/>
        <v>0.18666666666666665</v>
      </c>
      <c r="BG298" s="25">
        <f t="shared" si="122"/>
        <v>0.11888888888888888</v>
      </c>
      <c r="BH298" s="25">
        <f t="shared" si="123"/>
        <v>0.375</v>
      </c>
      <c r="BI298" s="25">
        <f t="shared" si="124"/>
        <v>6.3913043478260869</v>
      </c>
      <c r="BJ298" s="25">
        <f t="shared" si="125"/>
        <v>0</v>
      </c>
      <c r="BK298" s="25">
        <f t="shared" si="126"/>
        <v>0</v>
      </c>
      <c r="BL298" s="25">
        <f t="shared" si="127"/>
        <v>0.58441558441558439</v>
      </c>
      <c r="BM298" s="25">
        <f t="shared" si="128"/>
        <v>6.9155844155844165E-2</v>
      </c>
      <c r="BN298" s="18" t="str">
        <f t="shared" si="134"/>
        <v>Media fuente de proteína</v>
      </c>
      <c r="BO298" s="18" t="str">
        <f t="shared" si="135"/>
        <v>Baja fuente de fibra</v>
      </c>
      <c r="BP298" s="18" t="str">
        <f t="shared" si="136"/>
        <v>Baja fuente de calcio</v>
      </c>
      <c r="BQ298" s="18" t="str">
        <f t="shared" si="137"/>
        <v>Media fuente de hierro</v>
      </c>
      <c r="BR298" s="18" t="str">
        <f t="shared" si="138"/>
        <v>Muy alto en sodio</v>
      </c>
      <c r="BS298" s="6" t="str">
        <f t="shared" si="129"/>
        <v>Proinflamatorio</v>
      </c>
      <c r="BT298" s="6" t="str">
        <f t="shared" si="130"/>
        <v>Muy alto en grasas</v>
      </c>
      <c r="BU298" s="18" t="str">
        <f t="shared" si="139"/>
        <v>Alto riesgo de retención de líquidos</v>
      </c>
      <c r="BV298" s="18" t="str">
        <f t="shared" si="140"/>
        <v>Baja fuente de magnesio</v>
      </c>
      <c r="BW298" s="18" t="str">
        <f t="shared" si="141"/>
        <v>Sin aporte de Omega 3</v>
      </c>
      <c r="BX298" s="18" t="str">
        <f t="shared" si="142"/>
        <v>Contiene grasas trans</v>
      </c>
      <c r="BY298" s="18" t="str">
        <f t="shared" si="143"/>
        <v>Bajo poder antioxidante</v>
      </c>
      <c r="BZ298" s="6" t="str">
        <f t="shared" si="131"/>
        <v>Sin probióticos</v>
      </c>
      <c r="CA298" s="18" t="str">
        <f t="shared" si="144"/>
        <v>Moderadamente inflamatorio</v>
      </c>
      <c r="CB298" s="18" t="str">
        <f>IF(ISNUMBER(SEARCH("miel", D298)), "No irritante (Uso condicionado SII)", IF(OR(J298&gt;0, ISNUMBER(SEARCH("cacao", D298)), ISNUMBER(SEARCH("chocolate puro", D298))), "Altamente irritante", IF(OR(AND(O298&gt;15, BI298&gt;1), ISNUMBER(SEARCH("chocolate", D298))), "Moderadamente irritante", "No irritante")))</f>
        <v>No irritante</v>
      </c>
      <c r="CC298" s="6" t="str">
        <f t="shared" si="132"/>
        <v>Exceso relativo de Omega 6</v>
      </c>
    </row>
    <row r="299" spans="1:81" ht="15" customHeight="1" x14ac:dyDescent="0.3">
      <c r="A299" s="2">
        <f t="shared" si="133"/>
        <v>298</v>
      </c>
      <c r="B299" s="3" t="s">
        <v>391</v>
      </c>
      <c r="C299" s="3" t="s">
        <v>423</v>
      </c>
      <c r="D299" s="3" t="s">
        <v>434</v>
      </c>
      <c r="E299" s="3"/>
      <c r="F299" s="4">
        <v>5</v>
      </c>
      <c r="G299" s="5">
        <v>1</v>
      </c>
      <c r="H299" s="5">
        <v>348</v>
      </c>
      <c r="I299" s="5">
        <v>47.5</v>
      </c>
      <c r="J299" s="5">
        <v>0</v>
      </c>
      <c r="K299" s="5">
        <v>25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27.5</v>
      </c>
      <c r="R299" s="5">
        <v>11.3</v>
      </c>
      <c r="S299" s="5">
        <v>1.5</v>
      </c>
      <c r="T299" s="5">
        <v>4.7</v>
      </c>
      <c r="U299" s="5">
        <v>88.5</v>
      </c>
      <c r="V299" s="5">
        <v>13</v>
      </c>
      <c r="W299" s="5">
        <v>11</v>
      </c>
      <c r="X299" s="5">
        <v>0</v>
      </c>
      <c r="Y299" s="5">
        <v>0</v>
      </c>
      <c r="Z299" s="5">
        <v>0.28999999999999998</v>
      </c>
      <c r="AA299" s="5">
        <v>6</v>
      </c>
      <c r="AB299" s="5">
        <v>0.2</v>
      </c>
      <c r="AC299" s="5">
        <v>0.15</v>
      </c>
      <c r="AD299" s="5">
        <v>0.25</v>
      </c>
      <c r="AE299" s="5">
        <v>0.14000000000000001</v>
      </c>
      <c r="AF299" s="5">
        <v>0.9</v>
      </c>
      <c r="AG299" s="5">
        <v>0.9</v>
      </c>
      <c r="AH299" s="5">
        <v>0.9</v>
      </c>
      <c r="AI299" s="5">
        <v>0</v>
      </c>
      <c r="AJ299" s="5">
        <v>0</v>
      </c>
      <c r="AK299" s="5">
        <v>20</v>
      </c>
      <c r="AL299" s="5">
        <v>160</v>
      </c>
      <c r="AM299" s="5">
        <v>1.6</v>
      </c>
      <c r="AN299" s="5">
        <v>10.9</v>
      </c>
      <c r="AO299" s="5">
        <v>1.2</v>
      </c>
      <c r="AP299" s="5">
        <v>200</v>
      </c>
      <c r="AQ299" s="5">
        <v>70</v>
      </c>
      <c r="AR299" s="5">
        <v>200</v>
      </c>
      <c r="AS299" s="5">
        <v>0.04</v>
      </c>
      <c r="AT299" s="5">
        <v>0.08</v>
      </c>
      <c r="AU299" s="5">
        <v>21.1</v>
      </c>
      <c r="AV299" s="5">
        <f>IFERROR(VLOOKUP(IFERROR(VLOOKUP(D299,Mapa_Similitud!$A$2:$B$2000,2,FALSE()),D299),Hoja1!$A$2:$K$1000,2,FALSE()),IFERROR(VLOOKUP(IFERROR(VLOOKUP(D299,Mapa_Similitud!$A$2:$B$2000,2,FALSE()),D299),Omega3_Referencia!$A$2:$E$100,3,FALSE()),0))</f>
        <v>0.05</v>
      </c>
      <c r="AW299" s="3" t="str">
        <f>IFERROR(VLOOKUP(IFERROR(VLOOKUP(D299,Mapa_Similitud!$A$2:$B$2000,2,FALSE()),D299),Hoja1!$A$2:$K$1000,3,FALSE()),IFERROR(VLOOKUP(IFERROR(VLOOKUP(D299,Mapa_Similitud!$A$2:$B$2000,2,FALSE()),D299),Omega3_Referencia!$A$2:$E$100,4,FALSE()),"N/A"))</f>
        <v>ALA</v>
      </c>
      <c r="AX299" s="5">
        <f>IFERROR(VLOOKUP(IFERROR(VLOOKUP(D299,Mapa_Similitud!$A$2:$B$2000,2,FALSE()),D299),Hoja1!$A$2:$K$1000,5,FALSE()),0)</f>
        <v>0.2</v>
      </c>
      <c r="AY299" s="5">
        <f>IFERROR(VLOOKUP(IFERROR(VLOOKUP(D299,Mapa_Similitud!$A$2:$B$2000,2,FALSE()),D299),Hoja1!$A$2:$K$1000,7,FALSE()),0)</f>
        <v>0</v>
      </c>
      <c r="AZ299" s="5">
        <f>IFERROR(VLOOKUP(IFERROR(VLOOKUP(D299,Mapa_Similitud!$A$2:$B$2000,2,FALSE()),D299),Hoja1!$A$2:$K$1000,9,FALSE()),0)</f>
        <v>0</v>
      </c>
      <c r="BA299" s="25">
        <f t="shared" si="116"/>
        <v>7.183908045977011E-2</v>
      </c>
      <c r="BB299" s="25">
        <f t="shared" si="117"/>
        <v>0</v>
      </c>
      <c r="BC299" s="25">
        <f t="shared" si="118"/>
        <v>5.7471264367816091E-2</v>
      </c>
      <c r="BD299" s="25">
        <f t="shared" si="119"/>
        <v>4.5977011494252873E-3</v>
      </c>
      <c r="BE299" s="25">
        <f t="shared" si="120"/>
        <v>0.20114942528735633</v>
      </c>
      <c r="BF299" s="25">
        <f t="shared" si="121"/>
        <v>0.41592920353982299</v>
      </c>
      <c r="BG299" s="25">
        <f t="shared" si="122"/>
        <v>0.125</v>
      </c>
      <c r="BH299" s="25">
        <f t="shared" si="123"/>
        <v>0.41090909090909095</v>
      </c>
      <c r="BI299" s="25">
        <f t="shared" si="124"/>
        <v>0.35</v>
      </c>
      <c r="BJ299" s="25">
        <f t="shared" si="125"/>
        <v>0</v>
      </c>
      <c r="BK299" s="25">
        <f t="shared" si="126"/>
        <v>0</v>
      </c>
      <c r="BL299" s="25">
        <f t="shared" si="127"/>
        <v>0.71120689655172409</v>
      </c>
      <c r="BM299" s="25">
        <f t="shared" si="128"/>
        <v>0.57471264367816088</v>
      </c>
      <c r="BN299" s="18" t="str">
        <f t="shared" si="134"/>
        <v>Baja fuente de proteína</v>
      </c>
      <c r="BO299" s="18" t="str">
        <f t="shared" si="135"/>
        <v>Baja fuente de fibra</v>
      </c>
      <c r="BP299" s="18" t="str">
        <f t="shared" si="136"/>
        <v>Baja fuente de calcio</v>
      </c>
      <c r="BQ299" s="18" t="str">
        <f t="shared" si="137"/>
        <v>Baja fuente de hierro</v>
      </c>
      <c r="BR299" s="18" t="str">
        <f t="shared" si="138"/>
        <v>Bajo en sodio</v>
      </c>
      <c r="BS299" s="6" t="str">
        <f t="shared" si="129"/>
        <v>Proinflamatorio</v>
      </c>
      <c r="BT299" s="6" t="str">
        <f t="shared" si="130"/>
        <v>Muy alto en grasas</v>
      </c>
      <c r="BU299" s="18" t="str">
        <f t="shared" si="139"/>
        <v>Equilibrio de líquidos ideal</v>
      </c>
      <c r="BV299" s="18" t="str">
        <f t="shared" si="140"/>
        <v>Alta fuente de magnesio</v>
      </c>
      <c r="BW299" s="18" t="str">
        <f t="shared" si="141"/>
        <v>Sin aporte de Omega 3</v>
      </c>
      <c r="BX299" s="18" t="str">
        <f t="shared" si="142"/>
        <v>Contiene grasas trans</v>
      </c>
      <c r="BY299" s="18" t="str">
        <f t="shared" si="143"/>
        <v>Bajo poder antioxidante</v>
      </c>
      <c r="BZ299" s="6" t="str">
        <f t="shared" si="131"/>
        <v>Sin probióticos</v>
      </c>
      <c r="CA299" s="18" t="str">
        <f t="shared" si="144"/>
        <v>Moderadamente inflamatorio</v>
      </c>
      <c r="CB299" s="18" t="str">
        <f>IF(ISNUMBER(SEARCH("miel", D299)), "No irritante (Uso condicionado SII)", IF(OR(J299&gt;0, ISNUMBER(SEARCH("cacao", D299)), ISNUMBER(SEARCH("chocolate puro", D299))), "Altamente irritante", IF(OR(AND(O299&gt;15, BI299&gt;1), ISNUMBER(SEARCH("chocolate", D299))), "Moderadamente irritante", "No irritante")))</f>
        <v>No irritante</v>
      </c>
      <c r="CC299" s="6" t="str">
        <f t="shared" si="132"/>
        <v>Exceso relativo de Omega 6</v>
      </c>
    </row>
    <row r="300" spans="1:81" ht="15" customHeight="1" x14ac:dyDescent="0.3">
      <c r="A300" s="2">
        <f t="shared" si="133"/>
        <v>299</v>
      </c>
      <c r="B300" s="3" t="s">
        <v>391</v>
      </c>
      <c r="C300" s="3" t="s">
        <v>423</v>
      </c>
      <c r="D300" s="3" t="s">
        <v>435</v>
      </c>
      <c r="E300" s="3"/>
      <c r="F300" s="4">
        <v>6</v>
      </c>
      <c r="G300" s="5">
        <v>0.97</v>
      </c>
      <c r="H300" s="5">
        <v>256</v>
      </c>
      <c r="I300" s="5">
        <v>55.1</v>
      </c>
      <c r="J300" s="5">
        <v>0</v>
      </c>
      <c r="K300" s="5">
        <v>6.9</v>
      </c>
      <c r="L300" s="5">
        <v>16.7</v>
      </c>
      <c r="M300" s="5">
        <v>14.7</v>
      </c>
      <c r="N300" s="5">
        <v>2</v>
      </c>
      <c r="O300" s="5">
        <v>2</v>
      </c>
      <c r="P300" s="5">
        <v>1.3</v>
      </c>
      <c r="Q300" s="5">
        <v>17.7</v>
      </c>
      <c r="R300" s="5">
        <v>8.1</v>
      </c>
      <c r="S300" s="5">
        <v>5.6</v>
      </c>
      <c r="T300" s="5">
        <v>0.9</v>
      </c>
      <c r="U300" s="5">
        <v>64.3</v>
      </c>
      <c r="V300" s="5">
        <v>4.0999999999999996</v>
      </c>
      <c r="W300" s="5">
        <v>4.0999999999999996</v>
      </c>
      <c r="X300" s="5">
        <v>0</v>
      </c>
      <c r="Y300" s="5">
        <v>0.17</v>
      </c>
      <c r="Z300" s="5">
        <v>0.31</v>
      </c>
      <c r="AA300" s="5">
        <v>5</v>
      </c>
      <c r="AB300" s="5">
        <v>0.05</v>
      </c>
      <c r="AC300" s="5">
        <v>0.11</v>
      </c>
      <c r="AD300" s="5">
        <v>4.5</v>
      </c>
      <c r="AE300" s="5">
        <v>0.04</v>
      </c>
      <c r="AF300" s="5">
        <v>5</v>
      </c>
      <c r="AG300" s="5">
        <v>0.5</v>
      </c>
      <c r="AH300" s="5">
        <v>0.6</v>
      </c>
      <c r="AI300" s="5">
        <v>0</v>
      </c>
      <c r="AJ300" s="5">
        <v>0</v>
      </c>
      <c r="AK300" s="5">
        <v>27.6</v>
      </c>
      <c r="AL300" s="5">
        <v>22</v>
      </c>
      <c r="AM300" s="5">
        <v>8.1999999999999993</v>
      </c>
      <c r="AN300" s="5">
        <v>4.9000000000000004</v>
      </c>
      <c r="AO300" s="5">
        <v>0.88</v>
      </c>
      <c r="AP300" s="5">
        <v>14.6</v>
      </c>
      <c r="AQ300" s="5">
        <v>680</v>
      </c>
      <c r="AR300" s="5">
        <v>150</v>
      </c>
      <c r="AS300" s="5">
        <v>1.0999999999999999E-2</v>
      </c>
      <c r="AT300" s="5">
        <v>0.04</v>
      </c>
      <c r="AU300" s="5">
        <v>11.8</v>
      </c>
      <c r="AV300" s="5">
        <f>IFERROR(VLOOKUP(IFERROR(VLOOKUP(D300,Mapa_Similitud!$A$2:$B$2000,2,FALSE()),D300),Hoja1!$A$2:$K$1000,2,FALSE()),IFERROR(VLOOKUP(IFERROR(VLOOKUP(D300,Mapa_Similitud!$A$2:$B$2000,2,FALSE()),D300),Omega3_Referencia!$A$2:$E$100,3,FALSE()),0))</f>
        <v>0.04</v>
      </c>
      <c r="AW300" s="3" t="str">
        <f>IFERROR(VLOOKUP(IFERROR(VLOOKUP(D300,Mapa_Similitud!$A$2:$B$2000,2,FALSE()),D300),Hoja1!$A$2:$K$1000,3,FALSE()),IFERROR(VLOOKUP(IFERROR(VLOOKUP(D300,Mapa_Similitud!$A$2:$B$2000,2,FALSE()),D300),Omega3_Referencia!$A$2:$E$100,4,FALSE()),"N/A"))</f>
        <v>ALA</v>
      </c>
      <c r="AX300" s="5">
        <f>IFERROR(VLOOKUP(IFERROR(VLOOKUP(D300,Mapa_Similitud!$A$2:$B$2000,2,FALSE()),D300),Hoja1!$A$2:$K$1000,5,FALSE()),0)</f>
        <v>0.2</v>
      </c>
      <c r="AY300" s="5">
        <f>IFERROR(VLOOKUP(IFERROR(VLOOKUP(D300,Mapa_Similitud!$A$2:$B$2000,2,FALSE()),D300),Hoja1!$A$2:$K$1000,7,FALSE()),0)</f>
        <v>0</v>
      </c>
      <c r="AZ300" s="5">
        <f>IFERROR(VLOOKUP(IFERROR(VLOOKUP(D300,Mapa_Similitud!$A$2:$B$2000,2,FALSE()),D300),Hoja1!$A$2:$K$1000,9,FALSE()),0)</f>
        <v>0</v>
      </c>
      <c r="BA300" s="25">
        <f t="shared" si="116"/>
        <v>2.6953125000000001E-2</v>
      </c>
      <c r="BB300" s="25">
        <f t="shared" si="117"/>
        <v>5.0781250000000002E-3</v>
      </c>
      <c r="BC300" s="25">
        <f t="shared" si="118"/>
        <v>0.10781250000000001</v>
      </c>
      <c r="BD300" s="25">
        <f t="shared" si="119"/>
        <v>3.2031249999999997E-2</v>
      </c>
      <c r="BE300" s="25">
        <f t="shared" si="120"/>
        <v>2.65625</v>
      </c>
      <c r="BF300" s="25">
        <f t="shared" si="121"/>
        <v>0.11111111111111112</v>
      </c>
      <c r="BG300" s="25">
        <f t="shared" si="122"/>
        <v>1.2545454545454546</v>
      </c>
      <c r="BH300" s="25">
        <f t="shared" si="123"/>
        <v>0.4576271186440678</v>
      </c>
      <c r="BI300" s="25">
        <f t="shared" si="124"/>
        <v>4.5333333333333332</v>
      </c>
      <c r="BJ300" s="25">
        <f t="shared" si="125"/>
        <v>0.11976047904191617</v>
      </c>
      <c r="BK300" s="25">
        <f t="shared" si="126"/>
        <v>7.7844311377245512E-2</v>
      </c>
      <c r="BL300" s="25">
        <f t="shared" si="127"/>
        <v>0.62226562499999993</v>
      </c>
      <c r="BM300" s="25">
        <f t="shared" si="128"/>
        <v>5.7031249999999999E-2</v>
      </c>
      <c r="BN300" s="18" t="str">
        <f t="shared" si="134"/>
        <v>Baja fuente de proteína</v>
      </c>
      <c r="BO300" s="18" t="str">
        <f t="shared" si="135"/>
        <v>Baja fuente de fibra</v>
      </c>
      <c r="BP300" s="18" t="str">
        <f t="shared" si="136"/>
        <v>Baja fuente de calcio</v>
      </c>
      <c r="BQ300" s="18" t="str">
        <f t="shared" si="137"/>
        <v>Alta fuente de hierro</v>
      </c>
      <c r="BR300" s="18" t="str">
        <f t="shared" si="138"/>
        <v>Muy alto en sodio</v>
      </c>
      <c r="BS300" s="6" t="str">
        <f t="shared" si="129"/>
        <v>Proinflamatorio</v>
      </c>
      <c r="BT300" s="6" t="str">
        <f t="shared" si="130"/>
        <v>Muy alto en grasas</v>
      </c>
      <c r="BU300" s="18" t="str">
        <f t="shared" si="139"/>
        <v>Alto riesgo de retención de líquidos</v>
      </c>
      <c r="BV300" s="18" t="str">
        <f t="shared" si="140"/>
        <v>Baja fuente de magnesio</v>
      </c>
      <c r="BW300" s="18" t="str">
        <f t="shared" si="141"/>
        <v>Sin aporte de Omega 3</v>
      </c>
      <c r="BX300" s="18" t="str">
        <f t="shared" si="142"/>
        <v>Contiene grasas trans</v>
      </c>
      <c r="BY300" s="18" t="str">
        <f t="shared" si="143"/>
        <v>Bajo poder antioxidante</v>
      </c>
      <c r="BZ300" s="6" t="str">
        <f t="shared" si="131"/>
        <v>Sin probióticos</v>
      </c>
      <c r="CA300" s="18" t="str">
        <f t="shared" si="144"/>
        <v>Moderadamente inflamatorio</v>
      </c>
      <c r="CB300" s="18" t="str">
        <f>IF(ISNUMBER(SEARCH("miel", D300)), "No irritante (Uso condicionado SII)", IF(OR(J300&gt;0, ISNUMBER(SEARCH("cacao", D300)), ISNUMBER(SEARCH("chocolate puro", D300))), "Altamente irritante", IF(OR(AND(O300&gt;15, BI300&gt;1), ISNUMBER(SEARCH("chocolate", D300))), "Moderadamente irritante", "No irritante")))</f>
        <v>No irritante</v>
      </c>
      <c r="CC300" s="6" t="str">
        <f t="shared" si="132"/>
        <v>Exceso relativo de Omega 6</v>
      </c>
    </row>
    <row r="301" spans="1:81" ht="15" customHeight="1" x14ac:dyDescent="0.3">
      <c r="A301" s="2">
        <f t="shared" si="133"/>
        <v>300</v>
      </c>
      <c r="B301" s="3" t="s">
        <v>391</v>
      </c>
      <c r="C301" s="3" t="s">
        <v>423</v>
      </c>
      <c r="D301" s="3" t="s">
        <v>436</v>
      </c>
      <c r="E301" s="3"/>
      <c r="F301" s="4">
        <v>4.5</v>
      </c>
      <c r="G301" s="5">
        <v>1</v>
      </c>
      <c r="H301" s="5">
        <v>266</v>
      </c>
      <c r="I301" s="5">
        <v>60.5</v>
      </c>
      <c r="J301" s="5">
        <v>0</v>
      </c>
      <c r="K301" s="5">
        <v>11.9</v>
      </c>
      <c r="L301" s="5">
        <v>1.3</v>
      </c>
      <c r="M301" s="5">
        <v>1.3</v>
      </c>
      <c r="N301" s="5">
        <v>0</v>
      </c>
      <c r="O301" s="5">
        <v>0</v>
      </c>
      <c r="P301" s="5">
        <v>0</v>
      </c>
      <c r="Q301" s="5">
        <v>23.7</v>
      </c>
      <c r="R301" s="5">
        <v>8.3000000000000007</v>
      </c>
      <c r="S301" s="5">
        <v>9.9</v>
      </c>
      <c r="T301" s="5">
        <v>2.1</v>
      </c>
      <c r="U301" s="5">
        <v>73.900000000000006</v>
      </c>
      <c r="V301" s="5">
        <v>0</v>
      </c>
      <c r="W301" s="5">
        <v>0</v>
      </c>
      <c r="X301" s="5">
        <v>0</v>
      </c>
      <c r="Y301" s="5">
        <v>0</v>
      </c>
      <c r="Z301" s="5">
        <v>0.09</v>
      </c>
      <c r="AA301" s="5">
        <v>7</v>
      </c>
      <c r="AB301" s="5">
        <v>0.16</v>
      </c>
      <c r="AC301" s="5">
        <v>0.15</v>
      </c>
      <c r="AD301" s="5">
        <v>4.3</v>
      </c>
      <c r="AE301" s="5">
        <v>0.03</v>
      </c>
      <c r="AF301" s="5">
        <v>2.2000000000000002</v>
      </c>
      <c r="AG301" s="5">
        <v>2.4</v>
      </c>
      <c r="AH301" s="5">
        <v>0.36</v>
      </c>
      <c r="AI301" s="5">
        <v>0</v>
      </c>
      <c r="AJ301" s="5">
        <v>0</v>
      </c>
      <c r="AK301" s="5">
        <v>59.1</v>
      </c>
      <c r="AL301" s="5">
        <v>143</v>
      </c>
      <c r="AM301" s="5">
        <v>0.83</v>
      </c>
      <c r="AN301" s="5">
        <v>8.6</v>
      </c>
      <c r="AO301" s="5">
        <v>3.1</v>
      </c>
      <c r="AP301" s="5">
        <v>11</v>
      </c>
      <c r="AQ301" s="5">
        <v>766</v>
      </c>
      <c r="AR301" s="5">
        <v>207</v>
      </c>
      <c r="AS301" s="5">
        <v>0.03</v>
      </c>
      <c r="AT301" s="5">
        <v>0.06</v>
      </c>
      <c r="AU301" s="5">
        <v>6.1</v>
      </c>
      <c r="AV301" s="5">
        <f>IFERROR(VLOOKUP(IFERROR(VLOOKUP(D301,Mapa_Similitud!$A$2:$B$2000,2,FALSE()),D301),Hoja1!$A$2:$K$1000,2,FALSE()),IFERROR(VLOOKUP(IFERROR(VLOOKUP(D301,Mapa_Similitud!$A$2:$B$2000,2,FALSE()),D301),Omega3_Referencia!$A$2:$E$100,3,FALSE()),0))</f>
        <v>0.04</v>
      </c>
      <c r="AW301" s="3" t="str">
        <f>IFERROR(VLOOKUP(IFERROR(VLOOKUP(D301,Mapa_Similitud!$A$2:$B$2000,2,FALSE()),D301),Hoja1!$A$2:$K$1000,3,FALSE()),IFERROR(VLOOKUP(IFERROR(VLOOKUP(D301,Mapa_Similitud!$A$2:$B$2000,2,FALSE()),D301),Omega3_Referencia!$A$2:$E$100,4,FALSE()),"N/A"))</f>
        <v>ALA</v>
      </c>
      <c r="AX301" s="5">
        <f>IFERROR(VLOOKUP(IFERROR(VLOOKUP(D301,Mapa_Similitud!$A$2:$B$2000,2,FALSE()),D301),Hoja1!$A$2:$K$1000,5,FALSE()),0)</f>
        <v>0.2</v>
      </c>
      <c r="AY301" s="5">
        <f>IFERROR(VLOOKUP(IFERROR(VLOOKUP(D301,Mapa_Similitud!$A$2:$B$2000,2,FALSE()),D301),Hoja1!$A$2:$K$1000,7,FALSE()),0)</f>
        <v>0</v>
      </c>
      <c r="AZ301" s="5">
        <f>IFERROR(VLOOKUP(IFERROR(VLOOKUP(D301,Mapa_Similitud!$A$2:$B$2000,2,FALSE()),D301),Hoja1!$A$2:$K$1000,9,FALSE()),0)</f>
        <v>0</v>
      </c>
      <c r="BA301" s="25">
        <f t="shared" si="116"/>
        <v>4.4736842105263158E-2</v>
      </c>
      <c r="BB301" s="25">
        <f t="shared" si="117"/>
        <v>0</v>
      </c>
      <c r="BC301" s="25">
        <f t="shared" si="118"/>
        <v>0.22218045112781956</v>
      </c>
      <c r="BD301" s="25">
        <f t="shared" si="119"/>
        <v>3.120300751879699E-3</v>
      </c>
      <c r="BE301" s="25">
        <f t="shared" si="120"/>
        <v>2.8796992481203008</v>
      </c>
      <c r="BF301" s="25">
        <f t="shared" si="121"/>
        <v>0.25301204819277107</v>
      </c>
      <c r="BG301" s="25">
        <f t="shared" si="122"/>
        <v>0.41328671328671329</v>
      </c>
      <c r="BH301" s="25">
        <f t="shared" si="123"/>
        <v>0.35021097046413507</v>
      </c>
      <c r="BI301" s="25">
        <f t="shared" si="124"/>
        <v>3.7004830917874396</v>
      </c>
      <c r="BJ301" s="25">
        <f t="shared" si="125"/>
        <v>0</v>
      </c>
      <c r="BK301" s="25">
        <f t="shared" si="126"/>
        <v>0</v>
      </c>
      <c r="BL301" s="25">
        <f t="shared" si="127"/>
        <v>0.80187969924812019</v>
      </c>
      <c r="BM301" s="25">
        <f t="shared" si="128"/>
        <v>4.1353383458646614E-2</v>
      </c>
      <c r="BN301" s="18" t="str">
        <f t="shared" si="134"/>
        <v>Baja fuente de proteína</v>
      </c>
      <c r="BO301" s="18" t="str">
        <f t="shared" si="135"/>
        <v>Baja fuente de fibra</v>
      </c>
      <c r="BP301" s="18" t="str">
        <f t="shared" si="136"/>
        <v>Baja fuente de calcio</v>
      </c>
      <c r="BQ301" s="18" t="str">
        <f t="shared" si="137"/>
        <v>Baja fuente de hierro</v>
      </c>
      <c r="BR301" s="18" t="str">
        <f t="shared" si="138"/>
        <v>Muy alto en sodio</v>
      </c>
      <c r="BS301" s="6" t="str">
        <f t="shared" si="129"/>
        <v>Proinflamatorio</v>
      </c>
      <c r="BT301" s="6" t="str">
        <f t="shared" si="130"/>
        <v>Muy alto en grasas</v>
      </c>
      <c r="BU301" s="18" t="str">
        <f t="shared" si="139"/>
        <v>Alto riesgo de retención de líquidos</v>
      </c>
      <c r="BV301" s="18" t="str">
        <f t="shared" si="140"/>
        <v>Baja fuente de magnesio</v>
      </c>
      <c r="BW301" s="18" t="str">
        <f t="shared" si="141"/>
        <v>Sin aporte de Omega 3</v>
      </c>
      <c r="BX301" s="18" t="str">
        <f t="shared" si="142"/>
        <v>Contiene grasas trans</v>
      </c>
      <c r="BY301" s="18" t="str">
        <f t="shared" si="143"/>
        <v>Bajo poder antioxidante</v>
      </c>
      <c r="BZ301" s="6" t="str">
        <f t="shared" si="131"/>
        <v>Sin probióticos</v>
      </c>
      <c r="CA301" s="18" t="str">
        <f t="shared" si="144"/>
        <v>Moderadamente inflamatorio</v>
      </c>
      <c r="CB301" s="18" t="str">
        <f>IF(ISNUMBER(SEARCH("miel", D301)), "No irritante (Uso condicionado SII)", IF(OR(J301&gt;0, ISNUMBER(SEARCH("cacao", D301)), ISNUMBER(SEARCH("chocolate puro", D301))), "Altamente irritante", IF(OR(AND(O301&gt;15, BI301&gt;1), ISNUMBER(SEARCH("chocolate", D301))), "Moderadamente irritante", "No irritante")))</f>
        <v>No irritante</v>
      </c>
      <c r="CC301" s="6" t="str">
        <f t="shared" si="132"/>
        <v>Exceso relativo de Omega 6</v>
      </c>
    </row>
    <row r="302" spans="1:81" ht="15" customHeight="1" x14ac:dyDescent="0.3">
      <c r="A302" s="2">
        <f t="shared" si="133"/>
        <v>301</v>
      </c>
      <c r="B302" s="3" t="s">
        <v>391</v>
      </c>
      <c r="C302" s="3" t="s">
        <v>423</v>
      </c>
      <c r="D302" s="3" t="s">
        <v>437</v>
      </c>
      <c r="E302" s="3"/>
      <c r="F302" s="4">
        <v>3.5</v>
      </c>
      <c r="G302" s="5">
        <v>1</v>
      </c>
      <c r="H302" s="5">
        <v>81.5</v>
      </c>
      <c r="I302" s="5">
        <v>79.8</v>
      </c>
      <c r="J302" s="5">
        <v>0</v>
      </c>
      <c r="K302" s="5">
        <v>15.2</v>
      </c>
      <c r="L302" s="5">
        <v>3.7</v>
      </c>
      <c r="M302" s="5">
        <v>3.2</v>
      </c>
      <c r="N302" s="5">
        <v>0.5</v>
      </c>
      <c r="O302" s="5">
        <v>0.5</v>
      </c>
      <c r="P302" s="5">
        <v>0</v>
      </c>
      <c r="Q302" s="5">
        <v>0.65</v>
      </c>
      <c r="R302" s="5">
        <v>0.18</v>
      </c>
      <c r="S302" s="5">
        <v>0.21</v>
      </c>
      <c r="T302" s="5">
        <v>0.15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683</v>
      </c>
      <c r="AR302" s="5">
        <v>0</v>
      </c>
      <c r="AS302" s="5">
        <v>0</v>
      </c>
      <c r="AT302" s="5">
        <v>0</v>
      </c>
      <c r="AU302" s="5">
        <v>0</v>
      </c>
      <c r="AV302" s="5">
        <f>IFERROR(VLOOKUP(IFERROR(VLOOKUP(D302,Mapa_Similitud!$A$2:$B$2000,2,FALSE()),D302),Hoja1!$A$2:$K$1000,2,FALSE()),IFERROR(VLOOKUP(IFERROR(VLOOKUP(D302,Mapa_Similitud!$A$2:$B$2000,2,FALSE()),D302),Omega3_Referencia!$A$2:$E$100,3,FALSE()),0))</f>
        <v>0.02</v>
      </c>
      <c r="AW302" s="3" t="str">
        <f>IFERROR(VLOOKUP(IFERROR(VLOOKUP(D302,Mapa_Similitud!$A$2:$B$2000,2,FALSE()),D302),Hoja1!$A$2:$K$1000,3,FALSE()),IFERROR(VLOOKUP(IFERROR(VLOOKUP(D302,Mapa_Similitud!$A$2:$B$2000,2,FALSE()),D302),Omega3_Referencia!$A$2:$E$100,4,FALSE()),"N/A"))</f>
        <v>ALA</v>
      </c>
      <c r="AX302" s="5">
        <f>IFERROR(VLOOKUP(IFERROR(VLOOKUP(D302,Mapa_Similitud!$A$2:$B$2000,2,FALSE()),D302),Hoja1!$A$2:$K$1000,5,FALSE()),0)</f>
        <v>0.1</v>
      </c>
      <c r="AY302" s="5">
        <f>IFERROR(VLOOKUP(IFERROR(VLOOKUP(D302,Mapa_Similitud!$A$2:$B$2000,2,FALSE()),D302),Hoja1!$A$2:$K$1000,7,FALSE()),0)</f>
        <v>0</v>
      </c>
      <c r="AZ302" s="5">
        <f>IFERROR(VLOOKUP(IFERROR(VLOOKUP(D302,Mapa_Similitud!$A$2:$B$2000,2,FALSE()),D302),Hoja1!$A$2:$K$1000,9,FALSE()),0)</f>
        <v>0</v>
      </c>
      <c r="BA302" s="25">
        <f t="shared" si="116"/>
        <v>0.18650306748466255</v>
      </c>
      <c r="BB302" s="25">
        <f t="shared" si="117"/>
        <v>0</v>
      </c>
      <c r="BC302" s="25">
        <f t="shared" si="118"/>
        <v>0</v>
      </c>
      <c r="BD302" s="25">
        <f t="shared" si="119"/>
        <v>0</v>
      </c>
      <c r="BE302" s="25">
        <f t="shared" si="120"/>
        <v>8.3803680981595097</v>
      </c>
      <c r="BF302" s="25">
        <f t="shared" si="121"/>
        <v>0.83333333333333337</v>
      </c>
      <c r="BG302" s="25">
        <f t="shared" si="122"/>
        <v>0</v>
      </c>
      <c r="BH302" s="25">
        <f t="shared" si="123"/>
        <v>0.27692307692307688</v>
      </c>
      <c r="BI302" s="25">
        <f t="shared" si="124"/>
        <v>0</v>
      </c>
      <c r="BJ302" s="25">
        <f t="shared" si="125"/>
        <v>0.13513513513513511</v>
      </c>
      <c r="BK302" s="25">
        <f t="shared" si="126"/>
        <v>0</v>
      </c>
      <c r="BL302" s="25">
        <f t="shared" si="127"/>
        <v>7.177914110429448E-2</v>
      </c>
      <c r="BM302" s="25">
        <f t="shared" si="128"/>
        <v>0</v>
      </c>
      <c r="BN302" s="18" t="str">
        <f t="shared" si="134"/>
        <v>Alta fuente de proteína</v>
      </c>
      <c r="BO302" s="18" t="str">
        <f t="shared" si="135"/>
        <v>Baja fuente de fibra</v>
      </c>
      <c r="BP302" s="18" t="str">
        <f t="shared" si="136"/>
        <v>Baja fuente de calcio</v>
      </c>
      <c r="BQ302" s="18" t="str">
        <f t="shared" si="137"/>
        <v>Baja fuente de hierro</v>
      </c>
      <c r="BR302" s="18" t="str">
        <f t="shared" si="138"/>
        <v>Muy alto en sodio</v>
      </c>
      <c r="BS302" s="6" t="str">
        <f t="shared" si="129"/>
        <v>Neutro</v>
      </c>
      <c r="BT302" s="6" t="str">
        <f t="shared" si="130"/>
        <v>Bajo en grasas</v>
      </c>
      <c r="BU302" s="18" t="str">
        <f t="shared" si="139"/>
        <v>Equilibrio de líquidos ideal</v>
      </c>
      <c r="BV302" s="18" t="str">
        <f t="shared" si="140"/>
        <v>Baja fuente de magnesio</v>
      </c>
      <c r="BW302" s="18" t="str">
        <f t="shared" si="141"/>
        <v>Sin aporte de Omega 3</v>
      </c>
      <c r="BX302" s="18" t="str">
        <f t="shared" si="142"/>
        <v>Contiene grasas trans</v>
      </c>
      <c r="BY302" s="18" t="str">
        <f t="shared" si="143"/>
        <v>Bajo poder antioxidante</v>
      </c>
      <c r="BZ302" s="6" t="str">
        <f t="shared" si="131"/>
        <v>Sin probióticos</v>
      </c>
      <c r="CA302" s="18" t="str">
        <f t="shared" si="144"/>
        <v>Moderadamente inflamatorio</v>
      </c>
      <c r="CB302" s="18" t="str">
        <f>IF(ISNUMBER(SEARCH("miel", D302)), "No irritante (Uso condicionado SII)", IF(OR(J302&gt;0, ISNUMBER(SEARCH("cacao", D302)), ISNUMBER(SEARCH("chocolate puro", D302))), "Altamente irritante", IF(OR(AND(O302&gt;15, BI302&gt;1), ISNUMBER(SEARCH("chocolate", D302))), "Moderadamente irritante", "No irritante")))</f>
        <v>No irritante</v>
      </c>
      <c r="CC302" s="6" t="str">
        <f t="shared" si="132"/>
        <v>Exceso relativo de Omega 6</v>
      </c>
    </row>
    <row r="303" spans="1:81" ht="15" customHeight="1" x14ac:dyDescent="0.3">
      <c r="A303" s="2">
        <f t="shared" si="133"/>
        <v>302</v>
      </c>
      <c r="B303" s="3" t="s">
        <v>391</v>
      </c>
      <c r="C303" s="3" t="s">
        <v>423</v>
      </c>
      <c r="D303" s="3" t="s">
        <v>438</v>
      </c>
      <c r="E303" s="3"/>
      <c r="F303" s="4">
        <v>4</v>
      </c>
      <c r="G303" s="5">
        <v>1</v>
      </c>
      <c r="H303" s="5">
        <v>444</v>
      </c>
      <c r="I303" s="5">
        <v>33.299999999999997</v>
      </c>
      <c r="J303" s="5">
        <v>0</v>
      </c>
      <c r="K303" s="5">
        <v>21</v>
      </c>
      <c r="L303" s="5">
        <v>1.7</v>
      </c>
      <c r="M303" s="5">
        <v>1.7</v>
      </c>
      <c r="N303" s="5">
        <v>0</v>
      </c>
      <c r="O303" s="5">
        <v>0</v>
      </c>
      <c r="P303" s="5">
        <v>0.1</v>
      </c>
      <c r="Q303" s="5">
        <v>39.200000000000003</v>
      </c>
      <c r="R303" s="5">
        <v>14.6</v>
      </c>
      <c r="S303" s="5">
        <v>17.600000000000001</v>
      </c>
      <c r="T303" s="5">
        <v>4.5</v>
      </c>
      <c r="U303" s="5">
        <v>79</v>
      </c>
      <c r="V303" s="5">
        <v>0</v>
      </c>
      <c r="W303" s="5">
        <v>0</v>
      </c>
      <c r="X303" s="5">
        <v>0</v>
      </c>
      <c r="Y303" s="5">
        <v>0</v>
      </c>
      <c r="Z303" s="5">
        <v>0.78</v>
      </c>
      <c r="AA303" s="5">
        <v>9</v>
      </c>
      <c r="AB303" s="5">
        <v>0.18</v>
      </c>
      <c r="AC303" s="5">
        <v>0.2</v>
      </c>
      <c r="AD303" s="5">
        <v>7.5</v>
      </c>
      <c r="AE303" s="5">
        <v>0.15</v>
      </c>
      <c r="AF303" s="5">
        <v>3</v>
      </c>
      <c r="AG303" s="5">
        <v>1.4</v>
      </c>
      <c r="AH303" s="5">
        <v>0.8</v>
      </c>
      <c r="AI303" s="5">
        <v>3</v>
      </c>
      <c r="AJ303" s="5">
        <v>0</v>
      </c>
      <c r="AK303" s="5">
        <v>10</v>
      </c>
      <c r="AL303" s="5">
        <v>167</v>
      </c>
      <c r="AM303" s="5">
        <v>1</v>
      </c>
      <c r="AN303" s="5">
        <v>15</v>
      </c>
      <c r="AO303" s="5">
        <v>1.7</v>
      </c>
      <c r="AP303" s="5">
        <v>35</v>
      </c>
      <c r="AQ303" s="5">
        <v>2084</v>
      </c>
      <c r="AR303" s="5">
        <v>224</v>
      </c>
      <c r="AS303" s="5">
        <v>7.0000000000000007E-2</v>
      </c>
      <c r="AT303" s="5">
        <v>0.24</v>
      </c>
      <c r="AU303" s="5">
        <v>6.9</v>
      </c>
      <c r="AV303" s="5">
        <f>IFERROR(VLOOKUP(IFERROR(VLOOKUP(D303,Mapa_Similitud!$A$2:$B$2000,2,FALSE()),D303),Hoja1!$A$2:$K$1000,2,FALSE()),IFERROR(VLOOKUP(IFERROR(VLOOKUP(D303,Mapa_Similitud!$A$2:$B$2000,2,FALSE()),D303),Omega3_Referencia!$A$2:$E$100,3,FALSE()),0))</f>
        <v>0.05</v>
      </c>
      <c r="AW303" s="3" t="str">
        <f>IFERROR(VLOOKUP(IFERROR(VLOOKUP(D303,Mapa_Similitud!$A$2:$B$2000,2,FALSE()),D303),Hoja1!$A$2:$K$1000,3,FALSE()),IFERROR(VLOOKUP(IFERROR(VLOOKUP(D303,Mapa_Similitud!$A$2:$B$2000,2,FALSE()),D303),Omega3_Referencia!$A$2:$E$100,4,FALSE()),"N/A"))</f>
        <v>ALA</v>
      </c>
      <c r="AX303" s="5">
        <f>IFERROR(VLOOKUP(IFERROR(VLOOKUP(D303,Mapa_Similitud!$A$2:$B$2000,2,FALSE()),D303),Hoja1!$A$2:$K$1000,5,FALSE()),0)</f>
        <v>0.3</v>
      </c>
      <c r="AY303" s="5">
        <f>IFERROR(VLOOKUP(IFERROR(VLOOKUP(D303,Mapa_Similitud!$A$2:$B$2000,2,FALSE()),D303),Hoja1!$A$2:$K$1000,7,FALSE()),0)</f>
        <v>0</v>
      </c>
      <c r="AZ303" s="5">
        <f>IFERROR(VLOOKUP(IFERROR(VLOOKUP(D303,Mapa_Similitud!$A$2:$B$2000,2,FALSE()),D303),Hoja1!$A$2:$K$1000,9,FALSE()),0)</f>
        <v>0</v>
      </c>
      <c r="BA303" s="25">
        <f t="shared" si="116"/>
        <v>4.72972972972973E-2</v>
      </c>
      <c r="BB303" s="25">
        <f t="shared" si="117"/>
        <v>2.2522522522522523E-4</v>
      </c>
      <c r="BC303" s="25">
        <f t="shared" si="118"/>
        <v>2.2522522522522521E-2</v>
      </c>
      <c r="BD303" s="25">
        <f t="shared" si="119"/>
        <v>2.2522522522522522E-3</v>
      </c>
      <c r="BE303" s="25">
        <f t="shared" si="120"/>
        <v>4.6936936936936933</v>
      </c>
      <c r="BF303" s="25">
        <f t="shared" si="121"/>
        <v>0.30821917808219179</v>
      </c>
      <c r="BG303" s="25">
        <f t="shared" si="122"/>
        <v>5.9880239520958084E-2</v>
      </c>
      <c r="BH303" s="25">
        <f t="shared" si="123"/>
        <v>0.3724489795918367</v>
      </c>
      <c r="BI303" s="25">
        <f t="shared" si="124"/>
        <v>9.3035714285714288</v>
      </c>
      <c r="BJ303" s="25">
        <f t="shared" si="125"/>
        <v>0</v>
      </c>
      <c r="BK303" s="25">
        <f t="shared" si="126"/>
        <v>5.8823529411764712E-2</v>
      </c>
      <c r="BL303" s="25">
        <f t="shared" si="127"/>
        <v>0.79459459459459458</v>
      </c>
      <c r="BM303" s="25">
        <f t="shared" si="128"/>
        <v>7.8828828828828829E-2</v>
      </c>
      <c r="BN303" s="18" t="str">
        <f t="shared" si="134"/>
        <v>Baja fuente de proteína</v>
      </c>
      <c r="BO303" s="18" t="str">
        <f t="shared" si="135"/>
        <v>Baja fuente de fibra</v>
      </c>
      <c r="BP303" s="18" t="str">
        <f t="shared" si="136"/>
        <v>Baja fuente de calcio</v>
      </c>
      <c r="BQ303" s="18" t="str">
        <f t="shared" si="137"/>
        <v>Baja fuente de hierro</v>
      </c>
      <c r="BR303" s="18" t="str">
        <f t="shared" si="138"/>
        <v>Muy alto en sodio</v>
      </c>
      <c r="BS303" s="6" t="str">
        <f t="shared" si="129"/>
        <v>Proinflamatorio</v>
      </c>
      <c r="BT303" s="6" t="str">
        <f t="shared" si="130"/>
        <v>Muy alto en grasas</v>
      </c>
      <c r="BU303" s="18" t="str">
        <f t="shared" si="139"/>
        <v>Alto riesgo de retención de líquidos</v>
      </c>
      <c r="BV303" s="18" t="str">
        <f t="shared" si="140"/>
        <v>Baja fuente de magnesio</v>
      </c>
      <c r="BW303" s="18" t="str">
        <f t="shared" si="141"/>
        <v>Sin aporte de Omega 3</v>
      </c>
      <c r="BX303" s="18" t="str">
        <f t="shared" si="142"/>
        <v>Contiene grasas trans</v>
      </c>
      <c r="BY303" s="18" t="str">
        <f t="shared" si="143"/>
        <v>Bajo poder antioxidante</v>
      </c>
      <c r="BZ303" s="6" t="str">
        <f t="shared" si="131"/>
        <v>Sin probióticos</v>
      </c>
      <c r="CA303" s="18" t="str">
        <f t="shared" si="144"/>
        <v>Moderadamente inflamatorio</v>
      </c>
      <c r="CB303" s="18" t="str">
        <f>IF(ISNUMBER(SEARCH("miel", D303)), "No irritante (Uso condicionado SII)", IF(OR(J303&gt;0, ISNUMBER(SEARCH("cacao", D303)), ISNUMBER(SEARCH("chocolate puro", D303))), "Altamente irritante", IF(OR(AND(O303&gt;15, BI303&gt;1), ISNUMBER(SEARCH("chocolate", D303))), "Moderadamente irritante", "No irritante")))</f>
        <v>No irritante</v>
      </c>
      <c r="CC303" s="6" t="str">
        <f t="shared" si="132"/>
        <v>Exceso relativo de Omega 6</v>
      </c>
    </row>
    <row r="304" spans="1:81" ht="15" customHeight="1" x14ac:dyDescent="0.3">
      <c r="A304" s="2">
        <f t="shared" si="133"/>
        <v>303</v>
      </c>
      <c r="B304" s="3" t="s">
        <v>391</v>
      </c>
      <c r="C304" s="3" t="s">
        <v>423</v>
      </c>
      <c r="D304" s="3" t="s">
        <v>439</v>
      </c>
      <c r="E304" s="3"/>
      <c r="F304" s="4">
        <v>3</v>
      </c>
      <c r="G304" s="5">
        <v>1</v>
      </c>
      <c r="H304" s="5">
        <v>309</v>
      </c>
      <c r="I304" s="5">
        <v>55.4</v>
      </c>
      <c r="J304" s="5">
        <v>0</v>
      </c>
      <c r="K304" s="5">
        <v>13.1</v>
      </c>
      <c r="L304" s="5">
        <v>0.9</v>
      </c>
      <c r="M304" s="5">
        <v>0.51</v>
      </c>
      <c r="N304" s="5">
        <v>0.39</v>
      </c>
      <c r="O304" s="5">
        <v>0.39</v>
      </c>
      <c r="P304" s="5">
        <v>0</v>
      </c>
      <c r="Q304" s="5">
        <v>28.1</v>
      </c>
      <c r="R304" s="5">
        <v>10.5</v>
      </c>
      <c r="S304" s="5">
        <v>12.3</v>
      </c>
      <c r="T304" s="5">
        <v>2.6</v>
      </c>
      <c r="U304" s="5">
        <v>67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9</v>
      </c>
      <c r="AB304" s="5">
        <v>0.18</v>
      </c>
      <c r="AC304" s="5">
        <v>0.16</v>
      </c>
      <c r="AD304" s="5">
        <v>4.5999999999999996</v>
      </c>
      <c r="AE304" s="5">
        <v>0.16</v>
      </c>
      <c r="AF304" s="5">
        <v>3.4</v>
      </c>
      <c r="AG304" s="5">
        <v>1.5</v>
      </c>
      <c r="AH304" s="5">
        <v>0.4</v>
      </c>
      <c r="AI304" s="5">
        <v>0</v>
      </c>
      <c r="AJ304" s="5">
        <v>0</v>
      </c>
      <c r="AK304" s="5">
        <v>34.5</v>
      </c>
      <c r="AL304" s="5">
        <v>150</v>
      </c>
      <c r="AM304" s="5">
        <v>1.4</v>
      </c>
      <c r="AN304" s="5">
        <v>1.8</v>
      </c>
      <c r="AO304" s="5">
        <v>2.6</v>
      </c>
      <c r="AP304" s="5">
        <v>9.4</v>
      </c>
      <c r="AQ304" s="5">
        <v>1060</v>
      </c>
      <c r="AR304" s="5">
        <v>210</v>
      </c>
      <c r="AS304" s="5">
        <v>2.8000000000000001E-2</v>
      </c>
      <c r="AT304" s="5">
        <v>7.0000000000000007E-2</v>
      </c>
      <c r="AU304" s="5">
        <v>11.5</v>
      </c>
      <c r="AV304" s="5">
        <f>IFERROR(VLOOKUP(IFERROR(VLOOKUP(D304,Mapa_Similitud!$A$2:$B$2000,2,FALSE()),D304),Hoja1!$A$2:$K$1000,2,FALSE()),IFERROR(VLOOKUP(IFERROR(VLOOKUP(D304,Mapa_Similitud!$A$2:$B$2000,2,FALSE()),D304),Omega3_Referencia!$A$2:$E$100,3,FALSE()),0))</f>
        <v>0.05</v>
      </c>
      <c r="AW304" s="3" t="str">
        <f>IFERROR(VLOOKUP(IFERROR(VLOOKUP(D304,Mapa_Similitud!$A$2:$B$2000,2,FALSE()),D304),Hoja1!$A$2:$K$1000,3,FALSE()),IFERROR(VLOOKUP(IFERROR(VLOOKUP(D304,Mapa_Similitud!$A$2:$B$2000,2,FALSE()),D304),Omega3_Referencia!$A$2:$E$100,4,FALSE()),"N/A"))</f>
        <v>ALA</v>
      </c>
      <c r="AX304" s="5">
        <f>IFERROR(VLOOKUP(IFERROR(VLOOKUP(D304,Mapa_Similitud!$A$2:$B$2000,2,FALSE()),D304),Hoja1!$A$2:$K$1000,5,FALSE()),0)</f>
        <v>0.3</v>
      </c>
      <c r="AY304" s="5">
        <f>IFERROR(VLOOKUP(IFERROR(VLOOKUP(D304,Mapa_Similitud!$A$2:$B$2000,2,FALSE()),D304),Hoja1!$A$2:$K$1000,7,FALSE()),0)</f>
        <v>0</v>
      </c>
      <c r="AZ304" s="5">
        <f>IFERROR(VLOOKUP(IFERROR(VLOOKUP(D304,Mapa_Similitud!$A$2:$B$2000,2,FALSE()),D304),Hoja1!$A$2:$K$1000,9,FALSE()),0)</f>
        <v>0</v>
      </c>
      <c r="BA304" s="25">
        <f t="shared" si="116"/>
        <v>4.2394822006472488E-2</v>
      </c>
      <c r="BB304" s="25">
        <f t="shared" si="117"/>
        <v>0</v>
      </c>
      <c r="BC304" s="25">
        <f t="shared" si="118"/>
        <v>0.11165048543689321</v>
      </c>
      <c r="BD304" s="25">
        <f t="shared" si="119"/>
        <v>4.5307443365695792E-3</v>
      </c>
      <c r="BE304" s="25">
        <f t="shared" si="120"/>
        <v>3.4304207119741101</v>
      </c>
      <c r="BF304" s="25">
        <f t="shared" si="121"/>
        <v>0.24761904761904763</v>
      </c>
      <c r="BG304" s="25">
        <f t="shared" si="122"/>
        <v>0.23</v>
      </c>
      <c r="BH304" s="25">
        <f t="shared" si="123"/>
        <v>0.37366548042704623</v>
      </c>
      <c r="BI304" s="25">
        <f t="shared" si="124"/>
        <v>5.0476190476190474</v>
      </c>
      <c r="BJ304" s="25">
        <f t="shared" si="125"/>
        <v>0.43333333333333335</v>
      </c>
      <c r="BK304" s="25">
        <f t="shared" si="126"/>
        <v>0</v>
      </c>
      <c r="BL304" s="25">
        <f t="shared" si="127"/>
        <v>0.81844660194174756</v>
      </c>
      <c r="BM304" s="25">
        <f t="shared" si="128"/>
        <v>3.0420711974110032E-2</v>
      </c>
      <c r="BN304" s="18" t="str">
        <f t="shared" si="134"/>
        <v>Baja fuente de proteína</v>
      </c>
      <c r="BO304" s="18" t="str">
        <f t="shared" si="135"/>
        <v>Baja fuente de fibra</v>
      </c>
      <c r="BP304" s="18" t="str">
        <f t="shared" si="136"/>
        <v>Baja fuente de calcio</v>
      </c>
      <c r="BQ304" s="18" t="str">
        <f t="shared" si="137"/>
        <v>Baja fuente de hierro</v>
      </c>
      <c r="BR304" s="18" t="str">
        <f t="shared" si="138"/>
        <v>Muy alto en sodio</v>
      </c>
      <c r="BS304" s="6" t="str">
        <f t="shared" si="129"/>
        <v>Proinflamatorio</v>
      </c>
      <c r="BT304" s="6" t="str">
        <f t="shared" si="130"/>
        <v>Muy alto en grasas</v>
      </c>
      <c r="BU304" s="18" t="str">
        <f t="shared" si="139"/>
        <v>Alto riesgo de retención de líquidos</v>
      </c>
      <c r="BV304" s="18" t="str">
        <f t="shared" si="140"/>
        <v>Baja fuente de magnesio</v>
      </c>
      <c r="BW304" s="18" t="str">
        <f t="shared" si="141"/>
        <v>Sin aporte de Omega 3</v>
      </c>
      <c r="BX304" s="18" t="str">
        <f t="shared" si="142"/>
        <v>Contiene grasas trans</v>
      </c>
      <c r="BY304" s="18" t="str">
        <f t="shared" si="143"/>
        <v>Bajo poder antioxidante</v>
      </c>
      <c r="BZ304" s="6" t="str">
        <f t="shared" si="131"/>
        <v>Sin probióticos</v>
      </c>
      <c r="CA304" s="18" t="str">
        <f t="shared" si="144"/>
        <v>Moderadamente inflamatorio</v>
      </c>
      <c r="CB304" s="18" t="str">
        <f>IF(ISNUMBER(SEARCH("miel", D304)), "No irritante (Uso condicionado SII)", IF(OR(J304&gt;0, ISNUMBER(SEARCH("cacao", D304)), ISNUMBER(SEARCH("chocolate puro", D304))), "Altamente irritante", IF(OR(AND(O304&gt;15, BI304&gt;1), ISNUMBER(SEARCH("chocolate", D304))), "Moderadamente irritante", "No irritante")))</f>
        <v>No irritante</v>
      </c>
      <c r="CC304" s="6" t="str">
        <f t="shared" si="132"/>
        <v>Exceso relativo de Omega 6</v>
      </c>
    </row>
    <row r="305" spans="1:81" ht="15" customHeight="1" x14ac:dyDescent="0.3">
      <c r="A305" s="2">
        <f t="shared" si="133"/>
        <v>304</v>
      </c>
      <c r="B305" s="3" t="s">
        <v>391</v>
      </c>
      <c r="C305" s="3" t="s">
        <v>423</v>
      </c>
      <c r="D305" s="3" t="s">
        <v>440</v>
      </c>
      <c r="E305" s="3"/>
      <c r="F305" s="4">
        <v>4</v>
      </c>
      <c r="G305" s="5">
        <v>0.97</v>
      </c>
      <c r="H305" s="5">
        <v>438</v>
      </c>
      <c r="I305" s="5">
        <v>34.4</v>
      </c>
      <c r="J305" s="5">
        <v>0</v>
      </c>
      <c r="K305" s="5">
        <v>19.3</v>
      </c>
      <c r="L305" s="5">
        <v>1.4</v>
      </c>
      <c r="M305" s="5">
        <v>1.3</v>
      </c>
      <c r="N305" s="5">
        <v>0.09</v>
      </c>
      <c r="O305" s="5">
        <v>0.09</v>
      </c>
      <c r="P305" s="5">
        <v>0</v>
      </c>
      <c r="Q305" s="5">
        <v>39.5</v>
      </c>
      <c r="R305" s="5">
        <v>14.1</v>
      </c>
      <c r="S305" s="5">
        <v>18.600000000000001</v>
      </c>
      <c r="T305" s="5">
        <v>4.7</v>
      </c>
      <c r="U305" s="5">
        <v>77.7</v>
      </c>
      <c r="V305" s="5">
        <v>0</v>
      </c>
      <c r="W305" s="5">
        <v>0</v>
      </c>
      <c r="X305" s="5">
        <v>0</v>
      </c>
      <c r="Y305" s="5">
        <v>0</v>
      </c>
      <c r="Z305" s="5">
        <v>0.27</v>
      </c>
      <c r="AA305" s="5">
        <v>10</v>
      </c>
      <c r="AB305" s="5">
        <v>0.18</v>
      </c>
      <c r="AC305" s="5">
        <v>0.19</v>
      </c>
      <c r="AD305" s="5">
        <v>7.3</v>
      </c>
      <c r="AE305" s="5">
        <v>0.16</v>
      </c>
      <c r="AF305" s="5">
        <v>4.2</v>
      </c>
      <c r="AG305" s="5">
        <v>2.6</v>
      </c>
      <c r="AH305" s="5">
        <v>1.1000000000000001</v>
      </c>
      <c r="AI305" s="5">
        <v>0</v>
      </c>
      <c r="AJ305" s="5">
        <v>0</v>
      </c>
      <c r="AK305" s="5">
        <v>15.7</v>
      </c>
      <c r="AL305" s="5">
        <v>242</v>
      </c>
      <c r="AM305" s="5">
        <v>1</v>
      </c>
      <c r="AN305" s="5">
        <v>14.7</v>
      </c>
      <c r="AO305" s="5">
        <v>1.8</v>
      </c>
      <c r="AP305" s="5">
        <v>11.2</v>
      </c>
      <c r="AQ305" s="5">
        <v>1174</v>
      </c>
      <c r="AR305" s="5">
        <v>160</v>
      </c>
      <c r="AS305" s="5">
        <v>3.7999999999999999E-2</v>
      </c>
      <c r="AT305" s="5">
        <v>0.08</v>
      </c>
      <c r="AU305" s="5">
        <v>26.1</v>
      </c>
      <c r="AV305" s="5">
        <f>IFERROR(VLOOKUP(IFERROR(VLOOKUP(D305,Mapa_Similitud!$A$2:$B$2000,2,FALSE()),D305),Hoja1!$A$2:$K$1000,2,FALSE()),IFERROR(VLOOKUP(IFERROR(VLOOKUP(D305,Mapa_Similitud!$A$2:$B$2000,2,FALSE()),D305),Omega3_Referencia!$A$2:$E$100,3,FALSE()),0))</f>
        <v>0.05</v>
      </c>
      <c r="AW305" s="3" t="str">
        <f>IFERROR(VLOOKUP(IFERROR(VLOOKUP(D305,Mapa_Similitud!$A$2:$B$2000,2,FALSE()),D305),Hoja1!$A$2:$K$1000,3,FALSE()),IFERROR(VLOOKUP(IFERROR(VLOOKUP(D305,Mapa_Similitud!$A$2:$B$2000,2,FALSE()),D305),Omega3_Referencia!$A$2:$E$100,4,FALSE()),"N/A"))</f>
        <v>ALA</v>
      </c>
      <c r="AX305" s="5">
        <f>IFERROR(VLOOKUP(IFERROR(VLOOKUP(D305,Mapa_Similitud!$A$2:$B$2000,2,FALSE()),D305),Hoja1!$A$2:$K$1000,5,FALSE()),0)</f>
        <v>0.3</v>
      </c>
      <c r="AY305" s="5">
        <f>IFERROR(VLOOKUP(IFERROR(VLOOKUP(D305,Mapa_Similitud!$A$2:$B$2000,2,FALSE()),D305),Hoja1!$A$2:$K$1000,7,FALSE()),0)</f>
        <v>0</v>
      </c>
      <c r="AZ305" s="5">
        <f>IFERROR(VLOOKUP(IFERROR(VLOOKUP(D305,Mapa_Similitud!$A$2:$B$2000,2,FALSE()),D305),Hoja1!$A$2:$K$1000,9,FALSE()),0)</f>
        <v>0</v>
      </c>
      <c r="BA305" s="25">
        <f t="shared" si="116"/>
        <v>4.4063926940639271E-2</v>
      </c>
      <c r="BB305" s="25">
        <f t="shared" si="117"/>
        <v>0</v>
      </c>
      <c r="BC305" s="25">
        <f t="shared" si="118"/>
        <v>3.5844748858447489E-2</v>
      </c>
      <c r="BD305" s="25">
        <f t="shared" si="119"/>
        <v>2.2831050228310501E-3</v>
      </c>
      <c r="BE305" s="25">
        <f t="shared" si="120"/>
        <v>2.6803652968036529</v>
      </c>
      <c r="BF305" s="25">
        <f t="shared" si="121"/>
        <v>0.33333333333333337</v>
      </c>
      <c r="BG305" s="25">
        <f t="shared" si="122"/>
        <v>6.4876033057851237E-2</v>
      </c>
      <c r="BH305" s="25">
        <f t="shared" si="123"/>
        <v>0.35696202531645571</v>
      </c>
      <c r="BI305" s="25">
        <f t="shared" si="124"/>
        <v>7.3375000000000004</v>
      </c>
      <c r="BJ305" s="25">
        <f t="shared" si="125"/>
        <v>6.4285714285714293E-2</v>
      </c>
      <c r="BK305" s="25">
        <f t="shared" si="126"/>
        <v>0</v>
      </c>
      <c r="BL305" s="25">
        <f t="shared" si="127"/>
        <v>0.81164383561643838</v>
      </c>
      <c r="BM305" s="25">
        <f t="shared" si="128"/>
        <v>2.557077625570776E-2</v>
      </c>
      <c r="BN305" s="18" t="str">
        <f t="shared" si="134"/>
        <v>Baja fuente de proteína</v>
      </c>
      <c r="BO305" s="18" t="str">
        <f t="shared" si="135"/>
        <v>Baja fuente de fibra</v>
      </c>
      <c r="BP305" s="18" t="str">
        <f t="shared" si="136"/>
        <v>Baja fuente de calcio</v>
      </c>
      <c r="BQ305" s="18" t="str">
        <f t="shared" si="137"/>
        <v>Baja fuente de hierro</v>
      </c>
      <c r="BR305" s="18" t="str">
        <f t="shared" si="138"/>
        <v>Muy alto en sodio</v>
      </c>
      <c r="BS305" s="6" t="str">
        <f t="shared" si="129"/>
        <v>Proinflamatorio</v>
      </c>
      <c r="BT305" s="6" t="str">
        <f t="shared" si="130"/>
        <v>Muy alto en grasas</v>
      </c>
      <c r="BU305" s="18" t="str">
        <f t="shared" si="139"/>
        <v>Alto riesgo de retención de líquidos</v>
      </c>
      <c r="BV305" s="18" t="str">
        <f t="shared" si="140"/>
        <v>Baja fuente de magnesio</v>
      </c>
      <c r="BW305" s="18" t="str">
        <f t="shared" si="141"/>
        <v>Sin aporte de Omega 3</v>
      </c>
      <c r="BX305" s="18" t="str">
        <f t="shared" si="142"/>
        <v>Contiene grasas trans</v>
      </c>
      <c r="BY305" s="18" t="str">
        <f t="shared" si="143"/>
        <v>Bajo poder antioxidante</v>
      </c>
      <c r="BZ305" s="6" t="str">
        <f t="shared" si="131"/>
        <v>Sin probióticos</v>
      </c>
      <c r="CA305" s="18" t="str">
        <f t="shared" si="144"/>
        <v>Moderadamente inflamatorio</v>
      </c>
      <c r="CB305" s="18" t="str">
        <f>IF(ISNUMBER(SEARCH("miel", D305)), "No irritante (Uso condicionado SII)", IF(OR(J305&gt;0, ISNUMBER(SEARCH("cacao", D305)), ISNUMBER(SEARCH("chocolate puro", D305))), "Altamente irritante", IF(OR(AND(O305&gt;15, BI305&gt;1), ISNUMBER(SEARCH("chocolate", D305))), "Moderadamente irritante", "No irritante")))</f>
        <v>No irritante</v>
      </c>
      <c r="CC305" s="6" t="str">
        <f t="shared" si="132"/>
        <v>Exceso relativo de Omega 6</v>
      </c>
    </row>
    <row r="306" spans="1:81" ht="15" customHeight="1" x14ac:dyDescent="0.3">
      <c r="A306" s="2">
        <f t="shared" si="133"/>
        <v>305</v>
      </c>
      <c r="B306" s="3" t="s">
        <v>391</v>
      </c>
      <c r="C306" s="3" t="s">
        <v>441</v>
      </c>
      <c r="D306" s="3" t="s">
        <v>442</v>
      </c>
      <c r="E306" s="3"/>
      <c r="F306" s="4">
        <v>8</v>
      </c>
      <c r="G306" s="5">
        <v>0.75</v>
      </c>
      <c r="H306" s="5">
        <v>122</v>
      </c>
      <c r="I306" s="5">
        <v>75.8</v>
      </c>
      <c r="J306" s="5">
        <v>0</v>
      </c>
      <c r="K306" s="5">
        <v>19.2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5</v>
      </c>
      <c r="R306" s="5">
        <v>1.5</v>
      </c>
      <c r="S306" s="5">
        <v>2.2000000000000002</v>
      </c>
      <c r="T306" s="5">
        <v>0.39</v>
      </c>
      <c r="U306" s="5">
        <v>56</v>
      </c>
      <c r="V306" s="5">
        <v>0</v>
      </c>
      <c r="W306" s="5">
        <v>0</v>
      </c>
      <c r="X306" s="5">
        <v>0</v>
      </c>
      <c r="Y306" s="5">
        <v>0.4</v>
      </c>
      <c r="Z306" s="5">
        <v>0.09</v>
      </c>
      <c r="AA306" s="5">
        <v>15</v>
      </c>
      <c r="AB306" s="5">
        <v>0.25</v>
      </c>
      <c r="AC306" s="5">
        <v>0.1</v>
      </c>
      <c r="AD306" s="5">
        <v>5.7</v>
      </c>
      <c r="AE306" s="5">
        <v>0.3</v>
      </c>
      <c r="AF306" s="5">
        <v>5</v>
      </c>
      <c r="AG306" s="5">
        <v>2</v>
      </c>
      <c r="AH306" s="5">
        <v>0.6</v>
      </c>
      <c r="AI306" s="5">
        <v>0</v>
      </c>
      <c r="AJ306" s="5">
        <v>0</v>
      </c>
      <c r="AK306" s="5">
        <v>9</v>
      </c>
      <c r="AL306" s="5">
        <v>220</v>
      </c>
      <c r="AM306" s="5">
        <v>1</v>
      </c>
      <c r="AN306" s="5">
        <v>5</v>
      </c>
      <c r="AO306" s="5">
        <v>2</v>
      </c>
      <c r="AP306" s="5">
        <v>22</v>
      </c>
      <c r="AQ306" s="5">
        <v>82</v>
      </c>
      <c r="AR306" s="5">
        <v>385</v>
      </c>
      <c r="AS306" s="5">
        <v>0.02</v>
      </c>
      <c r="AT306" s="5">
        <v>0.14000000000000001</v>
      </c>
      <c r="AU306" s="5">
        <v>1</v>
      </c>
      <c r="AV306" s="5">
        <f>IFERROR(VLOOKUP(IFERROR(VLOOKUP(D306,Mapa_Similitud!$A$2:$B$2000,2,FALSE()),D306),Hoja1!$A$2:$K$1000,2,FALSE()),IFERROR(VLOOKUP(IFERROR(VLOOKUP(D306,Mapa_Similitud!$A$2:$B$2000,2,FALSE()),D306),Omega3_Referencia!$A$2:$E$100,3,FALSE()),0))</f>
        <v>0.03</v>
      </c>
      <c r="AW306" s="3" t="str">
        <f>IFERROR(VLOOKUP(IFERROR(VLOOKUP(D306,Mapa_Similitud!$A$2:$B$2000,2,FALSE()),D306),Hoja1!$A$2:$K$1000,3,FALSE()),IFERROR(VLOOKUP(IFERROR(VLOOKUP(D306,Mapa_Similitud!$A$2:$B$2000,2,FALSE()),D306),Omega3_Referencia!$A$2:$E$100,4,FALSE()),"N/A"))</f>
        <v>ALA</v>
      </c>
      <c r="AX306" s="5">
        <f>IFERROR(VLOOKUP(IFERROR(VLOOKUP(D306,Mapa_Similitud!$A$2:$B$2000,2,FALSE()),D306),Hoja1!$A$2:$K$1000,5,FALSE()),0)</f>
        <v>0.1</v>
      </c>
      <c r="AY306" s="5">
        <f>IFERROR(VLOOKUP(IFERROR(VLOOKUP(D306,Mapa_Similitud!$A$2:$B$2000,2,FALSE()),D306),Hoja1!$A$2:$K$1000,7,FALSE()),0)</f>
        <v>0</v>
      </c>
      <c r="AZ306" s="5">
        <f>IFERROR(VLOOKUP(IFERROR(VLOOKUP(D306,Mapa_Similitud!$A$2:$B$2000,2,FALSE()),D306),Hoja1!$A$2:$K$1000,9,FALSE()),0)</f>
        <v>0</v>
      </c>
      <c r="BA306" s="25">
        <f t="shared" si="116"/>
        <v>0.15737704918032785</v>
      </c>
      <c r="BB306" s="25">
        <f t="shared" si="117"/>
        <v>0</v>
      </c>
      <c r="BC306" s="25">
        <f t="shared" si="118"/>
        <v>7.3770491803278687E-2</v>
      </c>
      <c r="BD306" s="25">
        <f t="shared" si="119"/>
        <v>8.1967213114754103E-3</v>
      </c>
      <c r="BE306" s="25">
        <f t="shared" si="120"/>
        <v>0.67213114754098358</v>
      </c>
      <c r="BF306" s="25">
        <f t="shared" si="121"/>
        <v>0.26</v>
      </c>
      <c r="BG306" s="25">
        <f t="shared" si="122"/>
        <v>4.0909090909090909E-2</v>
      </c>
      <c r="BH306" s="25">
        <f t="shared" si="123"/>
        <v>0.3</v>
      </c>
      <c r="BI306" s="25">
        <f t="shared" si="124"/>
        <v>0.21298701298701297</v>
      </c>
      <c r="BJ306" s="25">
        <f t="shared" si="125"/>
        <v>0</v>
      </c>
      <c r="BK306" s="25">
        <f t="shared" si="126"/>
        <v>0</v>
      </c>
      <c r="BL306" s="25">
        <f t="shared" si="127"/>
        <v>0.36885245901639346</v>
      </c>
      <c r="BM306" s="25">
        <f t="shared" si="128"/>
        <v>0.18032786885245902</v>
      </c>
      <c r="BN306" s="18" t="str">
        <f t="shared" si="134"/>
        <v>Alta fuente de proteína</v>
      </c>
      <c r="BO306" s="18" t="str">
        <f t="shared" si="135"/>
        <v>Baja fuente de fibra</v>
      </c>
      <c r="BP306" s="18" t="str">
        <f t="shared" si="136"/>
        <v>Baja fuente de calcio</v>
      </c>
      <c r="BQ306" s="18" t="str">
        <f t="shared" si="137"/>
        <v>Media fuente de hierro</v>
      </c>
      <c r="BR306" s="18" t="str">
        <f t="shared" si="138"/>
        <v>Moderado en sodio</v>
      </c>
      <c r="BS306" s="6" t="str">
        <f t="shared" si="129"/>
        <v>Proinflamatorio</v>
      </c>
      <c r="BT306" s="6" t="str">
        <f t="shared" si="130"/>
        <v>Alto en grasas</v>
      </c>
      <c r="BU306" s="18" t="str">
        <f t="shared" si="139"/>
        <v>Equilibrio de líquidos ideal</v>
      </c>
      <c r="BV306" s="18" t="str">
        <f t="shared" si="140"/>
        <v>Baja fuente de magnesio</v>
      </c>
      <c r="BW306" s="18" t="str">
        <f t="shared" si="141"/>
        <v>Sin aporte de Omega 3</v>
      </c>
      <c r="BX306" s="18" t="str">
        <f t="shared" si="142"/>
        <v>Contiene grasas trans</v>
      </c>
      <c r="BY306" s="18" t="str">
        <f t="shared" si="143"/>
        <v>Bajo poder antioxidante</v>
      </c>
      <c r="BZ306" s="6" t="str">
        <f t="shared" si="131"/>
        <v>Sin probióticos</v>
      </c>
      <c r="CA306" s="18" t="str">
        <f t="shared" si="144"/>
        <v>Moderadamente inflamatorio</v>
      </c>
      <c r="CB306" s="18" t="str">
        <f>IF(ISNUMBER(SEARCH("miel", D306)), "No irritante (Uso condicionado SII)", IF(OR(J306&gt;0, ISNUMBER(SEARCH("cacao", D306)), ISNUMBER(SEARCH("chocolate puro", D306))), "Altamente irritante", IF(OR(AND(O306&gt;15, BI306&gt;1), ISNUMBER(SEARCH("chocolate", D306))), "Moderadamente irritante", "No irritante")))</f>
        <v>No irritante</v>
      </c>
      <c r="CC306" s="6" t="str">
        <f t="shared" si="132"/>
        <v>Exceso relativo de Omega 6</v>
      </c>
    </row>
    <row r="307" spans="1:81" ht="15" customHeight="1" x14ac:dyDescent="0.3">
      <c r="A307" s="2">
        <f t="shared" si="133"/>
        <v>306</v>
      </c>
      <c r="B307" s="3" t="s">
        <v>391</v>
      </c>
      <c r="C307" s="3" t="s">
        <v>441</v>
      </c>
      <c r="D307" s="3" t="s">
        <v>443</v>
      </c>
      <c r="E307" s="3"/>
      <c r="F307" s="4">
        <v>15</v>
      </c>
      <c r="G307" s="5">
        <v>1</v>
      </c>
      <c r="H307" s="5">
        <v>108</v>
      </c>
      <c r="I307" s="5">
        <v>76.3</v>
      </c>
      <c r="J307" s="5">
        <v>0</v>
      </c>
      <c r="K307" s="5">
        <v>20.6</v>
      </c>
      <c r="L307" s="5">
        <v>0.4</v>
      </c>
      <c r="M307" s="5">
        <v>0.4</v>
      </c>
      <c r="N307" s="5">
        <v>0</v>
      </c>
      <c r="O307" s="5">
        <v>0</v>
      </c>
      <c r="P307" s="5">
        <v>0</v>
      </c>
      <c r="Q307" s="5">
        <v>2.7</v>
      </c>
      <c r="R307" s="5">
        <v>0.96</v>
      </c>
      <c r="S307" s="5">
        <v>1.1000000000000001</v>
      </c>
      <c r="T307" s="5">
        <v>0.56999999999999995</v>
      </c>
      <c r="U307" s="5">
        <v>54</v>
      </c>
      <c r="V307" s="5">
        <v>21</v>
      </c>
      <c r="W307" s="5">
        <v>21</v>
      </c>
      <c r="X307" s="5">
        <v>0</v>
      </c>
      <c r="Y307" s="5">
        <v>0</v>
      </c>
      <c r="Z307" s="5">
        <v>0.67</v>
      </c>
      <c r="AA307" s="5">
        <v>7</v>
      </c>
      <c r="AB307" s="5">
        <v>0.11</v>
      </c>
      <c r="AC307" s="5">
        <v>0.15</v>
      </c>
      <c r="AD307" s="5">
        <v>6.6</v>
      </c>
      <c r="AE307" s="5">
        <v>0.5</v>
      </c>
      <c r="AF307" s="5">
        <v>6</v>
      </c>
      <c r="AG307" s="5">
        <v>3</v>
      </c>
      <c r="AH307" s="5">
        <v>0.33</v>
      </c>
      <c r="AI307" s="5">
        <v>0</v>
      </c>
      <c r="AJ307" s="5">
        <v>0</v>
      </c>
      <c r="AK307" s="5">
        <v>9.1999999999999993</v>
      </c>
      <c r="AL307" s="5">
        <v>216</v>
      </c>
      <c r="AM307" s="5">
        <v>4.8</v>
      </c>
      <c r="AN307" s="5">
        <v>5</v>
      </c>
      <c r="AO307" s="5">
        <v>4.9000000000000004</v>
      </c>
      <c r="AP307" s="5">
        <v>26</v>
      </c>
      <c r="AQ307" s="5">
        <v>44</v>
      </c>
      <c r="AR307" s="5">
        <v>377</v>
      </c>
      <c r="AS307" s="5">
        <v>2.4E-2</v>
      </c>
      <c r="AT307" s="5">
        <v>0.21</v>
      </c>
      <c r="AU307" s="5">
        <v>3</v>
      </c>
      <c r="AV307" s="5">
        <f>IFERROR(VLOOKUP(IFERROR(VLOOKUP(D307,Mapa_Similitud!$A$2:$B$2000,2,FALSE()),D307),Hoja1!$A$2:$K$1000,2,FALSE()),IFERROR(VLOOKUP(IFERROR(VLOOKUP(D307,Mapa_Similitud!$A$2:$B$2000,2,FALSE()),D307),Omega3_Referencia!$A$2:$E$100,3,FALSE()),0))</f>
        <v>0.03</v>
      </c>
      <c r="AW307" s="3" t="str">
        <f>IFERROR(VLOOKUP(IFERROR(VLOOKUP(D307,Mapa_Similitud!$A$2:$B$2000,2,FALSE()),D307),Hoja1!$A$2:$K$1000,3,FALSE()),IFERROR(VLOOKUP(IFERROR(VLOOKUP(D307,Mapa_Similitud!$A$2:$B$2000,2,FALSE()),D307),Omega3_Referencia!$A$2:$E$100,4,FALSE()),"N/A"))</f>
        <v>ALA</v>
      </c>
      <c r="AX307" s="5">
        <f>IFERROR(VLOOKUP(IFERROR(VLOOKUP(D307,Mapa_Similitud!$A$2:$B$2000,2,FALSE()),D307),Hoja1!$A$2:$K$1000,5,FALSE()),0)</f>
        <v>0.1</v>
      </c>
      <c r="AY307" s="5">
        <f>IFERROR(VLOOKUP(IFERROR(VLOOKUP(D307,Mapa_Similitud!$A$2:$B$2000,2,FALSE()),D307),Hoja1!$A$2:$K$1000,7,FALSE()),0)</f>
        <v>0</v>
      </c>
      <c r="AZ307" s="5">
        <f>IFERROR(VLOOKUP(IFERROR(VLOOKUP(D307,Mapa_Similitud!$A$2:$B$2000,2,FALSE()),D307),Hoja1!$A$2:$K$1000,9,FALSE()),0)</f>
        <v>0</v>
      </c>
      <c r="BA307" s="25">
        <f t="shared" si="116"/>
        <v>0.19074074074074077</v>
      </c>
      <c r="BB307" s="25">
        <f t="shared" si="117"/>
        <v>0</v>
      </c>
      <c r="BC307" s="25">
        <f t="shared" si="118"/>
        <v>8.5185185185185183E-2</v>
      </c>
      <c r="BD307" s="25">
        <f t="shared" si="119"/>
        <v>4.4444444444444446E-2</v>
      </c>
      <c r="BE307" s="25">
        <f t="shared" si="120"/>
        <v>0.40740740740740738</v>
      </c>
      <c r="BF307" s="25">
        <f t="shared" si="121"/>
        <v>0.59375</v>
      </c>
      <c r="BG307" s="25">
        <f t="shared" si="122"/>
        <v>4.2592592592592592E-2</v>
      </c>
      <c r="BH307" s="25">
        <f t="shared" si="123"/>
        <v>0.35555555555555551</v>
      </c>
      <c r="BI307" s="25">
        <f t="shared" si="124"/>
        <v>0.11671087533156499</v>
      </c>
      <c r="BJ307" s="25">
        <f t="shared" si="125"/>
        <v>0</v>
      </c>
      <c r="BK307" s="25">
        <f t="shared" si="126"/>
        <v>0</v>
      </c>
      <c r="BL307" s="25">
        <f t="shared" si="127"/>
        <v>0.22500000000000001</v>
      </c>
      <c r="BM307" s="25">
        <f t="shared" si="128"/>
        <v>0.24074074074074073</v>
      </c>
      <c r="BN307" s="18" t="str">
        <f t="shared" si="134"/>
        <v>Alta fuente de proteína</v>
      </c>
      <c r="BO307" s="18" t="str">
        <f t="shared" si="135"/>
        <v>Baja fuente de fibra</v>
      </c>
      <c r="BP307" s="18" t="str">
        <f t="shared" si="136"/>
        <v>Baja fuente de calcio</v>
      </c>
      <c r="BQ307" s="18" t="str">
        <f t="shared" si="137"/>
        <v>Alta fuente de hierro</v>
      </c>
      <c r="BR307" s="18" t="str">
        <f t="shared" si="138"/>
        <v>Bajo en sodio</v>
      </c>
      <c r="BS307" s="6" t="str">
        <f t="shared" si="129"/>
        <v>Neutro</v>
      </c>
      <c r="BT307" s="6" t="str">
        <f t="shared" si="130"/>
        <v>Moderado en grasas</v>
      </c>
      <c r="BU307" s="18" t="str">
        <f t="shared" si="139"/>
        <v>Equilibrio de líquidos ideal</v>
      </c>
      <c r="BV307" s="18" t="str">
        <f t="shared" si="140"/>
        <v>Media fuente de magnesio</v>
      </c>
      <c r="BW307" s="18" t="str">
        <f t="shared" si="141"/>
        <v>Sin aporte de Omega 3</v>
      </c>
      <c r="BX307" s="18" t="str">
        <f t="shared" si="142"/>
        <v>Contiene grasas trans</v>
      </c>
      <c r="BY307" s="18" t="str">
        <f t="shared" si="143"/>
        <v>Bajo poder antioxidante</v>
      </c>
      <c r="BZ307" s="6" t="str">
        <f t="shared" si="131"/>
        <v>Sin probióticos</v>
      </c>
      <c r="CA307" s="18" t="str">
        <f t="shared" si="144"/>
        <v>Moderadamente inflamatorio</v>
      </c>
      <c r="CB307" s="18" t="str">
        <f>IF(ISNUMBER(SEARCH("miel", D307)), "No irritante (Uso condicionado SII)", IF(OR(J307&gt;0, ISNUMBER(SEARCH("cacao", D307)), ISNUMBER(SEARCH("chocolate puro", D307))), "Altamente irritante", IF(OR(AND(O307&gt;15, BI307&gt;1), ISNUMBER(SEARCH("chocolate", D307))), "Moderadamente irritante", "No irritante")))</f>
        <v>No irritante</v>
      </c>
      <c r="CC307" s="6" t="str">
        <f t="shared" si="132"/>
        <v>Exceso relativo de Omega 6</v>
      </c>
    </row>
    <row r="308" spans="1:81" ht="15" customHeight="1" x14ac:dyDescent="0.3">
      <c r="A308" s="2">
        <f t="shared" si="133"/>
        <v>307</v>
      </c>
      <c r="B308" s="3" t="s">
        <v>391</v>
      </c>
      <c r="C308" s="3" t="s">
        <v>441</v>
      </c>
      <c r="D308" s="3" t="s">
        <v>444</v>
      </c>
      <c r="E308" s="3"/>
      <c r="F308" s="4">
        <v>10</v>
      </c>
      <c r="G308" s="5">
        <v>0.68</v>
      </c>
      <c r="H308" s="5">
        <v>204</v>
      </c>
      <c r="I308" s="5">
        <v>66.2</v>
      </c>
      <c r="J308" s="5">
        <v>0</v>
      </c>
      <c r="K308" s="5">
        <v>18.100000000000001</v>
      </c>
      <c r="L308" s="5">
        <v>0.4</v>
      </c>
      <c r="M308" s="5">
        <v>0</v>
      </c>
      <c r="N308" s="5">
        <v>0.4</v>
      </c>
      <c r="O308" s="5">
        <v>0</v>
      </c>
      <c r="P308" s="5">
        <v>0</v>
      </c>
      <c r="Q308" s="5">
        <v>14.4</v>
      </c>
      <c r="R308" s="5">
        <v>5.7</v>
      </c>
      <c r="S308" s="5">
        <v>2.9</v>
      </c>
      <c r="T308" s="5">
        <v>4.4000000000000004</v>
      </c>
      <c r="U308" s="5">
        <v>65</v>
      </c>
      <c r="V308" s="5">
        <v>0.34</v>
      </c>
      <c r="W308" s="5">
        <v>0.34</v>
      </c>
      <c r="X308" s="5">
        <v>0</v>
      </c>
      <c r="Y308" s="5">
        <v>0</v>
      </c>
      <c r="Z308" s="5">
        <v>0.4</v>
      </c>
      <c r="AA308" s="5">
        <v>4</v>
      </c>
      <c r="AB308" s="5">
        <v>0</v>
      </c>
      <c r="AC308" s="5">
        <v>0.09</v>
      </c>
      <c r="AD308" s="5">
        <v>3</v>
      </c>
      <c r="AE308" s="5">
        <v>0.59</v>
      </c>
      <c r="AF308" s="5">
        <v>6</v>
      </c>
      <c r="AG308" s="5">
        <v>11.6</v>
      </c>
      <c r="AH308" s="5">
        <v>0.95</v>
      </c>
      <c r="AI308" s="5">
        <v>1.2</v>
      </c>
      <c r="AJ308" s="5">
        <v>0</v>
      </c>
      <c r="AK308" s="5">
        <v>22.8</v>
      </c>
      <c r="AL308" s="5">
        <v>216</v>
      </c>
      <c r="AM308" s="5">
        <v>1.5</v>
      </c>
      <c r="AN308" s="5">
        <v>1.8</v>
      </c>
      <c r="AO308" s="5">
        <v>1.4</v>
      </c>
      <c r="AP308" s="5">
        <v>24.9</v>
      </c>
      <c r="AQ308" s="5">
        <v>78</v>
      </c>
      <c r="AR308" s="5">
        <v>350</v>
      </c>
      <c r="AS308" s="5">
        <v>3.7999999999999999E-2</v>
      </c>
      <c r="AT308" s="5">
        <v>0.15</v>
      </c>
      <c r="AU308" s="5">
        <v>10</v>
      </c>
      <c r="AV308" s="5">
        <f>IFERROR(VLOOKUP(IFERROR(VLOOKUP(D308,Mapa_Similitud!$A$2:$B$2000,2,FALSE()),D308),Hoja1!$A$2:$K$1000,2,FALSE()),IFERROR(VLOOKUP(IFERROR(VLOOKUP(D308,Mapa_Similitud!$A$2:$B$2000,2,FALSE()),D308),Omega3_Referencia!$A$2:$E$100,3,FALSE()),0))</f>
        <v>0.04</v>
      </c>
      <c r="AW308" s="3" t="str">
        <f>IFERROR(VLOOKUP(IFERROR(VLOOKUP(D308,Mapa_Similitud!$A$2:$B$2000,2,FALSE()),D308),Hoja1!$A$2:$K$1000,3,FALSE()),IFERROR(VLOOKUP(IFERROR(VLOOKUP(D308,Mapa_Similitud!$A$2:$B$2000,2,FALSE()),D308),Omega3_Referencia!$A$2:$E$100,4,FALSE()),"N/A"))</f>
        <v>ALA</v>
      </c>
      <c r="AX308" s="5">
        <f>IFERROR(VLOOKUP(IFERROR(VLOOKUP(D308,Mapa_Similitud!$A$2:$B$2000,2,FALSE()),D308),Hoja1!$A$2:$K$1000,5,FALSE()),0)</f>
        <v>0.1</v>
      </c>
      <c r="AY308" s="5">
        <f>IFERROR(VLOOKUP(IFERROR(VLOOKUP(D308,Mapa_Similitud!$A$2:$B$2000,2,FALSE()),D308),Hoja1!$A$2:$K$1000,7,FALSE()),0)</f>
        <v>0</v>
      </c>
      <c r="AZ308" s="5">
        <f>IFERROR(VLOOKUP(IFERROR(VLOOKUP(D308,Mapa_Similitud!$A$2:$B$2000,2,FALSE()),D308),Hoja1!$A$2:$K$1000,9,FALSE()),0)</f>
        <v>0</v>
      </c>
      <c r="BA308" s="25">
        <f t="shared" si="116"/>
        <v>8.8725490196078435E-2</v>
      </c>
      <c r="BB308" s="25">
        <f t="shared" si="117"/>
        <v>0</v>
      </c>
      <c r="BC308" s="25">
        <f t="shared" si="118"/>
        <v>0.11176470588235295</v>
      </c>
      <c r="BD308" s="25">
        <f t="shared" si="119"/>
        <v>7.3529411764705881E-3</v>
      </c>
      <c r="BE308" s="25">
        <f t="shared" si="120"/>
        <v>0.38235294117647056</v>
      </c>
      <c r="BF308" s="25">
        <f t="shared" si="121"/>
        <v>0.77192982456140358</v>
      </c>
      <c r="BG308" s="25">
        <f t="shared" si="122"/>
        <v>0.10555555555555556</v>
      </c>
      <c r="BH308" s="25">
        <f t="shared" si="123"/>
        <v>0.39583333333333331</v>
      </c>
      <c r="BI308" s="25">
        <f t="shared" si="124"/>
        <v>0.22285714285714286</v>
      </c>
      <c r="BJ308" s="25">
        <f t="shared" si="125"/>
        <v>1</v>
      </c>
      <c r="BK308" s="25">
        <f t="shared" si="126"/>
        <v>0</v>
      </c>
      <c r="BL308" s="25">
        <f t="shared" si="127"/>
        <v>0.63529411764705879</v>
      </c>
      <c r="BM308" s="25">
        <f t="shared" si="128"/>
        <v>0.12205882352941176</v>
      </c>
      <c r="BN308" s="18" t="str">
        <f t="shared" si="134"/>
        <v>Baja fuente de proteína</v>
      </c>
      <c r="BO308" s="18" t="str">
        <f t="shared" si="135"/>
        <v>Baja fuente de fibra</v>
      </c>
      <c r="BP308" s="18" t="str">
        <f t="shared" si="136"/>
        <v>Baja fuente de calcio</v>
      </c>
      <c r="BQ308" s="18" t="str">
        <f t="shared" si="137"/>
        <v>Baja fuente de hierro</v>
      </c>
      <c r="BR308" s="18" t="str">
        <f t="shared" si="138"/>
        <v>Bajo en sodio</v>
      </c>
      <c r="BS308" s="6" t="str">
        <f t="shared" si="129"/>
        <v>Neutro</v>
      </c>
      <c r="BT308" s="6" t="str">
        <f t="shared" si="130"/>
        <v>Muy alto en grasas</v>
      </c>
      <c r="BU308" s="18" t="str">
        <f t="shared" si="139"/>
        <v>Equilibrio de líquidos ideal</v>
      </c>
      <c r="BV308" s="18" t="str">
        <f t="shared" si="140"/>
        <v>Baja fuente de magnesio</v>
      </c>
      <c r="BW308" s="18" t="str">
        <f t="shared" si="141"/>
        <v>Sin aporte de Omega 3</v>
      </c>
      <c r="BX308" s="18" t="str">
        <f t="shared" si="142"/>
        <v>Contiene grasas trans</v>
      </c>
      <c r="BY308" s="18" t="str">
        <f t="shared" si="143"/>
        <v>Bajo poder antioxidante</v>
      </c>
      <c r="BZ308" s="6" t="str">
        <f t="shared" si="131"/>
        <v>Sin probióticos</v>
      </c>
      <c r="CA308" s="18" t="str">
        <f t="shared" si="144"/>
        <v>Moderadamente inflamatorio</v>
      </c>
      <c r="CB308" s="18" t="str">
        <f>IF(ISNUMBER(SEARCH("miel", D308)), "No irritante (Uso condicionado SII)", IF(OR(J308&gt;0, ISNUMBER(SEARCH("cacao", D308)), ISNUMBER(SEARCH("chocolate puro", D308))), "Altamente irritante", IF(OR(AND(O308&gt;15, BI308&gt;1), ISNUMBER(SEARCH("chocolate", D308))), "Moderadamente irritante", "No irritante")))</f>
        <v>No irritante</v>
      </c>
      <c r="CC308" s="6" t="str">
        <f t="shared" si="132"/>
        <v>Exceso relativo de Omega 6</v>
      </c>
    </row>
    <row r="309" spans="1:81" ht="15" customHeight="1" x14ac:dyDescent="0.3">
      <c r="A309" s="2">
        <f t="shared" si="133"/>
        <v>308</v>
      </c>
      <c r="B309" s="3" t="s">
        <v>391</v>
      </c>
      <c r="C309" s="3" t="s">
        <v>441</v>
      </c>
      <c r="D309" s="3" t="s">
        <v>445</v>
      </c>
      <c r="E309" s="3"/>
      <c r="F309" s="4">
        <v>3.5</v>
      </c>
      <c r="G309" s="5">
        <v>0.62</v>
      </c>
      <c r="H309" s="5">
        <v>88.4</v>
      </c>
      <c r="I309" s="5">
        <v>74.900000000000006</v>
      </c>
      <c r="J309" s="5">
        <v>0</v>
      </c>
      <c r="K309" s="5">
        <v>10.4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5.2</v>
      </c>
      <c r="R309" s="5">
        <v>1.8</v>
      </c>
      <c r="S309" s="5">
        <v>1.4</v>
      </c>
      <c r="T309" s="5">
        <v>1.5</v>
      </c>
      <c r="U309" s="5">
        <v>52</v>
      </c>
      <c r="V309" s="5">
        <v>0</v>
      </c>
      <c r="W309" s="5">
        <v>0</v>
      </c>
      <c r="X309" s="5">
        <v>0</v>
      </c>
      <c r="Y309" s="5">
        <v>0</v>
      </c>
      <c r="Z309" s="5">
        <v>0.09</v>
      </c>
      <c r="AA309" s="5">
        <v>4</v>
      </c>
      <c r="AB309" s="5">
        <v>0.03</v>
      </c>
      <c r="AC309" s="5">
        <v>0.3</v>
      </c>
      <c r="AD309" s="5">
        <v>6.3</v>
      </c>
      <c r="AE309" s="5">
        <v>0.44</v>
      </c>
      <c r="AF309" s="5">
        <v>4</v>
      </c>
      <c r="AG309" s="5">
        <v>8.8000000000000007</v>
      </c>
      <c r="AH309" s="5">
        <v>0.7</v>
      </c>
      <c r="AI309" s="5">
        <v>0.9</v>
      </c>
      <c r="AJ309" s="5">
        <v>0</v>
      </c>
      <c r="AK309" s="5">
        <v>22</v>
      </c>
      <c r="AL309" s="5">
        <v>220</v>
      </c>
      <c r="AM309" s="5">
        <v>1</v>
      </c>
      <c r="AN309" s="5">
        <v>5</v>
      </c>
      <c r="AO309" s="5">
        <v>3.9</v>
      </c>
      <c r="AP309" s="5">
        <v>22</v>
      </c>
      <c r="AQ309" s="5">
        <v>67</v>
      </c>
      <c r="AR309" s="5">
        <v>360</v>
      </c>
      <c r="AS309" s="5">
        <v>0.01</v>
      </c>
      <c r="AT309" s="5">
        <v>0.06</v>
      </c>
      <c r="AU309" s="5">
        <v>17</v>
      </c>
      <c r="AV309" s="5">
        <f>IFERROR(VLOOKUP(IFERROR(VLOOKUP(D309,Mapa_Similitud!$A$2:$B$2000,2,FALSE()),D309),Hoja1!$A$2:$K$1000,2,FALSE()),IFERROR(VLOOKUP(IFERROR(VLOOKUP(D309,Mapa_Similitud!$A$2:$B$2000,2,FALSE()),D309),Omega3_Referencia!$A$2:$E$100,3,FALSE()),0))</f>
        <v>0.02</v>
      </c>
      <c r="AW309" s="3" t="str">
        <f>IFERROR(VLOOKUP(IFERROR(VLOOKUP(D309,Mapa_Similitud!$A$2:$B$2000,2,FALSE()),D309),Hoja1!$A$2:$K$1000,3,FALSE()),IFERROR(VLOOKUP(IFERROR(VLOOKUP(D309,Mapa_Similitud!$A$2:$B$2000,2,FALSE()),D309),Omega3_Referencia!$A$2:$E$100,4,FALSE()),"N/A"))</f>
        <v>ALA</v>
      </c>
      <c r="AX309" s="5">
        <f>IFERROR(VLOOKUP(IFERROR(VLOOKUP(D309,Mapa_Similitud!$A$2:$B$2000,2,FALSE()),D309),Hoja1!$A$2:$K$1000,5,FALSE()),0)</f>
        <v>0.1</v>
      </c>
      <c r="AY309" s="5">
        <f>IFERROR(VLOOKUP(IFERROR(VLOOKUP(D309,Mapa_Similitud!$A$2:$B$2000,2,FALSE()),D309),Hoja1!$A$2:$K$1000,7,FALSE()),0)</f>
        <v>0</v>
      </c>
      <c r="AZ309" s="5">
        <f>IFERROR(VLOOKUP(IFERROR(VLOOKUP(D309,Mapa_Similitud!$A$2:$B$2000,2,FALSE()),D309),Hoja1!$A$2:$K$1000,9,FALSE()),0)</f>
        <v>0</v>
      </c>
      <c r="BA309" s="25">
        <f t="shared" si="116"/>
        <v>0.11764705882352941</v>
      </c>
      <c r="BB309" s="25">
        <f t="shared" si="117"/>
        <v>0</v>
      </c>
      <c r="BC309" s="25">
        <f t="shared" si="118"/>
        <v>0.24886877828054296</v>
      </c>
      <c r="BD309" s="25">
        <f t="shared" si="119"/>
        <v>1.1312217194570135E-2</v>
      </c>
      <c r="BE309" s="25">
        <f t="shared" si="120"/>
        <v>0.75791855203619907</v>
      </c>
      <c r="BF309" s="25">
        <f t="shared" si="121"/>
        <v>0.83333333333333326</v>
      </c>
      <c r="BG309" s="25">
        <f t="shared" si="122"/>
        <v>0.1</v>
      </c>
      <c r="BH309" s="25">
        <f t="shared" si="123"/>
        <v>0.34615384615384615</v>
      </c>
      <c r="BI309" s="25">
        <f t="shared" si="124"/>
        <v>0.18611111111111112</v>
      </c>
      <c r="BJ309" s="25">
        <f t="shared" si="125"/>
        <v>0</v>
      </c>
      <c r="BK309" s="25">
        <f t="shared" si="126"/>
        <v>0</v>
      </c>
      <c r="BL309" s="25">
        <f t="shared" si="127"/>
        <v>0.52941176470588236</v>
      </c>
      <c r="BM309" s="25">
        <f t="shared" si="128"/>
        <v>0.24886877828054296</v>
      </c>
      <c r="BN309" s="18" t="str">
        <f t="shared" si="134"/>
        <v>Media fuente de proteína</v>
      </c>
      <c r="BO309" s="18" t="str">
        <f t="shared" si="135"/>
        <v>Baja fuente de fibra</v>
      </c>
      <c r="BP309" s="18" t="str">
        <f t="shared" si="136"/>
        <v>Baja fuente de calcio</v>
      </c>
      <c r="BQ309" s="18" t="str">
        <f t="shared" si="137"/>
        <v>Media fuente de hierro</v>
      </c>
      <c r="BR309" s="18" t="str">
        <f t="shared" si="138"/>
        <v>Moderado en sodio</v>
      </c>
      <c r="BS309" s="6" t="str">
        <f t="shared" si="129"/>
        <v>Neutro</v>
      </c>
      <c r="BT309" s="6" t="str">
        <f t="shared" si="130"/>
        <v>Muy alto en grasas</v>
      </c>
      <c r="BU309" s="18" t="str">
        <f t="shared" si="139"/>
        <v>Equilibrio de líquidos ideal</v>
      </c>
      <c r="BV309" s="18" t="str">
        <f t="shared" si="140"/>
        <v>Media fuente de magnesio</v>
      </c>
      <c r="BW309" s="18" t="str">
        <f t="shared" si="141"/>
        <v>Sin aporte de Omega 3</v>
      </c>
      <c r="BX309" s="18" t="str">
        <f t="shared" si="142"/>
        <v>Contiene grasas trans</v>
      </c>
      <c r="BY309" s="18" t="str">
        <f t="shared" si="143"/>
        <v>Bajo poder antioxidante</v>
      </c>
      <c r="BZ309" s="6" t="str">
        <f t="shared" si="131"/>
        <v>Sin probióticos</v>
      </c>
      <c r="CA309" s="18" t="str">
        <f t="shared" si="144"/>
        <v>Moderadamente inflamatorio</v>
      </c>
      <c r="CB309" s="18" t="str">
        <f>IF(ISNUMBER(SEARCH("miel", D309)), "No irritante (Uso condicionado SII)", IF(OR(J309&gt;0, ISNUMBER(SEARCH("cacao", D309)), ISNUMBER(SEARCH("chocolate puro", D309))), "Altamente irritante", IF(OR(AND(O309&gt;15, BI309&gt;1), ISNUMBER(SEARCH("chocolate", D309))), "Moderadamente irritante", "No irritante")))</f>
        <v>No irritante</v>
      </c>
      <c r="CC309" s="6" t="str">
        <f t="shared" si="132"/>
        <v>Exceso relativo de Omega 6</v>
      </c>
    </row>
    <row r="310" spans="1:81" ht="15" customHeight="1" x14ac:dyDescent="0.3">
      <c r="A310" s="2">
        <f t="shared" si="133"/>
        <v>309</v>
      </c>
      <c r="B310" s="3" t="s">
        <v>391</v>
      </c>
      <c r="C310" s="3" t="s">
        <v>441</v>
      </c>
      <c r="D310" s="3" t="s">
        <v>446</v>
      </c>
      <c r="E310" s="3"/>
      <c r="F310" s="4">
        <v>12</v>
      </c>
      <c r="G310" s="5">
        <v>0.68</v>
      </c>
      <c r="H310" s="5">
        <v>138</v>
      </c>
      <c r="I310" s="5">
        <v>70.900000000000006</v>
      </c>
      <c r="J310" s="5">
        <v>0</v>
      </c>
      <c r="K310" s="5">
        <v>22.1</v>
      </c>
      <c r="L310" s="5">
        <v>0.5</v>
      </c>
      <c r="M310" s="5">
        <v>0</v>
      </c>
      <c r="N310" s="5">
        <v>0</v>
      </c>
      <c r="O310" s="5">
        <v>0</v>
      </c>
      <c r="P310" s="5">
        <v>0</v>
      </c>
      <c r="Q310" s="5">
        <v>5.3</v>
      </c>
      <c r="R310" s="5">
        <v>2.1</v>
      </c>
      <c r="S310" s="5">
        <v>1.1000000000000001</v>
      </c>
      <c r="T310" s="5">
        <v>1.6</v>
      </c>
      <c r="U310" s="5">
        <v>65</v>
      </c>
      <c r="V310" s="5">
        <v>0</v>
      </c>
      <c r="W310" s="5">
        <v>0</v>
      </c>
      <c r="X310" s="5">
        <v>0</v>
      </c>
      <c r="Y310" s="5">
        <v>0</v>
      </c>
      <c r="Z310" s="5">
        <v>0.16</v>
      </c>
      <c r="AA310" s="5">
        <v>4</v>
      </c>
      <c r="AB310" s="5">
        <v>0.17</v>
      </c>
      <c r="AC310" s="5">
        <v>0.11</v>
      </c>
      <c r="AD310" s="5">
        <v>3.7</v>
      </c>
      <c r="AE310" s="5">
        <v>0.5</v>
      </c>
      <c r="AF310" s="5">
        <v>5</v>
      </c>
      <c r="AG310" s="5">
        <v>10</v>
      </c>
      <c r="AH310" s="5">
        <v>0.8</v>
      </c>
      <c r="AI310" s="5">
        <v>1</v>
      </c>
      <c r="AJ310" s="5">
        <v>0</v>
      </c>
      <c r="AK310" s="5">
        <v>17</v>
      </c>
      <c r="AL310" s="5">
        <v>180</v>
      </c>
      <c r="AM310" s="5">
        <v>1.3</v>
      </c>
      <c r="AN310" s="5">
        <v>5</v>
      </c>
      <c r="AO310" s="5">
        <v>4.5</v>
      </c>
      <c r="AP310" s="5">
        <v>26</v>
      </c>
      <c r="AQ310" s="5">
        <v>67</v>
      </c>
      <c r="AR310" s="5">
        <v>360</v>
      </c>
      <c r="AS310" s="5">
        <v>0.01</v>
      </c>
      <c r="AT310" s="5">
        <v>7.0000000000000007E-2</v>
      </c>
      <c r="AU310" s="5">
        <v>20</v>
      </c>
      <c r="AV310" s="5">
        <f>IFERROR(VLOOKUP(IFERROR(VLOOKUP(D310,Mapa_Similitud!$A$2:$B$2000,2,FALSE()),D310),Hoja1!$A$2:$K$1000,2,FALSE()),IFERROR(VLOOKUP(IFERROR(VLOOKUP(D310,Mapa_Similitud!$A$2:$B$2000,2,FALSE()),D310),Omega3_Referencia!$A$2:$E$100,3,FALSE()),0))</f>
        <v>0.03</v>
      </c>
      <c r="AW310" s="3" t="str">
        <f>IFERROR(VLOOKUP(IFERROR(VLOOKUP(D310,Mapa_Similitud!$A$2:$B$2000,2,FALSE()),D310),Hoja1!$A$2:$K$1000,3,FALSE()),IFERROR(VLOOKUP(IFERROR(VLOOKUP(D310,Mapa_Similitud!$A$2:$B$2000,2,FALSE()),D310),Omega3_Referencia!$A$2:$E$100,4,FALSE()),"N/A"))</f>
        <v>ALA</v>
      </c>
      <c r="AX310" s="5">
        <f>IFERROR(VLOOKUP(IFERROR(VLOOKUP(D310,Mapa_Similitud!$A$2:$B$2000,2,FALSE()),D310),Hoja1!$A$2:$K$1000,5,FALSE()),0)</f>
        <v>0.1</v>
      </c>
      <c r="AY310" s="5">
        <f>IFERROR(VLOOKUP(IFERROR(VLOOKUP(D310,Mapa_Similitud!$A$2:$B$2000,2,FALSE()),D310),Hoja1!$A$2:$K$1000,7,FALSE()),0)</f>
        <v>0</v>
      </c>
      <c r="AZ310" s="5">
        <f>IFERROR(VLOOKUP(IFERROR(VLOOKUP(D310,Mapa_Similitud!$A$2:$B$2000,2,FALSE()),D310),Hoja1!$A$2:$K$1000,9,FALSE()),0)</f>
        <v>0</v>
      </c>
      <c r="BA310" s="25">
        <f t="shared" si="116"/>
        <v>0.16014492753623188</v>
      </c>
      <c r="BB310" s="25">
        <f t="shared" si="117"/>
        <v>0</v>
      </c>
      <c r="BC310" s="25">
        <f t="shared" si="118"/>
        <v>0.12318840579710146</v>
      </c>
      <c r="BD310" s="25">
        <f t="shared" si="119"/>
        <v>9.4202898550724643E-3</v>
      </c>
      <c r="BE310" s="25">
        <f t="shared" si="120"/>
        <v>0.48550724637681159</v>
      </c>
      <c r="BF310" s="25">
        <f t="shared" si="121"/>
        <v>0.76190476190476186</v>
      </c>
      <c r="BG310" s="25">
        <f t="shared" si="122"/>
        <v>9.4444444444444442E-2</v>
      </c>
      <c r="BH310" s="25">
        <f t="shared" si="123"/>
        <v>0.39622641509433965</v>
      </c>
      <c r="BI310" s="25">
        <f t="shared" si="124"/>
        <v>0.18611111111111112</v>
      </c>
      <c r="BJ310" s="25">
        <f t="shared" si="125"/>
        <v>0</v>
      </c>
      <c r="BK310" s="25">
        <f t="shared" si="126"/>
        <v>0</v>
      </c>
      <c r="BL310" s="25">
        <f t="shared" si="127"/>
        <v>0.34565217391304343</v>
      </c>
      <c r="BM310" s="25">
        <f t="shared" si="128"/>
        <v>0.18840579710144928</v>
      </c>
      <c r="BN310" s="18" t="str">
        <f t="shared" si="134"/>
        <v>Alta fuente de proteína</v>
      </c>
      <c r="BO310" s="18" t="str">
        <f t="shared" si="135"/>
        <v>Baja fuente de fibra</v>
      </c>
      <c r="BP310" s="18" t="str">
        <f t="shared" si="136"/>
        <v>Baja fuente de calcio</v>
      </c>
      <c r="BQ310" s="18" t="str">
        <f t="shared" si="137"/>
        <v>Media fuente de hierro</v>
      </c>
      <c r="BR310" s="18" t="str">
        <f t="shared" si="138"/>
        <v>Bajo en sodio</v>
      </c>
      <c r="BS310" s="6" t="str">
        <f t="shared" si="129"/>
        <v>Neutro</v>
      </c>
      <c r="BT310" s="6" t="str">
        <f t="shared" si="130"/>
        <v>Alto en grasas</v>
      </c>
      <c r="BU310" s="18" t="str">
        <f t="shared" si="139"/>
        <v>Equilibrio de líquidos ideal</v>
      </c>
      <c r="BV310" s="18" t="str">
        <f t="shared" si="140"/>
        <v>Baja fuente de magnesio</v>
      </c>
      <c r="BW310" s="18" t="str">
        <f t="shared" si="141"/>
        <v>Sin aporte de Omega 3</v>
      </c>
      <c r="BX310" s="18" t="str">
        <f t="shared" si="142"/>
        <v>Contiene grasas trans</v>
      </c>
      <c r="BY310" s="18" t="str">
        <f t="shared" si="143"/>
        <v>Bajo poder antioxidante</v>
      </c>
      <c r="BZ310" s="6" t="str">
        <f t="shared" si="131"/>
        <v>Sin probióticos</v>
      </c>
      <c r="CA310" s="18" t="str">
        <f t="shared" si="144"/>
        <v>Moderadamente inflamatorio</v>
      </c>
      <c r="CB310" s="18" t="str">
        <f>IF(ISNUMBER(SEARCH("miel", D310)), "No irritante (Uso condicionado SII)", IF(OR(J310&gt;0, ISNUMBER(SEARCH("cacao", D310)), ISNUMBER(SEARCH("chocolate puro", D310))), "Altamente irritante", IF(OR(AND(O310&gt;15, BI310&gt;1), ISNUMBER(SEARCH("chocolate", D310))), "Moderadamente irritante", "No irritante")))</f>
        <v>No irritante</v>
      </c>
      <c r="CC310" s="6" t="str">
        <f t="shared" si="132"/>
        <v>Exceso relativo de Omega 6</v>
      </c>
    </row>
    <row r="311" spans="1:81" ht="15" customHeight="1" x14ac:dyDescent="0.3">
      <c r="A311" s="2">
        <f t="shared" si="133"/>
        <v>310</v>
      </c>
      <c r="B311" s="3" t="s">
        <v>391</v>
      </c>
      <c r="C311" s="3" t="s">
        <v>441</v>
      </c>
      <c r="D311" s="3" t="s">
        <v>447</v>
      </c>
      <c r="E311" s="3"/>
      <c r="F311" s="4">
        <v>5</v>
      </c>
      <c r="G311" s="5">
        <v>0.8</v>
      </c>
      <c r="H311" s="5">
        <v>113</v>
      </c>
      <c r="I311" s="5">
        <v>75.400000000000006</v>
      </c>
      <c r="J311" s="5">
        <v>0</v>
      </c>
      <c r="K311" s="5">
        <v>21.6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3</v>
      </c>
      <c r="R311" s="5">
        <v>0.9</v>
      </c>
      <c r="S311" s="5">
        <v>0.82</v>
      </c>
      <c r="T311" s="5">
        <v>0.57999999999999996</v>
      </c>
      <c r="U311" s="5">
        <v>65</v>
      </c>
      <c r="V311" s="5">
        <v>0</v>
      </c>
      <c r="W311" s="5">
        <v>0</v>
      </c>
      <c r="X311" s="5">
        <v>0</v>
      </c>
      <c r="Y311" s="5">
        <v>0</v>
      </c>
      <c r="Z311" s="5">
        <v>0.27</v>
      </c>
      <c r="AA311" s="5">
        <v>6</v>
      </c>
      <c r="AB311" s="5">
        <v>0.09</v>
      </c>
      <c r="AC311" s="5">
        <v>0.06</v>
      </c>
      <c r="AD311" s="5">
        <v>10.5</v>
      </c>
      <c r="AE311" s="5">
        <v>0.3</v>
      </c>
      <c r="AF311" s="5">
        <v>5</v>
      </c>
      <c r="AG311" s="5">
        <v>1</v>
      </c>
      <c r="AH311" s="5">
        <v>0.8</v>
      </c>
      <c r="AI311" s="5">
        <v>0</v>
      </c>
      <c r="AJ311" s="5">
        <v>0</v>
      </c>
      <c r="AK311" s="5">
        <v>14</v>
      </c>
      <c r="AL311" s="5">
        <v>210</v>
      </c>
      <c r="AM311" s="5">
        <v>2.8</v>
      </c>
      <c r="AN311" s="5">
        <v>2</v>
      </c>
      <c r="AO311" s="5">
        <v>2.2000000000000002</v>
      </c>
      <c r="AP311" s="5">
        <v>24</v>
      </c>
      <c r="AQ311" s="5">
        <v>44</v>
      </c>
      <c r="AR311" s="5">
        <v>276</v>
      </c>
      <c r="AS311" s="5">
        <v>0.04</v>
      </c>
      <c r="AT311" s="5">
        <v>0.22</v>
      </c>
      <c r="AU311" s="5">
        <v>17</v>
      </c>
      <c r="AV311" s="5">
        <f>IFERROR(VLOOKUP(IFERROR(VLOOKUP(D311,Mapa_Similitud!$A$2:$B$2000,2,FALSE()),D311),Hoja1!$A$2:$K$1000,2,FALSE()),IFERROR(VLOOKUP(IFERROR(VLOOKUP(D311,Mapa_Similitud!$A$2:$B$2000,2,FALSE()),D311),Omega3_Referencia!$A$2:$E$100,3,FALSE()),0))</f>
        <v>0.02</v>
      </c>
      <c r="AW311" s="3" t="str">
        <f>IFERROR(VLOOKUP(IFERROR(VLOOKUP(D311,Mapa_Similitud!$A$2:$B$2000,2,FALSE()),D311),Hoja1!$A$2:$K$1000,3,FALSE()),IFERROR(VLOOKUP(IFERROR(VLOOKUP(D311,Mapa_Similitud!$A$2:$B$2000,2,FALSE()),D311),Omega3_Referencia!$A$2:$E$100,4,FALSE()),"N/A"))</f>
        <v>ALA</v>
      </c>
      <c r="AX311" s="5">
        <f>IFERROR(VLOOKUP(IFERROR(VLOOKUP(D311,Mapa_Similitud!$A$2:$B$2000,2,FALSE()),D311),Hoja1!$A$2:$K$1000,5,FALSE()),0)</f>
        <v>0.1</v>
      </c>
      <c r="AY311" s="5">
        <f>IFERROR(VLOOKUP(IFERROR(VLOOKUP(D311,Mapa_Similitud!$A$2:$B$2000,2,FALSE()),D311),Hoja1!$A$2:$K$1000,7,FALSE()),0)</f>
        <v>0</v>
      </c>
      <c r="AZ311" s="5">
        <f>IFERROR(VLOOKUP(IFERROR(VLOOKUP(D311,Mapa_Similitud!$A$2:$B$2000,2,FALSE()),D311),Hoja1!$A$2:$K$1000,9,FALSE()),0)</f>
        <v>0</v>
      </c>
      <c r="BA311" s="25">
        <f t="shared" si="116"/>
        <v>0.19115044247787613</v>
      </c>
      <c r="BB311" s="25">
        <f t="shared" si="117"/>
        <v>0</v>
      </c>
      <c r="BC311" s="25">
        <f t="shared" si="118"/>
        <v>0.12389380530973451</v>
      </c>
      <c r="BD311" s="25">
        <f t="shared" si="119"/>
        <v>2.4778761061946902E-2</v>
      </c>
      <c r="BE311" s="25">
        <f t="shared" si="120"/>
        <v>0.38938053097345132</v>
      </c>
      <c r="BF311" s="25">
        <f t="shared" si="121"/>
        <v>0.64444444444444438</v>
      </c>
      <c r="BG311" s="25">
        <f t="shared" si="122"/>
        <v>6.6666666666666666E-2</v>
      </c>
      <c r="BH311" s="25">
        <f t="shared" si="123"/>
        <v>0.3</v>
      </c>
      <c r="BI311" s="25">
        <f t="shared" si="124"/>
        <v>0.15942028985507245</v>
      </c>
      <c r="BJ311" s="25">
        <f t="shared" si="125"/>
        <v>0</v>
      </c>
      <c r="BK311" s="25">
        <f t="shared" si="126"/>
        <v>0</v>
      </c>
      <c r="BL311" s="25">
        <f t="shared" si="127"/>
        <v>0.23893805309734514</v>
      </c>
      <c r="BM311" s="25">
        <f t="shared" si="128"/>
        <v>0.21238938053097345</v>
      </c>
      <c r="BN311" s="18" t="str">
        <f t="shared" si="134"/>
        <v>Alta fuente de proteína</v>
      </c>
      <c r="BO311" s="18" t="str">
        <f t="shared" si="135"/>
        <v>Baja fuente de fibra</v>
      </c>
      <c r="BP311" s="18" t="str">
        <f t="shared" si="136"/>
        <v>Baja fuente de calcio</v>
      </c>
      <c r="BQ311" s="18" t="str">
        <f t="shared" si="137"/>
        <v>Alta fuente de hierro</v>
      </c>
      <c r="BR311" s="18" t="str">
        <f t="shared" si="138"/>
        <v>Bajo en sodio</v>
      </c>
      <c r="BS311" s="6" t="str">
        <f t="shared" si="129"/>
        <v>Neutro</v>
      </c>
      <c r="BT311" s="6" t="str">
        <f t="shared" si="130"/>
        <v>Moderado en grasas</v>
      </c>
      <c r="BU311" s="18" t="str">
        <f t="shared" si="139"/>
        <v>Equilibrio de líquidos ideal</v>
      </c>
      <c r="BV311" s="18" t="str">
        <f t="shared" si="140"/>
        <v>Media fuente de magnesio</v>
      </c>
      <c r="BW311" s="18" t="str">
        <f t="shared" si="141"/>
        <v>Sin aporte de Omega 3</v>
      </c>
      <c r="BX311" s="18" t="str">
        <f t="shared" si="142"/>
        <v>Contiene grasas trans</v>
      </c>
      <c r="BY311" s="18" t="str">
        <f t="shared" si="143"/>
        <v>Bajo poder antioxidante</v>
      </c>
      <c r="BZ311" s="6" t="str">
        <f t="shared" si="131"/>
        <v>Sin probióticos</v>
      </c>
      <c r="CA311" s="18" t="str">
        <f t="shared" si="144"/>
        <v>Moderadamente inflamatorio</v>
      </c>
      <c r="CB311" s="18" t="str">
        <f>IF(ISNUMBER(SEARCH("miel", D311)), "No irritante (Uso condicionado SII)", IF(OR(J311&gt;0, ISNUMBER(SEARCH("cacao", D311)), ISNUMBER(SEARCH("chocolate puro", D311))), "Altamente irritante", IF(OR(AND(O311&gt;15, BI311&gt;1), ISNUMBER(SEARCH("chocolate", D311))), "Moderadamente irritante", "No irritante")))</f>
        <v>No irritante</v>
      </c>
      <c r="CC311" s="6" t="str">
        <f t="shared" si="132"/>
        <v>Exceso relativo de Omega 6</v>
      </c>
    </row>
    <row r="312" spans="1:81" ht="15" customHeight="1" x14ac:dyDescent="0.3">
      <c r="A312" s="2">
        <f t="shared" si="133"/>
        <v>311</v>
      </c>
      <c r="B312" s="3" t="s">
        <v>391</v>
      </c>
      <c r="C312" s="3" t="s">
        <v>441</v>
      </c>
      <c r="D312" s="3" t="s">
        <v>448</v>
      </c>
      <c r="E312" s="3"/>
      <c r="F312" s="4">
        <v>2.5</v>
      </c>
      <c r="G312" s="5">
        <v>0.68</v>
      </c>
      <c r="H312" s="5">
        <v>102</v>
      </c>
      <c r="I312" s="5">
        <v>75.3</v>
      </c>
      <c r="J312" s="5">
        <v>0</v>
      </c>
      <c r="K312" s="5">
        <v>23.7</v>
      </c>
      <c r="L312" s="5">
        <v>0.6</v>
      </c>
      <c r="M312" s="5">
        <v>0</v>
      </c>
      <c r="N312" s="5">
        <v>0.6</v>
      </c>
      <c r="O312" s="5">
        <v>0</v>
      </c>
      <c r="P312" s="5">
        <v>0</v>
      </c>
      <c r="Q312" s="5">
        <v>0.6</v>
      </c>
      <c r="R312" s="5">
        <v>0.24</v>
      </c>
      <c r="S312" s="5">
        <v>0.12</v>
      </c>
      <c r="T312" s="5">
        <v>0.18</v>
      </c>
      <c r="U312" s="5">
        <v>65</v>
      </c>
      <c r="V312" s="5">
        <v>0</v>
      </c>
      <c r="W312" s="5">
        <v>0</v>
      </c>
      <c r="X312" s="5">
        <v>0</v>
      </c>
      <c r="Y312" s="5">
        <v>0</v>
      </c>
      <c r="Z312" s="5">
        <v>0.01</v>
      </c>
      <c r="AA312" s="5">
        <v>4</v>
      </c>
      <c r="AB312" s="5">
        <v>0.19</v>
      </c>
      <c r="AC312" s="5">
        <v>0.12</v>
      </c>
      <c r="AD312" s="5">
        <v>4</v>
      </c>
      <c r="AE312" s="5">
        <v>0.43</v>
      </c>
      <c r="AF312" s="5">
        <v>4</v>
      </c>
      <c r="AG312" s="5">
        <v>8.6999999999999993</v>
      </c>
      <c r="AH312" s="5">
        <v>0.69</v>
      </c>
      <c r="AI312" s="5">
        <v>0.9</v>
      </c>
      <c r="AJ312" s="5">
        <v>0</v>
      </c>
      <c r="AK312" s="5">
        <v>17</v>
      </c>
      <c r="AL312" s="5">
        <v>180</v>
      </c>
      <c r="AM312" s="5">
        <v>1.3</v>
      </c>
      <c r="AN312" s="5">
        <v>5</v>
      </c>
      <c r="AO312" s="5">
        <v>3.9</v>
      </c>
      <c r="AP312" s="5">
        <v>22</v>
      </c>
      <c r="AQ312" s="5">
        <v>57</v>
      </c>
      <c r="AR312" s="5">
        <v>306</v>
      </c>
      <c r="AS312" s="5">
        <v>0.01</v>
      </c>
      <c r="AT312" s="5">
        <v>0.06</v>
      </c>
      <c r="AU312" s="5">
        <v>17.399999999999999</v>
      </c>
      <c r="AV312" s="5">
        <f>IFERROR(VLOOKUP(IFERROR(VLOOKUP(D312,Mapa_Similitud!$A$2:$B$2000,2,FALSE()),D312),Hoja1!$A$2:$K$1000,2,FALSE()),IFERROR(VLOOKUP(IFERROR(VLOOKUP(D312,Mapa_Similitud!$A$2:$B$2000,2,FALSE()),D312),Omega3_Referencia!$A$2:$E$100,3,FALSE()),0))</f>
        <v>0.02</v>
      </c>
      <c r="AW312" s="3" t="str">
        <f>IFERROR(VLOOKUP(IFERROR(VLOOKUP(D312,Mapa_Similitud!$A$2:$B$2000,2,FALSE()),D312),Hoja1!$A$2:$K$1000,3,FALSE()),IFERROR(VLOOKUP(IFERROR(VLOOKUP(D312,Mapa_Similitud!$A$2:$B$2000,2,FALSE()),D312),Omega3_Referencia!$A$2:$E$100,4,FALSE()),"N/A"))</f>
        <v>ALA</v>
      </c>
      <c r="AX312" s="5">
        <f>IFERROR(VLOOKUP(IFERROR(VLOOKUP(D312,Mapa_Similitud!$A$2:$B$2000,2,FALSE()),D312),Hoja1!$A$2:$K$1000,5,FALSE()),0)</f>
        <v>0.1</v>
      </c>
      <c r="AY312" s="5">
        <f>IFERROR(VLOOKUP(IFERROR(VLOOKUP(D312,Mapa_Similitud!$A$2:$B$2000,2,FALSE()),D312),Hoja1!$A$2:$K$1000,7,FALSE()),0)</f>
        <v>0</v>
      </c>
      <c r="AZ312" s="5">
        <f>IFERROR(VLOOKUP(IFERROR(VLOOKUP(D312,Mapa_Similitud!$A$2:$B$2000,2,FALSE()),D312),Hoja1!$A$2:$K$1000,9,FALSE()),0)</f>
        <v>0</v>
      </c>
      <c r="BA312" s="25">
        <f t="shared" si="116"/>
        <v>0.23235294117647057</v>
      </c>
      <c r="BB312" s="25">
        <f t="shared" si="117"/>
        <v>0</v>
      </c>
      <c r="BC312" s="25">
        <f t="shared" si="118"/>
        <v>0.16666666666666666</v>
      </c>
      <c r="BD312" s="25">
        <f t="shared" si="119"/>
        <v>1.2745098039215686E-2</v>
      </c>
      <c r="BE312" s="25">
        <f t="shared" si="120"/>
        <v>0.55882352941176472</v>
      </c>
      <c r="BF312" s="25">
        <f t="shared" si="121"/>
        <v>0.75</v>
      </c>
      <c r="BG312" s="25">
        <f t="shared" si="122"/>
        <v>9.4444444444444442E-2</v>
      </c>
      <c r="BH312" s="25">
        <f t="shared" si="123"/>
        <v>0.4</v>
      </c>
      <c r="BI312" s="25">
        <f t="shared" si="124"/>
        <v>0.18627450980392157</v>
      </c>
      <c r="BJ312" s="25">
        <f t="shared" si="125"/>
        <v>1</v>
      </c>
      <c r="BK312" s="25">
        <f t="shared" si="126"/>
        <v>0</v>
      </c>
      <c r="BL312" s="25">
        <f t="shared" si="127"/>
        <v>5.2941176470588228E-2</v>
      </c>
      <c r="BM312" s="25">
        <f t="shared" si="128"/>
        <v>0.21568627450980393</v>
      </c>
      <c r="BN312" s="18" t="str">
        <f t="shared" si="134"/>
        <v>Muy alta fuente de proteína</v>
      </c>
      <c r="BO312" s="18" t="str">
        <f t="shared" si="135"/>
        <v>Baja fuente de fibra</v>
      </c>
      <c r="BP312" s="18" t="str">
        <f t="shared" si="136"/>
        <v>Baja fuente de calcio</v>
      </c>
      <c r="BQ312" s="18" t="str">
        <f t="shared" si="137"/>
        <v>Media fuente de hierro</v>
      </c>
      <c r="BR312" s="18" t="str">
        <f t="shared" si="138"/>
        <v>Moderado en sodio</v>
      </c>
      <c r="BS312" s="6" t="str">
        <f t="shared" si="129"/>
        <v>Neutro</v>
      </c>
      <c r="BT312" s="6" t="str">
        <f t="shared" si="130"/>
        <v>Bajo en grasas</v>
      </c>
      <c r="BU312" s="18" t="str">
        <f t="shared" si="139"/>
        <v>Equilibrio de líquidos ideal</v>
      </c>
      <c r="BV312" s="18" t="str">
        <f t="shared" si="140"/>
        <v>Media fuente de magnesio</v>
      </c>
      <c r="BW312" s="18" t="str">
        <f t="shared" si="141"/>
        <v>Sin aporte de Omega 3</v>
      </c>
      <c r="BX312" s="18" t="str">
        <f t="shared" si="142"/>
        <v>Contiene grasas trans</v>
      </c>
      <c r="BY312" s="18" t="str">
        <f t="shared" si="143"/>
        <v>Bajo poder antioxidante</v>
      </c>
      <c r="BZ312" s="6" t="str">
        <f t="shared" si="131"/>
        <v>Sin probióticos</v>
      </c>
      <c r="CA312" s="18" t="str">
        <f t="shared" si="144"/>
        <v>Moderadamente inflamatorio</v>
      </c>
      <c r="CB312" s="18" t="str">
        <f>IF(ISNUMBER(SEARCH("miel", D312)), "No irritante (Uso condicionado SII)", IF(OR(J312&gt;0, ISNUMBER(SEARCH("cacao", D312)), ISNUMBER(SEARCH("chocolate puro", D312))), "Altamente irritante", IF(OR(AND(O312&gt;15, BI312&gt;1), ISNUMBER(SEARCH("chocolate", D312))), "Moderadamente irritante", "No irritante")))</f>
        <v>No irritante</v>
      </c>
      <c r="CC312" s="6" t="str">
        <f t="shared" si="132"/>
        <v>Exceso relativo de Omega 6</v>
      </c>
    </row>
    <row r="313" spans="1:81" ht="15" customHeight="1" x14ac:dyDescent="0.3">
      <c r="A313" s="2">
        <f t="shared" si="133"/>
        <v>312</v>
      </c>
      <c r="B313" s="3" t="s">
        <v>391</v>
      </c>
      <c r="C313" s="3" t="s">
        <v>441</v>
      </c>
      <c r="D313" s="3" t="s">
        <v>449</v>
      </c>
      <c r="E313" s="3"/>
      <c r="F313" s="4">
        <v>3</v>
      </c>
      <c r="G313" s="5">
        <v>0.83</v>
      </c>
      <c r="H313" s="5">
        <v>137</v>
      </c>
      <c r="I313" s="5">
        <v>72</v>
      </c>
      <c r="J313" s="5">
        <v>0</v>
      </c>
      <c r="K313" s="5">
        <v>21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5.9</v>
      </c>
      <c r="R313" s="5">
        <v>2.2999999999999998</v>
      </c>
      <c r="S313" s="5">
        <v>1.2</v>
      </c>
      <c r="T313" s="5">
        <v>1.8</v>
      </c>
      <c r="U313" s="5">
        <v>52</v>
      </c>
      <c r="V313" s="5">
        <v>0</v>
      </c>
      <c r="W313" s="5">
        <v>0</v>
      </c>
      <c r="X313" s="5">
        <v>0</v>
      </c>
      <c r="Y313" s="5">
        <v>0</v>
      </c>
      <c r="Z313" s="5">
        <v>0.13</v>
      </c>
      <c r="AA313" s="5">
        <v>4</v>
      </c>
      <c r="AB313" s="5">
        <v>0.03</v>
      </c>
      <c r="AC313" s="5">
        <v>0.3</v>
      </c>
      <c r="AD313" s="5">
        <v>6.3</v>
      </c>
      <c r="AE313" s="5">
        <v>0.5</v>
      </c>
      <c r="AF313" s="5">
        <v>5</v>
      </c>
      <c r="AG313" s="5">
        <v>10</v>
      </c>
      <c r="AH313" s="5">
        <v>0.8</v>
      </c>
      <c r="AI313" s="5">
        <v>1</v>
      </c>
      <c r="AJ313" s="5">
        <v>0</v>
      </c>
      <c r="AK313" s="5">
        <v>22.8</v>
      </c>
      <c r="AL313" s="5">
        <v>216</v>
      </c>
      <c r="AM313" s="5">
        <v>1</v>
      </c>
      <c r="AN313" s="5">
        <v>5</v>
      </c>
      <c r="AO313" s="5">
        <v>3.9</v>
      </c>
      <c r="AP313" s="5">
        <v>22</v>
      </c>
      <c r="AQ313" s="5">
        <v>67</v>
      </c>
      <c r="AR313" s="5">
        <v>360</v>
      </c>
      <c r="AS313" s="5">
        <v>3.7999999999999999E-2</v>
      </c>
      <c r="AT313" s="5">
        <v>0.06</v>
      </c>
      <c r="AU313" s="5">
        <v>17</v>
      </c>
      <c r="AV313" s="5">
        <f>IFERROR(VLOOKUP(IFERROR(VLOOKUP(D313,Mapa_Similitud!$A$2:$B$2000,2,FALSE()),D313),Hoja1!$A$2:$K$1000,2,FALSE()),IFERROR(VLOOKUP(IFERROR(VLOOKUP(D313,Mapa_Similitud!$A$2:$B$2000,2,FALSE()),D313),Omega3_Referencia!$A$2:$E$100,3,FALSE()),0))</f>
        <v>0.02</v>
      </c>
      <c r="AW313" s="3" t="str">
        <f>IFERROR(VLOOKUP(IFERROR(VLOOKUP(D313,Mapa_Similitud!$A$2:$B$2000,2,FALSE()),D313),Hoja1!$A$2:$K$1000,3,FALSE()),IFERROR(VLOOKUP(IFERROR(VLOOKUP(D313,Mapa_Similitud!$A$2:$B$2000,2,FALSE()),D313),Omega3_Referencia!$A$2:$E$100,4,FALSE()),"N/A"))</f>
        <v>ALA</v>
      </c>
      <c r="AX313" s="5">
        <f>IFERROR(VLOOKUP(IFERROR(VLOOKUP(D313,Mapa_Similitud!$A$2:$B$2000,2,FALSE()),D313),Hoja1!$A$2:$K$1000,5,FALSE()),0)</f>
        <v>0.1</v>
      </c>
      <c r="AY313" s="5">
        <f>IFERROR(VLOOKUP(IFERROR(VLOOKUP(D313,Mapa_Similitud!$A$2:$B$2000,2,FALSE()),D313),Hoja1!$A$2:$K$1000,7,FALSE()),0)</f>
        <v>0</v>
      </c>
      <c r="AZ313" s="5">
        <f>IFERROR(VLOOKUP(IFERROR(VLOOKUP(D313,Mapa_Similitud!$A$2:$B$2000,2,FALSE()),D313),Hoja1!$A$2:$K$1000,9,FALSE()),0)</f>
        <v>0</v>
      </c>
      <c r="BA313" s="25">
        <f t="shared" si="116"/>
        <v>0.15328467153284672</v>
      </c>
      <c r="BB313" s="25">
        <f t="shared" si="117"/>
        <v>0</v>
      </c>
      <c r="BC313" s="25">
        <f t="shared" si="118"/>
        <v>0.16642335766423358</v>
      </c>
      <c r="BD313" s="25">
        <f t="shared" si="119"/>
        <v>7.2992700729927005E-3</v>
      </c>
      <c r="BE313" s="25">
        <f t="shared" si="120"/>
        <v>0.48905109489051096</v>
      </c>
      <c r="BF313" s="25">
        <f t="shared" si="121"/>
        <v>0.78260869565217395</v>
      </c>
      <c r="BG313" s="25">
        <f t="shared" si="122"/>
        <v>0.10555555555555556</v>
      </c>
      <c r="BH313" s="25">
        <f t="shared" si="123"/>
        <v>0.38983050847457623</v>
      </c>
      <c r="BI313" s="25">
        <f t="shared" si="124"/>
        <v>0.18611111111111112</v>
      </c>
      <c r="BJ313" s="25">
        <f t="shared" si="125"/>
        <v>0</v>
      </c>
      <c r="BK313" s="25">
        <f t="shared" si="126"/>
        <v>0</v>
      </c>
      <c r="BL313" s="25">
        <f t="shared" si="127"/>
        <v>0.3875912408759124</v>
      </c>
      <c r="BM313" s="25">
        <f t="shared" si="128"/>
        <v>0.16058394160583941</v>
      </c>
      <c r="BN313" s="18" t="str">
        <f t="shared" si="134"/>
        <v>Alta fuente de proteína</v>
      </c>
      <c r="BO313" s="18" t="str">
        <f t="shared" si="135"/>
        <v>Baja fuente de fibra</v>
      </c>
      <c r="BP313" s="18" t="str">
        <f t="shared" si="136"/>
        <v>Baja fuente de calcio</v>
      </c>
      <c r="BQ313" s="18" t="str">
        <f t="shared" si="137"/>
        <v>Baja fuente de hierro</v>
      </c>
      <c r="BR313" s="18" t="str">
        <f t="shared" si="138"/>
        <v>Bajo en sodio</v>
      </c>
      <c r="BS313" s="6" t="str">
        <f t="shared" si="129"/>
        <v>Neutro</v>
      </c>
      <c r="BT313" s="6" t="str">
        <f t="shared" si="130"/>
        <v>Alto en grasas</v>
      </c>
      <c r="BU313" s="18" t="str">
        <f t="shared" si="139"/>
        <v>Equilibrio de líquidos ideal</v>
      </c>
      <c r="BV313" s="18" t="str">
        <f t="shared" si="140"/>
        <v>Baja fuente de magnesio</v>
      </c>
      <c r="BW313" s="18" t="str">
        <f t="shared" si="141"/>
        <v>Sin aporte de Omega 3</v>
      </c>
      <c r="BX313" s="18" t="str">
        <f t="shared" si="142"/>
        <v>Contiene grasas trans</v>
      </c>
      <c r="BY313" s="18" t="str">
        <f t="shared" si="143"/>
        <v>Bajo poder antioxidante</v>
      </c>
      <c r="BZ313" s="6" t="str">
        <f t="shared" si="131"/>
        <v>Sin probióticos</v>
      </c>
      <c r="CA313" s="18" t="str">
        <f t="shared" si="144"/>
        <v>Moderadamente inflamatorio</v>
      </c>
      <c r="CB313" s="18" t="str">
        <f>IF(ISNUMBER(SEARCH("miel", D313)), "No irritante (Uso condicionado SII)", IF(OR(J313&gt;0, ISNUMBER(SEARCH("cacao", D313)), ISNUMBER(SEARCH("chocolate puro", D313))), "Altamente irritante", IF(OR(AND(O313&gt;15, BI313&gt;1), ISNUMBER(SEARCH("chocolate", D313))), "Moderadamente irritante", "No irritante")))</f>
        <v>No irritante</v>
      </c>
      <c r="CC313" s="6" t="str">
        <f t="shared" si="132"/>
        <v>Exceso relativo de Omega 6</v>
      </c>
    </row>
    <row r="314" spans="1:81" ht="15" customHeight="1" x14ac:dyDescent="0.3">
      <c r="A314" s="2">
        <f t="shared" si="133"/>
        <v>313</v>
      </c>
      <c r="B314" s="3" t="s">
        <v>391</v>
      </c>
      <c r="C314" s="3" t="s">
        <v>450</v>
      </c>
      <c r="D314" s="3" t="s">
        <v>451</v>
      </c>
      <c r="E314" s="3"/>
      <c r="F314" s="4">
        <v>14</v>
      </c>
      <c r="G314" s="5">
        <v>1</v>
      </c>
      <c r="H314" s="5">
        <v>256</v>
      </c>
      <c r="I314" s="5">
        <v>63</v>
      </c>
      <c r="J314" s="5">
        <v>0</v>
      </c>
      <c r="K314" s="5">
        <v>15.4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21.6</v>
      </c>
      <c r="R314" s="5">
        <v>9.3000000000000007</v>
      </c>
      <c r="S314" s="5">
        <v>9.5</v>
      </c>
      <c r="T314" s="5">
        <v>0.9</v>
      </c>
      <c r="U314" s="5">
        <v>67.5</v>
      </c>
      <c r="V314" s="5">
        <v>0</v>
      </c>
      <c r="W314" s="5">
        <v>0</v>
      </c>
      <c r="X314" s="5">
        <v>0</v>
      </c>
      <c r="Y314" s="5">
        <v>0</v>
      </c>
      <c r="Z314" s="5">
        <v>0.2</v>
      </c>
      <c r="AA314" s="5">
        <v>6</v>
      </c>
      <c r="AB314" s="5">
        <v>0.04</v>
      </c>
      <c r="AC314" s="5">
        <v>0.17</v>
      </c>
      <c r="AD314" s="5">
        <v>9</v>
      </c>
      <c r="AE314" s="5">
        <v>0.28000000000000003</v>
      </c>
      <c r="AF314" s="5">
        <v>9.5</v>
      </c>
      <c r="AG314" s="5">
        <v>1</v>
      </c>
      <c r="AH314" s="5">
        <v>0.33</v>
      </c>
      <c r="AI314" s="5">
        <v>0</v>
      </c>
      <c r="AJ314" s="5">
        <v>0</v>
      </c>
      <c r="AK314" s="5">
        <v>9.1999999999999993</v>
      </c>
      <c r="AL314" s="5">
        <v>139</v>
      </c>
      <c r="AM314" s="5">
        <v>1.8</v>
      </c>
      <c r="AN314" s="5">
        <v>5.6</v>
      </c>
      <c r="AO314" s="5">
        <v>3.5</v>
      </c>
      <c r="AP314" s="5">
        <v>12.9</v>
      </c>
      <c r="AQ314" s="5">
        <v>49</v>
      </c>
      <c r="AR314" s="5">
        <v>260</v>
      </c>
      <c r="AS314" s="5">
        <v>0.01</v>
      </c>
      <c r="AT314" s="5">
        <v>7.0000000000000007E-2</v>
      </c>
      <c r="AU314" s="5">
        <v>1</v>
      </c>
      <c r="AV314" s="5">
        <f>IFERROR(VLOOKUP(IFERROR(VLOOKUP(D314,Mapa_Similitud!$A$2:$B$2000,2,FALSE()),D314),Hoja1!$A$2:$K$1000,2,FALSE()),IFERROR(VLOOKUP(IFERROR(VLOOKUP(D314,Mapa_Similitud!$A$2:$B$2000,2,FALSE()),D314),Omega3_Referencia!$A$2:$E$100,3,FALSE()),0))</f>
        <v>0.04</v>
      </c>
      <c r="AW314" s="3" t="str">
        <f>IFERROR(VLOOKUP(IFERROR(VLOOKUP(D314,Mapa_Similitud!$A$2:$B$2000,2,FALSE()),D314),Hoja1!$A$2:$K$1000,3,FALSE()),IFERROR(VLOOKUP(IFERROR(VLOOKUP(D314,Mapa_Similitud!$A$2:$B$2000,2,FALSE()),D314),Omega3_Referencia!$A$2:$E$100,4,FALSE()),"N/A"))</f>
        <v>ALA</v>
      </c>
      <c r="AX314" s="5">
        <f>IFERROR(VLOOKUP(IFERROR(VLOOKUP(D314,Mapa_Similitud!$A$2:$B$2000,2,FALSE()),D314),Hoja1!$A$2:$K$1000,5,FALSE()),0)</f>
        <v>0.2</v>
      </c>
      <c r="AY314" s="5">
        <f>IFERROR(VLOOKUP(IFERROR(VLOOKUP(D314,Mapa_Similitud!$A$2:$B$2000,2,FALSE()),D314),Hoja1!$A$2:$K$1000,7,FALSE()),0)</f>
        <v>0</v>
      </c>
      <c r="AZ314" s="5">
        <f>IFERROR(VLOOKUP(IFERROR(VLOOKUP(D314,Mapa_Similitud!$A$2:$B$2000,2,FALSE()),D314),Hoja1!$A$2:$K$1000,9,FALSE()),0)</f>
        <v>0</v>
      </c>
      <c r="BA314" s="25">
        <f t="shared" si="116"/>
        <v>6.0156250000000001E-2</v>
      </c>
      <c r="BB314" s="25">
        <f t="shared" si="117"/>
        <v>0</v>
      </c>
      <c r="BC314" s="25">
        <f t="shared" si="118"/>
        <v>3.5937499999999997E-2</v>
      </c>
      <c r="BD314" s="25">
        <f t="shared" si="119"/>
        <v>7.0312500000000002E-3</v>
      </c>
      <c r="BE314" s="25">
        <f t="shared" si="120"/>
        <v>0.19140625</v>
      </c>
      <c r="BF314" s="25">
        <f t="shared" si="121"/>
        <v>9.6774193548387094E-2</v>
      </c>
      <c r="BG314" s="25">
        <f t="shared" si="122"/>
        <v>6.6187050359712229E-2</v>
      </c>
      <c r="BH314" s="25">
        <f t="shared" si="123"/>
        <v>0.43055555555555558</v>
      </c>
      <c r="BI314" s="25">
        <f t="shared" si="124"/>
        <v>0.18846153846153846</v>
      </c>
      <c r="BJ314" s="25">
        <f t="shared" si="125"/>
        <v>0</v>
      </c>
      <c r="BK314" s="25">
        <f t="shared" si="126"/>
        <v>0</v>
      </c>
      <c r="BL314" s="25">
        <f t="shared" si="127"/>
        <v>0.75937500000000002</v>
      </c>
      <c r="BM314" s="25">
        <f t="shared" si="128"/>
        <v>5.0390625000000001E-2</v>
      </c>
      <c r="BN314" s="18" t="str">
        <f t="shared" si="134"/>
        <v>Baja fuente de proteína</v>
      </c>
      <c r="BO314" s="18" t="str">
        <f t="shared" si="135"/>
        <v>Baja fuente de fibra</v>
      </c>
      <c r="BP314" s="18" t="str">
        <f t="shared" si="136"/>
        <v>Baja fuente de calcio</v>
      </c>
      <c r="BQ314" s="18" t="str">
        <f t="shared" si="137"/>
        <v>Baja fuente de hierro</v>
      </c>
      <c r="BR314" s="18" t="str">
        <f t="shared" si="138"/>
        <v>Bajo en sodio</v>
      </c>
      <c r="BS314" s="6" t="str">
        <f t="shared" si="129"/>
        <v>Proinflamatorio</v>
      </c>
      <c r="BT314" s="6" t="str">
        <f t="shared" si="130"/>
        <v>Muy alto en grasas</v>
      </c>
      <c r="BU314" s="18" t="str">
        <f t="shared" si="139"/>
        <v>Equilibrio de líquidos ideal</v>
      </c>
      <c r="BV314" s="18" t="str">
        <f t="shared" si="140"/>
        <v>Baja fuente de magnesio</v>
      </c>
      <c r="BW314" s="18" t="str">
        <f t="shared" si="141"/>
        <v>Sin aporte de Omega 3</v>
      </c>
      <c r="BX314" s="18" t="str">
        <f t="shared" si="142"/>
        <v>Contiene grasas trans</v>
      </c>
      <c r="BY314" s="18" t="str">
        <f t="shared" si="143"/>
        <v>Bajo poder antioxidante</v>
      </c>
      <c r="BZ314" s="6" t="str">
        <f t="shared" si="131"/>
        <v>Sin probióticos</v>
      </c>
      <c r="CA314" s="18" t="str">
        <f t="shared" si="144"/>
        <v>Moderadamente inflamatorio</v>
      </c>
      <c r="CB314" s="18" t="str">
        <f>IF(ISNUMBER(SEARCH("miel", D314)), "No irritante (Uso condicionado SII)", IF(OR(J314&gt;0, ISNUMBER(SEARCH("cacao", D314)), ISNUMBER(SEARCH("chocolate puro", D314))), "Altamente irritante", IF(OR(AND(O314&gt;15, BI314&gt;1), ISNUMBER(SEARCH("chocolate", D314))), "Moderadamente irritante", "No irritante")))</f>
        <v>No irritante</v>
      </c>
      <c r="CC314" s="6" t="str">
        <f t="shared" si="132"/>
        <v>Exceso relativo de Omega 6</v>
      </c>
    </row>
    <row r="315" spans="1:81" ht="15" customHeight="1" x14ac:dyDescent="0.3">
      <c r="A315" s="2">
        <f t="shared" si="133"/>
        <v>314</v>
      </c>
      <c r="B315" s="3" t="s">
        <v>391</v>
      </c>
      <c r="C315" s="3" t="s">
        <v>450</v>
      </c>
      <c r="D315" s="3" t="s">
        <v>452</v>
      </c>
      <c r="E315" s="3"/>
      <c r="F315" s="4">
        <v>7</v>
      </c>
      <c r="G315" s="5">
        <v>1</v>
      </c>
      <c r="H315" s="5">
        <v>234</v>
      </c>
      <c r="I315" s="5">
        <v>61.8</v>
      </c>
      <c r="J315" s="5">
        <v>0</v>
      </c>
      <c r="K315" s="5">
        <v>22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16.2</v>
      </c>
      <c r="R315" s="5">
        <v>6.9</v>
      </c>
      <c r="S315" s="5">
        <v>6.9</v>
      </c>
      <c r="T315" s="5">
        <v>0.48</v>
      </c>
      <c r="U315" s="5">
        <v>66</v>
      </c>
      <c r="V315" s="5">
        <v>1</v>
      </c>
      <c r="W315" s="5">
        <v>1</v>
      </c>
      <c r="X315" s="5">
        <v>0</v>
      </c>
      <c r="Y315" s="5">
        <v>0</v>
      </c>
      <c r="Z315" s="5">
        <v>0.18</v>
      </c>
      <c r="AA315" s="5">
        <v>6</v>
      </c>
      <c r="AB315" s="5">
        <v>0.06</v>
      </c>
      <c r="AC315" s="5">
        <v>0.31</v>
      </c>
      <c r="AD315" s="5">
        <v>8</v>
      </c>
      <c r="AE315" s="5">
        <v>0.27</v>
      </c>
      <c r="AF315" s="5">
        <v>9</v>
      </c>
      <c r="AG315" s="5">
        <v>2</v>
      </c>
      <c r="AH315" s="5">
        <v>0.6</v>
      </c>
      <c r="AI315" s="5">
        <v>0</v>
      </c>
      <c r="AJ315" s="5">
        <v>0</v>
      </c>
      <c r="AK315" s="5">
        <v>15</v>
      </c>
      <c r="AL315" s="5">
        <v>160</v>
      </c>
      <c r="AM315" s="5">
        <v>2.7</v>
      </c>
      <c r="AN315" s="5">
        <v>6</v>
      </c>
      <c r="AO315" s="5">
        <v>4.3</v>
      </c>
      <c r="AP315" s="5">
        <v>17</v>
      </c>
      <c r="AQ315" s="5">
        <v>86</v>
      </c>
      <c r="AR315" s="5">
        <v>290</v>
      </c>
      <c r="AS315" s="5">
        <v>0.04</v>
      </c>
      <c r="AT315" s="5">
        <v>0.15</v>
      </c>
      <c r="AU315" s="5">
        <v>3</v>
      </c>
      <c r="AV315" s="5">
        <f>IFERROR(VLOOKUP(IFERROR(VLOOKUP(D315,Mapa_Similitud!$A$2:$B$2000,2,FALSE()),D315),Hoja1!$A$2:$K$1000,2,FALSE()),IFERROR(VLOOKUP(IFERROR(VLOOKUP(D315,Mapa_Similitud!$A$2:$B$2000,2,FALSE()),D315),Omega3_Referencia!$A$2:$E$100,3,FALSE()),0))</f>
        <v>0.05</v>
      </c>
      <c r="AW315" s="3" t="str">
        <f>IFERROR(VLOOKUP(IFERROR(VLOOKUP(D315,Mapa_Similitud!$A$2:$B$2000,2,FALSE()),D315),Hoja1!$A$2:$K$1000,3,FALSE()),IFERROR(VLOOKUP(IFERROR(VLOOKUP(D315,Mapa_Similitud!$A$2:$B$2000,2,FALSE()),D315),Omega3_Referencia!$A$2:$E$100,4,FALSE()),"N/A"))</f>
        <v>ALA</v>
      </c>
      <c r="AX315" s="5">
        <f>IFERROR(VLOOKUP(IFERROR(VLOOKUP(D315,Mapa_Similitud!$A$2:$B$2000,2,FALSE()),D315),Hoja1!$A$2:$K$1000,5,FALSE()),0)</f>
        <v>0.3</v>
      </c>
      <c r="AY315" s="5">
        <f>IFERROR(VLOOKUP(IFERROR(VLOOKUP(D315,Mapa_Similitud!$A$2:$B$2000,2,FALSE()),D315),Hoja1!$A$2:$K$1000,7,FALSE()),0)</f>
        <v>0</v>
      </c>
      <c r="AZ315" s="5">
        <f>IFERROR(VLOOKUP(IFERROR(VLOOKUP(D315,Mapa_Similitud!$A$2:$B$2000,2,FALSE()),D315),Hoja1!$A$2:$K$1000,9,FALSE()),0)</f>
        <v>0</v>
      </c>
      <c r="BA315" s="25">
        <f t="shared" si="116"/>
        <v>9.4017094017094016E-2</v>
      </c>
      <c r="BB315" s="25">
        <f t="shared" si="117"/>
        <v>0</v>
      </c>
      <c r="BC315" s="25">
        <f t="shared" si="118"/>
        <v>6.4102564102564097E-2</v>
      </c>
      <c r="BD315" s="25">
        <f t="shared" si="119"/>
        <v>1.1538461538461539E-2</v>
      </c>
      <c r="BE315" s="25">
        <f t="shared" si="120"/>
        <v>0.36752136752136755</v>
      </c>
      <c r="BF315" s="25">
        <f t="shared" si="121"/>
        <v>6.9565217391304335E-2</v>
      </c>
      <c r="BG315" s="25">
        <f t="shared" si="122"/>
        <v>9.375E-2</v>
      </c>
      <c r="BH315" s="25">
        <f t="shared" si="123"/>
        <v>0.42592592592592599</v>
      </c>
      <c r="BI315" s="25">
        <f t="shared" si="124"/>
        <v>0.29655172413793102</v>
      </c>
      <c r="BJ315" s="25">
        <f t="shared" si="125"/>
        <v>0</v>
      </c>
      <c r="BK315" s="25">
        <f t="shared" si="126"/>
        <v>0</v>
      </c>
      <c r="BL315" s="25">
        <f t="shared" si="127"/>
        <v>0.62307692307692297</v>
      </c>
      <c r="BM315" s="25">
        <f t="shared" si="128"/>
        <v>7.2649572649572655E-2</v>
      </c>
      <c r="BN315" s="18" t="str">
        <f t="shared" si="134"/>
        <v>Baja fuente de proteína</v>
      </c>
      <c r="BO315" s="18" t="str">
        <f t="shared" si="135"/>
        <v>Baja fuente de fibra</v>
      </c>
      <c r="BP315" s="18" t="str">
        <f t="shared" si="136"/>
        <v>Baja fuente de calcio</v>
      </c>
      <c r="BQ315" s="18" t="str">
        <f t="shared" si="137"/>
        <v>Media fuente de hierro</v>
      </c>
      <c r="BR315" s="18" t="str">
        <f t="shared" si="138"/>
        <v>Bajo en sodio</v>
      </c>
      <c r="BS315" s="6" t="str">
        <f t="shared" si="129"/>
        <v>Proinflamatorio</v>
      </c>
      <c r="BT315" s="6" t="str">
        <f t="shared" si="130"/>
        <v>Muy alto en grasas</v>
      </c>
      <c r="BU315" s="18" t="str">
        <f t="shared" si="139"/>
        <v>Equilibrio de líquidos ideal</v>
      </c>
      <c r="BV315" s="18" t="str">
        <f t="shared" si="140"/>
        <v>Baja fuente de magnesio</v>
      </c>
      <c r="BW315" s="18" t="str">
        <f t="shared" si="141"/>
        <v>Sin aporte de Omega 3</v>
      </c>
      <c r="BX315" s="18" t="str">
        <f t="shared" si="142"/>
        <v>Contiene grasas trans</v>
      </c>
      <c r="BY315" s="18" t="str">
        <f t="shared" si="143"/>
        <v>Bajo poder antioxidante</v>
      </c>
      <c r="BZ315" s="6" t="str">
        <f t="shared" si="131"/>
        <v>Sin probióticos</v>
      </c>
      <c r="CA315" s="18" t="str">
        <f t="shared" si="144"/>
        <v>Moderadamente inflamatorio</v>
      </c>
      <c r="CB315" s="18" t="str">
        <f>IF(ISNUMBER(SEARCH("miel", D315)), "No irritante (Uso condicionado SII)", IF(OR(J315&gt;0, ISNUMBER(SEARCH("cacao", D315)), ISNUMBER(SEARCH("chocolate puro", D315))), "Altamente irritante", IF(OR(AND(O315&gt;15, BI315&gt;1), ISNUMBER(SEARCH("chocolate", D315))), "Moderadamente irritante", "No irritante")))</f>
        <v>No irritante</v>
      </c>
      <c r="CC315" s="6" t="str">
        <f t="shared" si="132"/>
        <v>Exceso relativo de Omega 6</v>
      </c>
    </row>
    <row r="316" spans="1:81" ht="15" customHeight="1" x14ac:dyDescent="0.3">
      <c r="A316" s="2">
        <f t="shared" si="133"/>
        <v>315</v>
      </c>
      <c r="B316" s="3" t="s">
        <v>391</v>
      </c>
      <c r="C316" s="3" t="s">
        <v>450</v>
      </c>
      <c r="D316" s="3" t="s">
        <v>453</v>
      </c>
      <c r="E316" s="3"/>
      <c r="F316" s="4">
        <v>2</v>
      </c>
      <c r="G316" s="5">
        <v>0.95</v>
      </c>
      <c r="H316" s="5">
        <v>200</v>
      </c>
      <c r="I316" s="5">
        <v>67.400000000000006</v>
      </c>
      <c r="J316" s="5">
        <v>0</v>
      </c>
      <c r="K316" s="5">
        <v>18.600000000000001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14</v>
      </c>
      <c r="R316" s="5">
        <v>6.3</v>
      </c>
      <c r="S316" s="5">
        <v>6.6</v>
      </c>
      <c r="T316" s="5">
        <v>0.49</v>
      </c>
      <c r="U316" s="5">
        <v>70</v>
      </c>
      <c r="V316" s="5">
        <v>22</v>
      </c>
      <c r="W316" s="5">
        <v>22</v>
      </c>
      <c r="X316" s="5">
        <v>0</v>
      </c>
      <c r="Y316" s="5">
        <v>0</v>
      </c>
      <c r="Z316" s="5">
        <v>0.19</v>
      </c>
      <c r="AA316" s="5">
        <v>6</v>
      </c>
      <c r="AB316" s="5">
        <v>3.7999999999999999E-2</v>
      </c>
      <c r="AC316" s="5">
        <v>6.4000000000000001E-2</v>
      </c>
      <c r="AD316" s="5">
        <v>7</v>
      </c>
      <c r="AE316" s="5">
        <v>0.23</v>
      </c>
      <c r="AF316" s="5">
        <v>8</v>
      </c>
      <c r="AG316" s="5">
        <v>1</v>
      </c>
      <c r="AH316" s="5">
        <v>0.5</v>
      </c>
      <c r="AI316" s="5">
        <v>0</v>
      </c>
      <c r="AJ316" s="5">
        <v>0</v>
      </c>
      <c r="AK316" s="5">
        <v>8.1</v>
      </c>
      <c r="AL316" s="5">
        <v>139</v>
      </c>
      <c r="AM316" s="5">
        <v>1.9</v>
      </c>
      <c r="AN316" s="5">
        <v>6</v>
      </c>
      <c r="AO316" s="5">
        <v>3.6</v>
      </c>
      <c r="AP316" s="5">
        <v>18</v>
      </c>
      <c r="AQ316" s="5">
        <v>61</v>
      </c>
      <c r="AR316" s="5">
        <v>264</v>
      </c>
      <c r="AS316" s="5">
        <v>8.6999999999999994E-3</v>
      </c>
      <c r="AT316" s="5">
        <v>7.3999999999999996E-2</v>
      </c>
      <c r="AU316" s="5">
        <v>1</v>
      </c>
      <c r="AV316" s="5">
        <f>IFERROR(VLOOKUP(IFERROR(VLOOKUP(D316,Mapa_Similitud!$A$2:$B$2000,2,FALSE()),D316),Hoja1!$A$2:$K$1000,2,FALSE()),IFERROR(VLOOKUP(IFERROR(VLOOKUP(D316,Mapa_Similitud!$A$2:$B$2000,2,FALSE()),D316),Omega3_Referencia!$A$2:$E$100,3,FALSE()),0))</f>
        <v>0.06</v>
      </c>
      <c r="AW316" s="3" t="str">
        <f>IFERROR(VLOOKUP(IFERROR(VLOOKUP(D316,Mapa_Similitud!$A$2:$B$2000,2,FALSE()),D316),Hoja1!$A$2:$K$1000,3,FALSE()),IFERROR(VLOOKUP(IFERROR(VLOOKUP(D316,Mapa_Similitud!$A$2:$B$2000,2,FALSE()),D316),Omega3_Referencia!$A$2:$E$100,4,FALSE()),"N/A"))</f>
        <v>ALA</v>
      </c>
      <c r="AX316" s="5">
        <f>IFERROR(VLOOKUP(IFERROR(VLOOKUP(D316,Mapa_Similitud!$A$2:$B$2000,2,FALSE()),D316),Hoja1!$A$2:$K$1000,5,FALSE()),0)</f>
        <v>0.4</v>
      </c>
      <c r="AY316" s="5">
        <f>IFERROR(VLOOKUP(IFERROR(VLOOKUP(D316,Mapa_Similitud!$A$2:$B$2000,2,FALSE()),D316),Hoja1!$A$2:$K$1000,7,FALSE()),0)</f>
        <v>0</v>
      </c>
      <c r="AZ316" s="5">
        <f>IFERROR(VLOOKUP(IFERROR(VLOOKUP(D316,Mapa_Similitud!$A$2:$B$2000,2,FALSE()),D316),Hoja1!$A$2:$K$1000,9,FALSE()),0)</f>
        <v>0</v>
      </c>
      <c r="BA316" s="25">
        <f t="shared" si="116"/>
        <v>9.3000000000000013E-2</v>
      </c>
      <c r="BB316" s="25">
        <f t="shared" si="117"/>
        <v>0</v>
      </c>
      <c r="BC316" s="25">
        <f t="shared" si="118"/>
        <v>4.0500000000000001E-2</v>
      </c>
      <c r="BD316" s="25">
        <f t="shared" si="119"/>
        <v>9.4999999999999998E-3</v>
      </c>
      <c r="BE316" s="25">
        <f t="shared" si="120"/>
        <v>0.30499999999999999</v>
      </c>
      <c r="BF316" s="25">
        <f t="shared" si="121"/>
        <v>7.7777777777777779E-2</v>
      </c>
      <c r="BG316" s="25">
        <f t="shared" si="122"/>
        <v>5.8273381294964025E-2</v>
      </c>
      <c r="BH316" s="25">
        <f t="shared" si="123"/>
        <v>0.45</v>
      </c>
      <c r="BI316" s="25">
        <f t="shared" si="124"/>
        <v>0.23106060606060605</v>
      </c>
      <c r="BJ316" s="25">
        <f t="shared" si="125"/>
        <v>0</v>
      </c>
      <c r="BK316" s="25">
        <f t="shared" si="126"/>
        <v>0</v>
      </c>
      <c r="BL316" s="25">
        <f t="shared" si="127"/>
        <v>0.63</v>
      </c>
      <c r="BM316" s="25">
        <f t="shared" si="128"/>
        <v>0.09</v>
      </c>
      <c r="BN316" s="18" t="str">
        <f t="shared" si="134"/>
        <v>Baja fuente de proteína</v>
      </c>
      <c r="BO316" s="18" t="str">
        <f t="shared" si="135"/>
        <v>Baja fuente de fibra</v>
      </c>
      <c r="BP316" s="18" t="str">
        <f t="shared" si="136"/>
        <v>Baja fuente de calcio</v>
      </c>
      <c r="BQ316" s="18" t="str">
        <f t="shared" si="137"/>
        <v>Media fuente de hierro</v>
      </c>
      <c r="BR316" s="18" t="str">
        <f t="shared" si="138"/>
        <v>Bajo en sodio</v>
      </c>
      <c r="BS316" s="6" t="str">
        <f t="shared" si="129"/>
        <v>Proinflamatorio</v>
      </c>
      <c r="BT316" s="6" t="str">
        <f t="shared" si="130"/>
        <v>Muy alto en grasas</v>
      </c>
      <c r="BU316" s="18" t="str">
        <f t="shared" si="139"/>
        <v>Equilibrio de líquidos ideal</v>
      </c>
      <c r="BV316" s="18" t="str">
        <f t="shared" si="140"/>
        <v>Baja fuente de magnesio</v>
      </c>
      <c r="BW316" s="18" t="str">
        <f t="shared" si="141"/>
        <v>Sin aporte de Omega 3</v>
      </c>
      <c r="BX316" s="18" t="str">
        <f t="shared" si="142"/>
        <v>Contiene grasas trans</v>
      </c>
      <c r="BY316" s="18" t="str">
        <f t="shared" si="143"/>
        <v>Bajo poder antioxidante</v>
      </c>
      <c r="BZ316" s="6" t="str">
        <f t="shared" si="131"/>
        <v>Sin probióticos</v>
      </c>
      <c r="CA316" s="18" t="str">
        <f t="shared" si="144"/>
        <v>Moderadamente inflamatorio</v>
      </c>
      <c r="CB316" s="18" t="str">
        <f>IF(ISNUMBER(SEARCH("miel", D316)), "No irritante (Uso condicionado SII)", IF(OR(J316&gt;0, ISNUMBER(SEARCH("cacao", D316)), ISNUMBER(SEARCH("chocolate puro", D316))), "Altamente irritante", IF(OR(AND(O316&gt;15, BI316&gt;1), ISNUMBER(SEARCH("chocolate", D316))), "Moderadamente irritante", "No irritante")))</f>
        <v>No irritante</v>
      </c>
      <c r="CC316" s="6" t="str">
        <f t="shared" si="132"/>
        <v>Exceso relativo de Omega 6</v>
      </c>
    </row>
    <row r="317" spans="1:81" ht="15" customHeight="1" x14ac:dyDescent="0.3">
      <c r="A317" s="2">
        <f t="shared" si="133"/>
        <v>316</v>
      </c>
      <c r="B317" s="3" t="s">
        <v>391</v>
      </c>
      <c r="C317" s="3" t="s">
        <v>450</v>
      </c>
      <c r="D317" s="3" t="s">
        <v>454</v>
      </c>
      <c r="E317" s="3"/>
      <c r="F317" s="4">
        <v>3</v>
      </c>
      <c r="G317" s="5">
        <v>1</v>
      </c>
      <c r="H317" s="5">
        <v>120</v>
      </c>
      <c r="I317" s="5">
        <v>75.400000000000006</v>
      </c>
      <c r="J317" s="5">
        <v>0</v>
      </c>
      <c r="K317" s="5">
        <v>20.3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4.3</v>
      </c>
      <c r="R317" s="5">
        <v>1.7</v>
      </c>
      <c r="S317" s="5">
        <v>1.9</v>
      </c>
      <c r="T317" s="5">
        <v>0.23</v>
      </c>
      <c r="U317" s="5">
        <v>59</v>
      </c>
      <c r="V317" s="5">
        <v>0</v>
      </c>
      <c r="W317" s="5">
        <v>0</v>
      </c>
      <c r="X317" s="5">
        <v>0</v>
      </c>
      <c r="Y317" s="5">
        <v>0</v>
      </c>
      <c r="Z317" s="5">
        <v>0.15</v>
      </c>
      <c r="AA317" s="5">
        <v>6</v>
      </c>
      <c r="AB317" s="5">
        <v>7.0000000000000007E-2</v>
      </c>
      <c r="AC317" s="5">
        <v>0.24</v>
      </c>
      <c r="AD317" s="5">
        <v>9.5</v>
      </c>
      <c r="AE317" s="5">
        <v>0.32</v>
      </c>
      <c r="AF317" s="5">
        <v>10</v>
      </c>
      <c r="AG317" s="5">
        <v>2</v>
      </c>
      <c r="AH317" s="5">
        <v>0.7</v>
      </c>
      <c r="AI317" s="5">
        <v>0</v>
      </c>
      <c r="AJ317" s="5">
        <v>0</v>
      </c>
      <c r="AK317" s="5">
        <v>7</v>
      </c>
      <c r="AL317" s="5">
        <v>180</v>
      </c>
      <c r="AM317" s="5">
        <v>2.1</v>
      </c>
      <c r="AN317" s="5">
        <v>6</v>
      </c>
      <c r="AO317" s="5">
        <v>4.3</v>
      </c>
      <c r="AP317" s="5">
        <v>20</v>
      </c>
      <c r="AQ317" s="5">
        <v>61</v>
      </c>
      <c r="AR317" s="5">
        <v>350</v>
      </c>
      <c r="AS317" s="5">
        <v>0.04</v>
      </c>
      <c r="AT317" s="5">
        <v>0.14000000000000001</v>
      </c>
      <c r="AU317" s="5">
        <v>3</v>
      </c>
      <c r="AV317" s="5">
        <f>IFERROR(VLOOKUP(IFERROR(VLOOKUP(D317,Mapa_Similitud!$A$2:$B$2000,2,FALSE()),D317),Hoja1!$A$2:$K$1000,2,FALSE()),IFERROR(VLOOKUP(IFERROR(VLOOKUP(D317,Mapa_Similitud!$A$2:$B$2000,2,FALSE()),D317),Omega3_Referencia!$A$2:$E$100,3,FALSE()),0))</f>
        <v>0.04</v>
      </c>
      <c r="AW317" s="3" t="str">
        <f>IFERROR(VLOOKUP(IFERROR(VLOOKUP(D317,Mapa_Similitud!$A$2:$B$2000,2,FALSE()),D317),Hoja1!$A$2:$K$1000,3,FALSE()),IFERROR(VLOOKUP(IFERROR(VLOOKUP(D317,Mapa_Similitud!$A$2:$B$2000,2,FALSE()),D317),Omega3_Referencia!$A$2:$E$100,4,FALSE()),"N/A"))</f>
        <v>ALA</v>
      </c>
      <c r="AX317" s="5">
        <f>IFERROR(VLOOKUP(IFERROR(VLOOKUP(D317,Mapa_Similitud!$A$2:$B$2000,2,FALSE()),D317),Hoja1!$A$2:$K$1000,5,FALSE()),0)</f>
        <v>0.2</v>
      </c>
      <c r="AY317" s="5">
        <f>IFERROR(VLOOKUP(IFERROR(VLOOKUP(D317,Mapa_Similitud!$A$2:$B$2000,2,FALSE()),D317),Hoja1!$A$2:$K$1000,7,FALSE()),0)</f>
        <v>0</v>
      </c>
      <c r="AZ317" s="5">
        <f>IFERROR(VLOOKUP(IFERROR(VLOOKUP(D317,Mapa_Similitud!$A$2:$B$2000,2,FALSE()),D317),Hoja1!$A$2:$K$1000,9,FALSE()),0)</f>
        <v>0</v>
      </c>
      <c r="BA317" s="25">
        <f t="shared" si="116"/>
        <v>0.16916666666666666</v>
      </c>
      <c r="BB317" s="25">
        <f t="shared" si="117"/>
        <v>0</v>
      </c>
      <c r="BC317" s="25">
        <f t="shared" si="118"/>
        <v>5.8333333333333334E-2</v>
      </c>
      <c r="BD317" s="25">
        <f t="shared" si="119"/>
        <v>1.7500000000000002E-2</v>
      </c>
      <c r="BE317" s="25">
        <f t="shared" si="120"/>
        <v>0.5083333333333333</v>
      </c>
      <c r="BF317" s="25">
        <f t="shared" si="121"/>
        <v>0.13529411764705884</v>
      </c>
      <c r="BG317" s="25">
        <f t="shared" si="122"/>
        <v>3.888888888888889E-2</v>
      </c>
      <c r="BH317" s="25">
        <f t="shared" si="123"/>
        <v>0.39534883720930231</v>
      </c>
      <c r="BI317" s="25">
        <f t="shared" si="124"/>
        <v>0.17428571428571429</v>
      </c>
      <c r="BJ317" s="25">
        <f t="shared" si="125"/>
        <v>0</v>
      </c>
      <c r="BK317" s="25">
        <f t="shared" si="126"/>
        <v>0</v>
      </c>
      <c r="BL317" s="25">
        <f t="shared" si="127"/>
        <v>0.32249999999999995</v>
      </c>
      <c r="BM317" s="25">
        <f t="shared" si="128"/>
        <v>0.16666666666666666</v>
      </c>
      <c r="BN317" s="18" t="str">
        <f t="shared" si="134"/>
        <v>Alta fuente de proteína</v>
      </c>
      <c r="BO317" s="18" t="str">
        <f t="shared" si="135"/>
        <v>Baja fuente de fibra</v>
      </c>
      <c r="BP317" s="18" t="str">
        <f t="shared" si="136"/>
        <v>Baja fuente de calcio</v>
      </c>
      <c r="BQ317" s="18" t="str">
        <f t="shared" si="137"/>
        <v>Alta fuente de hierro</v>
      </c>
      <c r="BR317" s="18" t="str">
        <f t="shared" si="138"/>
        <v>Moderado en sodio</v>
      </c>
      <c r="BS317" s="6" t="str">
        <f t="shared" si="129"/>
        <v>Proinflamatorio</v>
      </c>
      <c r="BT317" s="6" t="str">
        <f t="shared" si="130"/>
        <v>Alto en grasas</v>
      </c>
      <c r="BU317" s="18" t="str">
        <f t="shared" si="139"/>
        <v>Equilibrio de líquidos ideal</v>
      </c>
      <c r="BV317" s="18" t="str">
        <f t="shared" si="140"/>
        <v>Baja fuente de magnesio</v>
      </c>
      <c r="BW317" s="18" t="str">
        <f t="shared" si="141"/>
        <v>Sin aporte de Omega 3</v>
      </c>
      <c r="BX317" s="18" t="str">
        <f t="shared" si="142"/>
        <v>Contiene grasas trans</v>
      </c>
      <c r="BY317" s="18" t="str">
        <f t="shared" si="143"/>
        <v>Bajo poder antioxidante</v>
      </c>
      <c r="BZ317" s="6" t="str">
        <f t="shared" si="131"/>
        <v>Sin probióticos</v>
      </c>
      <c r="CA317" s="18" t="str">
        <f t="shared" si="144"/>
        <v>Moderadamente inflamatorio</v>
      </c>
      <c r="CB317" s="18" t="str">
        <f>IF(ISNUMBER(SEARCH("miel", D317)), "No irritante (Uso condicionado SII)", IF(OR(J317&gt;0, ISNUMBER(SEARCH("cacao", D317)), ISNUMBER(SEARCH("chocolate puro", D317))), "Altamente irritante", IF(OR(AND(O317&gt;15, BI317&gt;1), ISNUMBER(SEARCH("chocolate", D317))), "Moderadamente irritante", "No irritante")))</f>
        <v>No irritante</v>
      </c>
      <c r="CC317" s="6" t="str">
        <f t="shared" si="132"/>
        <v>Exceso relativo de Omega 6</v>
      </c>
    </row>
    <row r="318" spans="1:81" ht="15" customHeight="1" x14ac:dyDescent="0.3">
      <c r="A318" s="2">
        <f t="shared" si="133"/>
        <v>317</v>
      </c>
      <c r="B318" s="3" t="s">
        <v>391</v>
      </c>
      <c r="C318" s="3" t="s">
        <v>450</v>
      </c>
      <c r="D318" s="3" t="s">
        <v>455</v>
      </c>
      <c r="E318" s="3"/>
      <c r="F318" s="4">
        <v>2.5</v>
      </c>
      <c r="G318" s="5">
        <v>1</v>
      </c>
      <c r="H318" s="5">
        <v>160</v>
      </c>
      <c r="I318" s="5">
        <v>71.599999999999994</v>
      </c>
      <c r="J318" s="5">
        <v>0</v>
      </c>
      <c r="K318" s="5">
        <v>19.100000000000001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9.3000000000000007</v>
      </c>
      <c r="R318" s="5">
        <v>3.8</v>
      </c>
      <c r="S318" s="5">
        <v>4.5999999999999996</v>
      </c>
      <c r="T318" s="5">
        <v>0.39</v>
      </c>
      <c r="U318" s="5">
        <v>70</v>
      </c>
      <c r="V318" s="5">
        <v>4</v>
      </c>
      <c r="W318" s="5">
        <v>4</v>
      </c>
      <c r="X318" s="5">
        <v>0</v>
      </c>
      <c r="Y318" s="5">
        <v>0.5</v>
      </c>
      <c r="Z318" s="5">
        <v>0.15</v>
      </c>
      <c r="AA318" s="5">
        <v>6</v>
      </c>
      <c r="AB318" s="5">
        <v>0.11</v>
      </c>
      <c r="AC318" s="5">
        <v>0.12</v>
      </c>
      <c r="AD318" s="5">
        <v>5.5</v>
      </c>
      <c r="AE318" s="5">
        <v>0.54</v>
      </c>
      <c r="AF318" s="5">
        <v>16</v>
      </c>
      <c r="AG318" s="5">
        <v>1</v>
      </c>
      <c r="AH318" s="5">
        <v>0.55000000000000004</v>
      </c>
      <c r="AI318" s="5">
        <v>0</v>
      </c>
      <c r="AJ318" s="5">
        <v>0</v>
      </c>
      <c r="AK318" s="5">
        <v>10</v>
      </c>
      <c r="AL318" s="5">
        <v>172</v>
      </c>
      <c r="AM318" s="5">
        <v>2.1</v>
      </c>
      <c r="AN318" s="5">
        <v>6</v>
      </c>
      <c r="AO318" s="5">
        <v>3.6</v>
      </c>
      <c r="AP318" s="5">
        <v>17</v>
      </c>
      <c r="AQ318" s="5">
        <v>51</v>
      </c>
      <c r="AR318" s="5">
        <v>330</v>
      </c>
      <c r="AS318" s="5">
        <v>0.01</v>
      </c>
      <c r="AT318" s="5">
        <v>6.7000000000000004E-2</v>
      </c>
      <c r="AU318" s="5">
        <v>1</v>
      </c>
      <c r="AV318" s="5">
        <f>IFERROR(VLOOKUP(IFERROR(VLOOKUP(D318,Mapa_Similitud!$A$2:$B$2000,2,FALSE()),D318),Hoja1!$A$2:$K$1000,2,FALSE()),IFERROR(VLOOKUP(IFERROR(VLOOKUP(D318,Mapa_Similitud!$A$2:$B$2000,2,FALSE()),D318),Omega3_Referencia!$A$2:$E$100,3,FALSE()),0))</f>
        <v>0.05</v>
      </c>
      <c r="AW318" s="3" t="str">
        <f>IFERROR(VLOOKUP(IFERROR(VLOOKUP(D318,Mapa_Similitud!$A$2:$B$2000,2,FALSE()),D318),Hoja1!$A$2:$K$1000,3,FALSE()),IFERROR(VLOOKUP(IFERROR(VLOOKUP(D318,Mapa_Similitud!$A$2:$B$2000,2,FALSE()),D318),Omega3_Referencia!$A$2:$E$100,4,FALSE()),"N/A"))</f>
        <v>ALA</v>
      </c>
      <c r="AX318" s="5">
        <f>IFERROR(VLOOKUP(IFERROR(VLOOKUP(D318,Mapa_Similitud!$A$2:$B$2000,2,FALSE()),D318),Hoja1!$A$2:$K$1000,5,FALSE()),0)</f>
        <v>0.3</v>
      </c>
      <c r="AY318" s="5">
        <f>IFERROR(VLOOKUP(IFERROR(VLOOKUP(D318,Mapa_Similitud!$A$2:$B$2000,2,FALSE()),D318),Hoja1!$A$2:$K$1000,7,FALSE()),0)</f>
        <v>0</v>
      </c>
      <c r="AZ318" s="5">
        <f>IFERROR(VLOOKUP(IFERROR(VLOOKUP(D318,Mapa_Similitud!$A$2:$B$2000,2,FALSE()),D318),Hoja1!$A$2:$K$1000,9,FALSE()),0)</f>
        <v>0</v>
      </c>
      <c r="BA318" s="25">
        <f t="shared" si="116"/>
        <v>0.11937500000000001</v>
      </c>
      <c r="BB318" s="25">
        <f t="shared" si="117"/>
        <v>0</v>
      </c>
      <c r="BC318" s="25">
        <f t="shared" si="118"/>
        <v>6.25E-2</v>
      </c>
      <c r="BD318" s="25">
        <f t="shared" si="119"/>
        <v>1.3125000000000001E-2</v>
      </c>
      <c r="BE318" s="25">
        <f t="shared" si="120"/>
        <v>0.31874999999999998</v>
      </c>
      <c r="BF318" s="25">
        <f t="shared" si="121"/>
        <v>0.10263157894736843</v>
      </c>
      <c r="BG318" s="25">
        <f t="shared" si="122"/>
        <v>5.8139534883720929E-2</v>
      </c>
      <c r="BH318" s="25">
        <f t="shared" si="123"/>
        <v>0.40860215053763438</v>
      </c>
      <c r="BI318" s="25">
        <f t="shared" si="124"/>
        <v>0.15454545454545454</v>
      </c>
      <c r="BJ318" s="25">
        <f t="shared" si="125"/>
        <v>0</v>
      </c>
      <c r="BK318" s="25">
        <f t="shared" si="126"/>
        <v>0</v>
      </c>
      <c r="BL318" s="25">
        <f t="shared" si="127"/>
        <v>0.52312500000000006</v>
      </c>
      <c r="BM318" s="25">
        <f t="shared" si="128"/>
        <v>0.10625</v>
      </c>
      <c r="BN318" s="18" t="str">
        <f t="shared" si="134"/>
        <v>Media fuente de proteína</v>
      </c>
      <c r="BO318" s="18" t="str">
        <f t="shared" si="135"/>
        <v>Baja fuente de fibra</v>
      </c>
      <c r="BP318" s="18" t="str">
        <f t="shared" si="136"/>
        <v>Baja fuente de calcio</v>
      </c>
      <c r="BQ318" s="18" t="str">
        <f t="shared" si="137"/>
        <v>Media fuente de hierro</v>
      </c>
      <c r="BR318" s="18" t="str">
        <f t="shared" si="138"/>
        <v>Bajo en sodio</v>
      </c>
      <c r="BS318" s="6" t="str">
        <f t="shared" si="129"/>
        <v>Proinflamatorio</v>
      </c>
      <c r="BT318" s="6" t="str">
        <f t="shared" si="130"/>
        <v>Muy alto en grasas</v>
      </c>
      <c r="BU318" s="18" t="str">
        <f t="shared" si="139"/>
        <v>Equilibrio de líquidos ideal</v>
      </c>
      <c r="BV318" s="18" t="str">
        <f t="shared" si="140"/>
        <v>Baja fuente de magnesio</v>
      </c>
      <c r="BW318" s="18" t="str">
        <f t="shared" si="141"/>
        <v>Sin aporte de Omega 3</v>
      </c>
      <c r="BX318" s="18" t="str">
        <f t="shared" si="142"/>
        <v>Contiene grasas trans</v>
      </c>
      <c r="BY318" s="18" t="str">
        <f t="shared" si="143"/>
        <v>Bajo poder antioxidante</v>
      </c>
      <c r="BZ318" s="6" t="str">
        <f t="shared" si="131"/>
        <v>Sin probióticos</v>
      </c>
      <c r="CA318" s="18" t="str">
        <f t="shared" si="144"/>
        <v>Moderadamente inflamatorio</v>
      </c>
      <c r="CB318" s="18" t="str">
        <f>IF(ISNUMBER(SEARCH("miel", D318)), "No irritante (Uso condicionado SII)", IF(OR(J318&gt;0, ISNUMBER(SEARCH("cacao", D318)), ISNUMBER(SEARCH("chocolate puro", D318))), "Altamente irritante", IF(OR(AND(O318&gt;15, BI318&gt;1), ISNUMBER(SEARCH("chocolate", D318))), "Moderadamente irritante", "No irritante")))</f>
        <v>No irritante</v>
      </c>
      <c r="CC318" s="6" t="str">
        <f t="shared" si="132"/>
        <v>Exceso relativo de Omega 6</v>
      </c>
    </row>
    <row r="319" spans="1:81" ht="15" customHeight="1" x14ac:dyDescent="0.3">
      <c r="A319" s="2">
        <f t="shared" si="133"/>
        <v>318</v>
      </c>
      <c r="B319" s="3" t="s">
        <v>391</v>
      </c>
      <c r="C319" s="3" t="s">
        <v>450</v>
      </c>
      <c r="D319" s="3" t="s">
        <v>456</v>
      </c>
      <c r="E319" s="3"/>
      <c r="F319" s="4">
        <v>3.2</v>
      </c>
      <c r="G319" s="5">
        <v>0.78</v>
      </c>
      <c r="H319" s="5">
        <v>107</v>
      </c>
      <c r="I319" s="5">
        <v>76.5</v>
      </c>
      <c r="J319" s="5">
        <v>0</v>
      </c>
      <c r="K319" s="5">
        <v>20.9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2.6</v>
      </c>
      <c r="R319" s="5">
        <v>1.1000000000000001</v>
      </c>
      <c r="S319" s="5">
        <v>0.98</v>
      </c>
      <c r="T319" s="5">
        <v>0.2</v>
      </c>
      <c r="U319" s="5">
        <v>70</v>
      </c>
      <c r="V319" s="5">
        <v>0</v>
      </c>
      <c r="W319" s="5">
        <v>0</v>
      </c>
      <c r="X319" s="5">
        <v>0</v>
      </c>
      <c r="Y319" s="5">
        <v>0</v>
      </c>
      <c r="Z319" s="5">
        <v>0.19</v>
      </c>
      <c r="AA319" s="5">
        <v>7</v>
      </c>
      <c r="AB319" s="5">
        <v>0.14000000000000001</v>
      </c>
      <c r="AC319" s="5">
        <v>0.26</v>
      </c>
      <c r="AD319" s="5">
        <v>7.4</v>
      </c>
      <c r="AE319" s="5">
        <v>0.4</v>
      </c>
      <c r="AF319" s="5">
        <v>5</v>
      </c>
      <c r="AG319" s="5">
        <v>1</v>
      </c>
      <c r="AH319" s="5">
        <v>0.85</v>
      </c>
      <c r="AI319" s="5">
        <v>0</v>
      </c>
      <c r="AJ319" s="5">
        <v>0</v>
      </c>
      <c r="AK319" s="5">
        <v>13</v>
      </c>
      <c r="AL319" s="5">
        <v>195</v>
      </c>
      <c r="AM319" s="5">
        <v>2.1</v>
      </c>
      <c r="AN319" s="5">
        <v>2.8</v>
      </c>
      <c r="AO319" s="5">
        <v>2.2999999999999998</v>
      </c>
      <c r="AP319" s="5">
        <v>16</v>
      </c>
      <c r="AQ319" s="5">
        <v>93</v>
      </c>
      <c r="AR319" s="5">
        <v>369</v>
      </c>
      <c r="AS319" s="5">
        <v>0.03</v>
      </c>
      <c r="AT319" s="5">
        <v>0.25</v>
      </c>
      <c r="AU319" s="5">
        <v>8.1</v>
      </c>
      <c r="AV319" s="5">
        <f>IFERROR(VLOOKUP(IFERROR(VLOOKUP(D319,Mapa_Similitud!$A$2:$B$2000,2,FALSE()),D319),Hoja1!$A$2:$K$1000,2,FALSE()),IFERROR(VLOOKUP(IFERROR(VLOOKUP(D319,Mapa_Similitud!$A$2:$B$2000,2,FALSE()),D319),Omega3_Referencia!$A$2:$E$100,3,FALSE()),0))</f>
        <v>0.04</v>
      </c>
      <c r="AW319" s="3" t="str">
        <f>IFERROR(VLOOKUP(IFERROR(VLOOKUP(D319,Mapa_Similitud!$A$2:$B$2000,2,FALSE()),D319),Hoja1!$A$2:$K$1000,3,FALSE()),IFERROR(VLOOKUP(IFERROR(VLOOKUP(D319,Mapa_Similitud!$A$2:$B$2000,2,FALSE()),D319),Omega3_Referencia!$A$2:$E$100,4,FALSE()),"N/A"))</f>
        <v>ALA</v>
      </c>
      <c r="AX319" s="5">
        <f>IFERROR(VLOOKUP(IFERROR(VLOOKUP(D319,Mapa_Similitud!$A$2:$B$2000,2,FALSE()),D319),Hoja1!$A$2:$K$1000,5,FALSE()),0)</f>
        <v>0.2</v>
      </c>
      <c r="AY319" s="5">
        <f>IFERROR(VLOOKUP(IFERROR(VLOOKUP(D319,Mapa_Similitud!$A$2:$B$2000,2,FALSE()),D319),Hoja1!$A$2:$K$1000,7,FALSE()),0)</f>
        <v>0</v>
      </c>
      <c r="AZ319" s="5">
        <f>IFERROR(VLOOKUP(IFERROR(VLOOKUP(D319,Mapa_Similitud!$A$2:$B$2000,2,FALSE()),D319),Hoja1!$A$2:$K$1000,9,FALSE()),0)</f>
        <v>0</v>
      </c>
      <c r="BA319" s="25">
        <f t="shared" si="116"/>
        <v>0.1953271028037383</v>
      </c>
      <c r="BB319" s="25">
        <f t="shared" si="117"/>
        <v>0</v>
      </c>
      <c r="BC319" s="25">
        <f t="shared" si="118"/>
        <v>0.12149532710280374</v>
      </c>
      <c r="BD319" s="25">
        <f t="shared" si="119"/>
        <v>1.9626168224299065E-2</v>
      </c>
      <c r="BE319" s="25">
        <f t="shared" si="120"/>
        <v>0.86915887850467288</v>
      </c>
      <c r="BF319" s="25">
        <f t="shared" si="121"/>
        <v>0.18181818181818182</v>
      </c>
      <c r="BG319" s="25">
        <f t="shared" si="122"/>
        <v>6.6666666666666666E-2</v>
      </c>
      <c r="BH319" s="25">
        <f t="shared" si="123"/>
        <v>0.42307692307692307</v>
      </c>
      <c r="BI319" s="25">
        <f t="shared" si="124"/>
        <v>0.25203252032520324</v>
      </c>
      <c r="BJ319" s="25">
        <f t="shared" si="125"/>
        <v>0</v>
      </c>
      <c r="BK319" s="25">
        <f t="shared" si="126"/>
        <v>0</v>
      </c>
      <c r="BL319" s="25">
        <f t="shared" si="127"/>
        <v>0.21869158878504674</v>
      </c>
      <c r="BM319" s="25">
        <f t="shared" si="128"/>
        <v>0.14953271028037382</v>
      </c>
      <c r="BN319" s="18" t="str">
        <f t="shared" si="134"/>
        <v>Alta fuente de proteína</v>
      </c>
      <c r="BO319" s="18" t="str">
        <f t="shared" si="135"/>
        <v>Baja fuente de fibra</v>
      </c>
      <c r="BP319" s="18" t="str">
        <f t="shared" si="136"/>
        <v>Baja fuente de calcio</v>
      </c>
      <c r="BQ319" s="18" t="str">
        <f t="shared" si="137"/>
        <v>Alta fuente de hierro</v>
      </c>
      <c r="BR319" s="18" t="str">
        <f t="shared" si="138"/>
        <v>Moderado en sodio</v>
      </c>
      <c r="BS319" s="6" t="str">
        <f t="shared" si="129"/>
        <v>Proinflamatorio</v>
      </c>
      <c r="BT319" s="6" t="str">
        <f t="shared" si="130"/>
        <v>Moderado en grasas</v>
      </c>
      <c r="BU319" s="18" t="str">
        <f t="shared" si="139"/>
        <v>Equilibrio de líquidos ideal</v>
      </c>
      <c r="BV319" s="18" t="str">
        <f t="shared" si="140"/>
        <v>Baja fuente de magnesio</v>
      </c>
      <c r="BW319" s="18" t="str">
        <f t="shared" si="141"/>
        <v>Sin aporte de Omega 3</v>
      </c>
      <c r="BX319" s="18" t="str">
        <f t="shared" si="142"/>
        <v>Contiene grasas trans</v>
      </c>
      <c r="BY319" s="18" t="str">
        <f t="shared" si="143"/>
        <v>Bajo poder antioxidante</v>
      </c>
      <c r="BZ319" s="6" t="str">
        <f t="shared" si="131"/>
        <v>Sin probióticos</v>
      </c>
      <c r="CA319" s="18" t="str">
        <f t="shared" si="144"/>
        <v>Moderadamente inflamatorio</v>
      </c>
      <c r="CB319" s="18" t="str">
        <f>IF(ISNUMBER(SEARCH("miel", D319)), "No irritante (Uso condicionado SII)", IF(OR(J319&gt;0, ISNUMBER(SEARCH("cacao", D319)), ISNUMBER(SEARCH("chocolate puro", D319))), "Altamente irritante", IF(OR(AND(O319&gt;15, BI319&gt;1), ISNUMBER(SEARCH("chocolate", D319))), "Moderadamente irritante", "No irritante")))</f>
        <v>No irritante</v>
      </c>
      <c r="CC319" s="6" t="str">
        <f t="shared" si="132"/>
        <v>Balance de omegas favorable</v>
      </c>
    </row>
    <row r="320" spans="1:81" ht="15" customHeight="1" x14ac:dyDescent="0.3">
      <c r="A320" s="2">
        <f t="shared" si="133"/>
        <v>319</v>
      </c>
      <c r="B320" s="3" t="s">
        <v>391</v>
      </c>
      <c r="C320" s="3" t="s">
        <v>450</v>
      </c>
      <c r="D320" s="3" t="s">
        <v>457</v>
      </c>
      <c r="E320" s="3"/>
      <c r="F320" s="4">
        <v>4</v>
      </c>
      <c r="G320" s="5">
        <v>1</v>
      </c>
      <c r="H320" s="5">
        <v>120</v>
      </c>
      <c r="I320" s="5">
        <v>77.400000000000006</v>
      </c>
      <c r="J320" s="5">
        <v>0</v>
      </c>
      <c r="K320" s="5">
        <v>16.600000000000001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6</v>
      </c>
      <c r="R320" s="5">
        <v>2.7</v>
      </c>
      <c r="S320" s="5">
        <v>2.4</v>
      </c>
      <c r="T320" s="5">
        <v>0.35</v>
      </c>
      <c r="U320" s="5">
        <v>62.8</v>
      </c>
      <c r="V320" s="5">
        <v>0</v>
      </c>
      <c r="W320" s="5">
        <v>0</v>
      </c>
      <c r="X320" s="5">
        <v>0</v>
      </c>
      <c r="Y320" s="5">
        <v>0</v>
      </c>
      <c r="Z320" s="5">
        <v>0.19</v>
      </c>
      <c r="AA320" s="5">
        <v>4</v>
      </c>
      <c r="AB320" s="5">
        <v>7.0000000000000007E-2</v>
      </c>
      <c r="AC320" s="5">
        <v>0.24</v>
      </c>
      <c r="AD320" s="5">
        <v>7.5</v>
      </c>
      <c r="AE320" s="5">
        <v>0.61</v>
      </c>
      <c r="AF320" s="5">
        <v>3.3</v>
      </c>
      <c r="AG320" s="5">
        <v>2</v>
      </c>
      <c r="AH320" s="5">
        <v>13</v>
      </c>
      <c r="AI320" s="5">
        <v>0</v>
      </c>
      <c r="AJ320" s="5">
        <v>0</v>
      </c>
      <c r="AK320" s="5">
        <v>8</v>
      </c>
      <c r="AL320" s="5">
        <v>199</v>
      </c>
      <c r="AM320" s="5">
        <v>2.9</v>
      </c>
      <c r="AN320" s="5">
        <v>2.8</v>
      </c>
      <c r="AO320" s="5">
        <v>7.1</v>
      </c>
      <c r="AP320" s="5">
        <v>20</v>
      </c>
      <c r="AQ320" s="5">
        <v>85</v>
      </c>
      <c r="AR320" s="5">
        <v>304</v>
      </c>
      <c r="AS320" s="5">
        <v>2.7E-2</v>
      </c>
      <c r="AT320" s="5">
        <v>9.4E-2</v>
      </c>
      <c r="AU320" s="5">
        <v>8.5</v>
      </c>
      <c r="AV320" s="5">
        <f>IFERROR(VLOOKUP(IFERROR(VLOOKUP(D320,Mapa_Similitud!$A$2:$B$2000,2,FALSE()),D320),Hoja1!$A$2:$K$1000,2,FALSE()),IFERROR(VLOOKUP(IFERROR(VLOOKUP(D320,Mapa_Similitud!$A$2:$B$2000,2,FALSE()),D320),Omega3_Referencia!$A$2:$E$100,3,FALSE()),0))</f>
        <v>0.03</v>
      </c>
      <c r="AW320" s="3" t="str">
        <f>IFERROR(VLOOKUP(IFERROR(VLOOKUP(D320,Mapa_Similitud!$A$2:$B$2000,2,FALSE()),D320),Hoja1!$A$2:$K$1000,3,FALSE()),IFERROR(VLOOKUP(IFERROR(VLOOKUP(D320,Mapa_Similitud!$A$2:$B$2000,2,FALSE()),D320),Omega3_Referencia!$A$2:$E$100,4,FALSE()),"N/A"))</f>
        <v>ALA</v>
      </c>
      <c r="AX320" s="5">
        <f>IFERROR(VLOOKUP(IFERROR(VLOOKUP(D320,Mapa_Similitud!$A$2:$B$2000,2,FALSE()),D320),Hoja1!$A$2:$K$1000,5,FALSE()),0)</f>
        <v>0.1</v>
      </c>
      <c r="AY320" s="5">
        <f>IFERROR(VLOOKUP(IFERROR(VLOOKUP(D320,Mapa_Similitud!$A$2:$B$2000,2,FALSE()),D320),Hoja1!$A$2:$K$1000,7,FALSE()),0)</f>
        <v>0</v>
      </c>
      <c r="AZ320" s="5">
        <f>IFERROR(VLOOKUP(IFERROR(VLOOKUP(D320,Mapa_Similitud!$A$2:$B$2000,2,FALSE()),D320),Hoja1!$A$2:$K$1000,9,FALSE()),0)</f>
        <v>0</v>
      </c>
      <c r="BA320" s="25">
        <f t="shared" si="116"/>
        <v>0.13833333333333334</v>
      </c>
      <c r="BB320" s="25">
        <f t="shared" si="117"/>
        <v>0</v>
      </c>
      <c r="BC320" s="25">
        <f t="shared" si="118"/>
        <v>6.6666666666666666E-2</v>
      </c>
      <c r="BD320" s="25">
        <f t="shared" si="119"/>
        <v>2.4166666666666666E-2</v>
      </c>
      <c r="BE320" s="25">
        <f t="shared" si="120"/>
        <v>0.70833333333333337</v>
      </c>
      <c r="BF320" s="25">
        <f t="shared" si="121"/>
        <v>0.12962962962962962</v>
      </c>
      <c r="BG320" s="25">
        <f t="shared" si="122"/>
        <v>4.0201005025125629E-2</v>
      </c>
      <c r="BH320" s="25">
        <f t="shared" si="123"/>
        <v>0.45</v>
      </c>
      <c r="BI320" s="25">
        <f t="shared" si="124"/>
        <v>0.27960526315789475</v>
      </c>
      <c r="BJ320" s="25">
        <f t="shared" si="125"/>
        <v>0</v>
      </c>
      <c r="BK320" s="25">
        <f t="shared" si="126"/>
        <v>0</v>
      </c>
      <c r="BL320" s="25">
        <f t="shared" si="127"/>
        <v>0.45</v>
      </c>
      <c r="BM320" s="25">
        <f t="shared" si="128"/>
        <v>0.16666666666666666</v>
      </c>
      <c r="BN320" s="18" t="str">
        <f t="shared" si="134"/>
        <v>Media fuente de proteína</v>
      </c>
      <c r="BO320" s="18" t="str">
        <f t="shared" si="135"/>
        <v>Baja fuente de fibra</v>
      </c>
      <c r="BP320" s="18" t="str">
        <f t="shared" si="136"/>
        <v>Baja fuente de calcio</v>
      </c>
      <c r="BQ320" s="18" t="str">
        <f t="shared" si="137"/>
        <v>Alta fuente de hierro</v>
      </c>
      <c r="BR320" s="18" t="str">
        <f t="shared" si="138"/>
        <v>Moderado en sodio</v>
      </c>
      <c r="BS320" s="6" t="str">
        <f t="shared" si="129"/>
        <v>Proinflamatorio</v>
      </c>
      <c r="BT320" s="6" t="str">
        <f t="shared" si="130"/>
        <v>Muy alto en grasas</v>
      </c>
      <c r="BU320" s="18" t="str">
        <f t="shared" si="139"/>
        <v>Equilibrio de líquidos ideal</v>
      </c>
      <c r="BV320" s="18" t="str">
        <f t="shared" si="140"/>
        <v>Baja fuente de magnesio</v>
      </c>
      <c r="BW320" s="18" t="str">
        <f t="shared" si="141"/>
        <v>Sin aporte de Omega 3</v>
      </c>
      <c r="BX320" s="18" t="str">
        <f t="shared" si="142"/>
        <v>Contiene grasas trans</v>
      </c>
      <c r="BY320" s="18" t="str">
        <f t="shared" si="143"/>
        <v>Bajo poder antioxidante</v>
      </c>
      <c r="BZ320" s="6" t="str">
        <f t="shared" si="131"/>
        <v>Sin probióticos</v>
      </c>
      <c r="CA320" s="18" t="str">
        <f t="shared" si="144"/>
        <v>Moderadamente inflamatorio</v>
      </c>
      <c r="CB320" s="18" t="str">
        <f>IF(ISNUMBER(SEARCH("miel", D320)), "No irritante (Uso condicionado SII)", IF(OR(J320&gt;0, ISNUMBER(SEARCH("cacao", D320)), ISNUMBER(SEARCH("chocolate puro", D320))), "Altamente irritante", IF(OR(AND(O320&gt;15, BI320&gt;1), ISNUMBER(SEARCH("chocolate", D320))), "Moderadamente irritante", "No irritante")))</f>
        <v>No irritante</v>
      </c>
      <c r="CC320" s="6" t="str">
        <f t="shared" si="132"/>
        <v>Exceso relativo de Omega 6</v>
      </c>
    </row>
    <row r="321" spans="1:81" ht="15" customHeight="1" x14ac:dyDescent="0.3">
      <c r="A321" s="2">
        <f t="shared" si="133"/>
        <v>320</v>
      </c>
      <c r="B321" s="3" t="s">
        <v>391</v>
      </c>
      <c r="C321" s="3" t="s">
        <v>450</v>
      </c>
      <c r="D321" s="3" t="s">
        <v>458</v>
      </c>
      <c r="E321" s="3"/>
      <c r="F321" s="4">
        <v>2.5</v>
      </c>
      <c r="G321" s="5">
        <v>1</v>
      </c>
      <c r="H321" s="5">
        <v>242</v>
      </c>
      <c r="I321" s="5">
        <v>62.8</v>
      </c>
      <c r="J321" s="5">
        <v>0</v>
      </c>
      <c r="K321" s="5">
        <v>18.600000000000001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18.600000000000001</v>
      </c>
      <c r="R321" s="5">
        <v>6.3</v>
      </c>
      <c r="S321" s="5">
        <v>6.6</v>
      </c>
      <c r="T321" s="5">
        <v>0.49</v>
      </c>
      <c r="U321" s="5">
        <v>70</v>
      </c>
      <c r="V321" s="5">
        <v>22</v>
      </c>
      <c r="W321" s="5">
        <v>0</v>
      </c>
      <c r="X321" s="5">
        <v>0</v>
      </c>
      <c r="Y321" s="5">
        <v>0</v>
      </c>
      <c r="Z321" s="5">
        <v>0.19</v>
      </c>
      <c r="AA321" s="5">
        <v>0</v>
      </c>
      <c r="AB321" s="5">
        <v>0.04</v>
      </c>
      <c r="AC321" s="5">
        <v>0.06</v>
      </c>
      <c r="AD321" s="5">
        <v>7</v>
      </c>
      <c r="AE321" s="5">
        <v>0.23</v>
      </c>
      <c r="AF321" s="5">
        <v>0</v>
      </c>
      <c r="AG321" s="5">
        <v>1</v>
      </c>
      <c r="AH321" s="5">
        <v>0</v>
      </c>
      <c r="AI321" s="5">
        <v>0</v>
      </c>
      <c r="AJ321" s="5">
        <v>0</v>
      </c>
      <c r="AK321" s="5">
        <v>8.1</v>
      </c>
      <c r="AL321" s="5">
        <v>139</v>
      </c>
      <c r="AM321" s="5">
        <v>1.9</v>
      </c>
      <c r="AN321" s="5">
        <v>6</v>
      </c>
      <c r="AO321" s="5">
        <v>3.6</v>
      </c>
      <c r="AP321" s="5">
        <v>18</v>
      </c>
      <c r="AQ321" s="5">
        <v>61</v>
      </c>
      <c r="AR321" s="5">
        <v>264</v>
      </c>
      <c r="AS321" s="5">
        <v>0</v>
      </c>
      <c r="AT321" s="5">
        <v>0</v>
      </c>
      <c r="AU321" s="5">
        <v>1</v>
      </c>
      <c r="AV321" s="5">
        <f>IFERROR(VLOOKUP(IFERROR(VLOOKUP(D321,Mapa_Similitud!$A$2:$B$2000,2,FALSE()),D321),Hoja1!$A$2:$K$1000,2,FALSE()),IFERROR(VLOOKUP(IFERROR(VLOOKUP(D321,Mapa_Similitud!$A$2:$B$2000,2,FALSE()),D321),Omega3_Referencia!$A$2:$E$100,3,FALSE()),0))</f>
        <v>0.06</v>
      </c>
      <c r="AW321" s="3" t="str">
        <f>IFERROR(VLOOKUP(IFERROR(VLOOKUP(D321,Mapa_Similitud!$A$2:$B$2000,2,FALSE()),D321),Hoja1!$A$2:$K$1000,3,FALSE()),IFERROR(VLOOKUP(IFERROR(VLOOKUP(D321,Mapa_Similitud!$A$2:$B$2000,2,FALSE()),D321),Omega3_Referencia!$A$2:$E$100,4,FALSE()),"N/A"))</f>
        <v>ALA</v>
      </c>
      <c r="AX321" s="5">
        <f>IFERROR(VLOOKUP(IFERROR(VLOOKUP(D321,Mapa_Similitud!$A$2:$B$2000,2,FALSE()),D321),Hoja1!$A$2:$K$1000,5,FALSE()),0)</f>
        <v>0.4</v>
      </c>
      <c r="AY321" s="5">
        <f>IFERROR(VLOOKUP(IFERROR(VLOOKUP(D321,Mapa_Similitud!$A$2:$B$2000,2,FALSE()),D321),Hoja1!$A$2:$K$1000,7,FALSE()),0)</f>
        <v>0</v>
      </c>
      <c r="AZ321" s="5">
        <f>IFERROR(VLOOKUP(IFERROR(VLOOKUP(D321,Mapa_Similitud!$A$2:$B$2000,2,FALSE()),D321),Hoja1!$A$2:$K$1000,9,FALSE()),0)</f>
        <v>0</v>
      </c>
      <c r="BA321" s="25">
        <f t="shared" si="116"/>
        <v>7.6859504132231415E-2</v>
      </c>
      <c r="BB321" s="25">
        <f t="shared" si="117"/>
        <v>0</v>
      </c>
      <c r="BC321" s="25">
        <f t="shared" si="118"/>
        <v>3.3471074380165285E-2</v>
      </c>
      <c r="BD321" s="25">
        <f t="shared" si="119"/>
        <v>7.8512396694214864E-3</v>
      </c>
      <c r="BE321" s="25">
        <f t="shared" si="120"/>
        <v>0.25206611570247933</v>
      </c>
      <c r="BF321" s="25">
        <f t="shared" si="121"/>
        <v>7.7777777777777779E-2</v>
      </c>
      <c r="BG321" s="25">
        <f t="shared" si="122"/>
        <v>5.8273381294964025E-2</v>
      </c>
      <c r="BH321" s="25">
        <f t="shared" si="123"/>
        <v>0.33870967741935482</v>
      </c>
      <c r="BI321" s="25">
        <f t="shared" si="124"/>
        <v>0.23106060606060605</v>
      </c>
      <c r="BJ321" s="25">
        <f t="shared" si="125"/>
        <v>0</v>
      </c>
      <c r="BK321" s="25">
        <f t="shared" si="126"/>
        <v>0</v>
      </c>
      <c r="BL321" s="25">
        <f t="shared" si="127"/>
        <v>0.69173553719008263</v>
      </c>
      <c r="BM321" s="25">
        <f t="shared" si="128"/>
        <v>7.43801652892562E-2</v>
      </c>
      <c r="BN321" s="18" t="str">
        <f t="shared" si="134"/>
        <v>Baja fuente de proteína</v>
      </c>
      <c r="BO321" s="18" t="str">
        <f t="shared" si="135"/>
        <v>Baja fuente de fibra</v>
      </c>
      <c r="BP321" s="18" t="str">
        <f t="shared" si="136"/>
        <v>Baja fuente de calcio</v>
      </c>
      <c r="BQ321" s="18" t="str">
        <f t="shared" si="137"/>
        <v>Baja fuente de hierro</v>
      </c>
      <c r="BR321" s="18" t="str">
        <f t="shared" si="138"/>
        <v>Bajo en sodio</v>
      </c>
      <c r="BS321" s="6" t="str">
        <f t="shared" si="129"/>
        <v>Proinflamatorio</v>
      </c>
      <c r="BT321" s="6" t="str">
        <f t="shared" si="130"/>
        <v>Muy alto en grasas</v>
      </c>
      <c r="BU321" s="18" t="str">
        <f t="shared" si="139"/>
        <v>Equilibrio de líquidos ideal</v>
      </c>
      <c r="BV321" s="18" t="str">
        <f t="shared" si="140"/>
        <v>Baja fuente de magnesio</v>
      </c>
      <c r="BW321" s="18" t="str">
        <f t="shared" si="141"/>
        <v>Sin aporte de Omega 3</v>
      </c>
      <c r="BX321" s="18" t="str">
        <f t="shared" si="142"/>
        <v>Contiene grasas trans</v>
      </c>
      <c r="BY321" s="18" t="str">
        <f t="shared" si="143"/>
        <v>Bajo poder antioxidante</v>
      </c>
      <c r="BZ321" s="6" t="str">
        <f t="shared" si="131"/>
        <v>Sin probióticos</v>
      </c>
      <c r="CA321" s="18" t="str">
        <f t="shared" si="144"/>
        <v>Moderadamente inflamatorio</v>
      </c>
      <c r="CB321" s="18" t="str">
        <f>IF(ISNUMBER(SEARCH("miel", D321)), "No irritante (Uso condicionado SII)", IF(OR(J321&gt;0, ISNUMBER(SEARCH("cacao", D321)), ISNUMBER(SEARCH("chocolate puro", D321))), "Altamente irritante", IF(OR(AND(O321&gt;15, BI321&gt;1), ISNUMBER(SEARCH("chocolate", D321))), "Moderadamente irritante", "No irritante")))</f>
        <v>No irritante</v>
      </c>
      <c r="CC321" s="6" t="str">
        <f t="shared" si="132"/>
        <v>Exceso relativo de Omega 6</v>
      </c>
    </row>
    <row r="322" spans="1:81" ht="15" customHeight="1" x14ac:dyDescent="0.3">
      <c r="A322" s="2">
        <f t="shared" si="133"/>
        <v>321</v>
      </c>
      <c r="B322" s="3" t="s">
        <v>391</v>
      </c>
      <c r="C322" s="3" t="s">
        <v>450</v>
      </c>
      <c r="D322" s="3" t="s">
        <v>459</v>
      </c>
      <c r="E322" s="3"/>
      <c r="F322" s="4">
        <v>2.5</v>
      </c>
      <c r="G322" s="5">
        <v>1</v>
      </c>
      <c r="H322" s="5">
        <v>131</v>
      </c>
      <c r="I322" s="5">
        <v>75.099999999999994</v>
      </c>
      <c r="J322" s="5">
        <v>0</v>
      </c>
      <c r="K322" s="5">
        <v>18.600000000000001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6.3</v>
      </c>
      <c r="R322" s="5">
        <v>2.6</v>
      </c>
      <c r="S322" s="5">
        <v>2.4</v>
      </c>
      <c r="T322" s="5">
        <v>0.41</v>
      </c>
      <c r="U322" s="5">
        <v>73</v>
      </c>
      <c r="V322" s="5">
        <v>0</v>
      </c>
      <c r="W322" s="5">
        <v>0</v>
      </c>
      <c r="X322" s="5">
        <v>0</v>
      </c>
      <c r="Y322" s="5">
        <v>0</v>
      </c>
      <c r="Z322" s="5">
        <v>0.08</v>
      </c>
      <c r="AA322" s="5">
        <v>6</v>
      </c>
      <c r="AB322" s="5">
        <v>0.14000000000000001</v>
      </c>
      <c r="AC322" s="5">
        <v>0.24</v>
      </c>
      <c r="AD322" s="5">
        <v>6.7</v>
      </c>
      <c r="AE322" s="5">
        <v>0.43</v>
      </c>
      <c r="AF322" s="5">
        <v>9</v>
      </c>
      <c r="AG322" s="5">
        <v>1.4</v>
      </c>
      <c r="AH322" s="5">
        <v>0.99</v>
      </c>
      <c r="AI322" s="5">
        <v>0</v>
      </c>
      <c r="AJ322" s="5">
        <v>0</v>
      </c>
      <c r="AK322" s="5">
        <v>11</v>
      </c>
      <c r="AL322" s="5">
        <v>237</v>
      </c>
      <c r="AM322" s="5">
        <v>3</v>
      </c>
      <c r="AN322" s="5">
        <v>3</v>
      </c>
      <c r="AO322" s="5">
        <v>3.3</v>
      </c>
      <c r="AP322" s="5">
        <v>17</v>
      </c>
      <c r="AQ322" s="5">
        <v>105</v>
      </c>
      <c r="AR322" s="5">
        <v>329</v>
      </c>
      <c r="AS322" s="5">
        <v>1.2E-2</v>
      </c>
      <c r="AT322" s="5">
        <v>6.5000000000000002E-2</v>
      </c>
      <c r="AU322" s="5">
        <v>15.6</v>
      </c>
      <c r="AV322" s="5">
        <f>IFERROR(VLOOKUP(IFERROR(VLOOKUP(D322,Mapa_Similitud!$A$2:$B$2000,2,FALSE()),D322),Hoja1!$A$2:$K$1000,2,FALSE()),IFERROR(VLOOKUP(IFERROR(VLOOKUP(D322,Mapa_Similitud!$A$2:$B$2000,2,FALSE()),D322),Omega3_Referencia!$A$2:$E$100,3,FALSE()),0))</f>
        <v>0.04</v>
      </c>
      <c r="AW322" s="3" t="str">
        <f>IFERROR(VLOOKUP(IFERROR(VLOOKUP(D322,Mapa_Similitud!$A$2:$B$2000,2,FALSE()),D322),Hoja1!$A$2:$K$1000,3,FALSE()),IFERROR(VLOOKUP(IFERROR(VLOOKUP(D322,Mapa_Similitud!$A$2:$B$2000,2,FALSE()),D322),Omega3_Referencia!$A$2:$E$100,4,FALSE()),"N/A"))</f>
        <v>ALA</v>
      </c>
      <c r="AX322" s="5">
        <f>IFERROR(VLOOKUP(IFERROR(VLOOKUP(D322,Mapa_Similitud!$A$2:$B$2000,2,FALSE()),D322),Hoja1!$A$2:$K$1000,5,FALSE()),0)</f>
        <v>0.2</v>
      </c>
      <c r="AY322" s="5">
        <f>IFERROR(VLOOKUP(IFERROR(VLOOKUP(D322,Mapa_Similitud!$A$2:$B$2000,2,FALSE()),D322),Hoja1!$A$2:$K$1000,7,FALSE()),0)</f>
        <v>0</v>
      </c>
      <c r="AZ322" s="5">
        <f>IFERROR(VLOOKUP(IFERROR(VLOOKUP(D322,Mapa_Similitud!$A$2:$B$2000,2,FALSE()),D322),Hoja1!$A$2:$K$1000,9,FALSE()),0)</f>
        <v>0</v>
      </c>
      <c r="BA322" s="25">
        <f t="shared" ref="BA322:BA385" si="145">IFERROR(K322/H322,0)</f>
        <v>0.1419847328244275</v>
      </c>
      <c r="BB322" s="25">
        <f t="shared" ref="BB322:BB385" si="146">IFERROR(P322/H322,0)</f>
        <v>0</v>
      </c>
      <c r="BC322" s="25">
        <f t="shared" ref="BC322:BC385" si="147">IFERROR(AK322/H322,0)</f>
        <v>8.3969465648854963E-2</v>
      </c>
      <c r="BD322" s="25">
        <f t="shared" ref="BD322:BD385" si="148">IFERROR(AM322/H322,0)</f>
        <v>2.2900763358778626E-2</v>
      </c>
      <c r="BE322" s="25">
        <f t="shared" ref="BE322:BE385" si="149">IFERROR(AQ322/H322,0)</f>
        <v>0.80152671755725191</v>
      </c>
      <c r="BF322" s="25">
        <f t="shared" ref="BF322:BF385" si="150">IFERROR(T322/R322,0)</f>
        <v>0.15769230769230769</v>
      </c>
      <c r="BG322" s="25">
        <f t="shared" ref="BG322:BG385" si="151">IFERROR(AK322/AL322,0)</f>
        <v>4.6413502109704644E-2</v>
      </c>
      <c r="BH322" s="25">
        <f t="shared" ref="BH322:BH385" si="152">IFERROR(R322/Q322,0)</f>
        <v>0.41269841269841273</v>
      </c>
      <c r="BI322" s="25">
        <f t="shared" ref="BI322:BI385" si="153">IFERROR(AQ322/AR322,0)</f>
        <v>0.31914893617021278</v>
      </c>
      <c r="BJ322" s="25">
        <f t="shared" ref="BJ322:BJ385" si="154">IFERROR(N322/L322,0)</f>
        <v>0</v>
      </c>
      <c r="BK322" s="25">
        <f t="shared" ref="BK322:BK385" si="155">IFERROR(P322/L322,0)</f>
        <v>0</v>
      </c>
      <c r="BL322" s="25">
        <f t="shared" ref="BL322:BL385" si="156">IFERROR((Q322*9)/H322,0)</f>
        <v>0.43282442748091599</v>
      </c>
      <c r="BM322" s="25">
        <f t="shared" ref="BM322:BM385" si="157">IFERROR(AP322/H322,0)</f>
        <v>0.12977099236641221</v>
      </c>
      <c r="BN322" s="18" t="str">
        <f t="shared" si="134"/>
        <v>Media fuente de proteína</v>
      </c>
      <c r="BO322" s="18" t="str">
        <f t="shared" si="135"/>
        <v>Baja fuente de fibra</v>
      </c>
      <c r="BP322" s="18" t="str">
        <f t="shared" si="136"/>
        <v>Baja fuente de calcio</v>
      </c>
      <c r="BQ322" s="18" t="str">
        <f t="shared" si="137"/>
        <v>Alta fuente de hierro</v>
      </c>
      <c r="BR322" s="18" t="str">
        <f t="shared" si="138"/>
        <v>Moderado en sodio</v>
      </c>
      <c r="BS322" s="6" t="str">
        <f t="shared" ref="BS322:BS385" si="158">IF(BF322&gt;2,"Altamente antiinflamatorio",IF(BF322&gt;1,"Ligeramente antiinflamatorio",IF(BF322&gt;0.5,"Neutro","Proinflamatorio")))</f>
        <v>Proinflamatorio</v>
      </c>
      <c r="BT322" s="6" t="str">
        <f t="shared" ref="BT322:BT385" si="159">IF(BL322&gt;0.4,"Muy alto en grasas",IF(BL322&gt;0.3,"Alto en grasas",IF(BL322&gt;0.2,"Moderado en grasas","Bajo en grasas")))</f>
        <v>Muy alto en grasas</v>
      </c>
      <c r="BU322" s="18" t="str">
        <f t="shared" si="139"/>
        <v>Equilibrio de líquidos ideal</v>
      </c>
      <c r="BV322" s="18" t="str">
        <f t="shared" si="140"/>
        <v>Baja fuente de magnesio</v>
      </c>
      <c r="BW322" s="18" t="str">
        <f t="shared" si="141"/>
        <v>Sin aporte de Omega 3</v>
      </c>
      <c r="BX322" s="18" t="str">
        <f t="shared" si="142"/>
        <v>Contiene grasas trans</v>
      </c>
      <c r="BY322" s="18" t="str">
        <f t="shared" si="143"/>
        <v>Bajo poder antioxidante</v>
      </c>
      <c r="BZ322" s="6" t="str">
        <f t="shared" ref="BZ322:BZ385" si="160">IF(AZ322&gt;=1,"Probiótico activo","Sin probióticos")</f>
        <v>Sin probióticos</v>
      </c>
      <c r="CA322" s="18" t="str">
        <f t="shared" si="144"/>
        <v>Moderadamente inflamatorio</v>
      </c>
      <c r="CB322" s="18" t="str">
        <f>IF(ISNUMBER(SEARCH("miel", D322)), "No irritante (Uso condicionado SII)", IF(OR(J322&gt;0, ISNUMBER(SEARCH("cacao", D322)), ISNUMBER(SEARCH("chocolate puro", D322))), "Altamente irritante", IF(OR(AND(O322&gt;15, BI322&gt;1), ISNUMBER(SEARCH("chocolate", D322))), "Moderadamente irritante", "No irritante")))</f>
        <v>No irritante</v>
      </c>
      <c r="CC322" s="6" t="str">
        <f t="shared" ref="CC322:CC385" si="161">IF(AV322=0,"Sin Omega 3 para evaluar",IFERROR(IF(((T322-AV322)/AV322)&gt;4,"Exceso relativo de Omega 6","Balance de omegas favorable"),"Sin Omega 3 para evaluar"))</f>
        <v>Exceso relativo de Omega 6</v>
      </c>
    </row>
    <row r="323" spans="1:81" ht="15" customHeight="1" x14ac:dyDescent="0.3">
      <c r="A323" s="2">
        <f t="shared" ref="A323:A386" si="162">1+A322</f>
        <v>322</v>
      </c>
      <c r="B323" s="3" t="s">
        <v>391</v>
      </c>
      <c r="C323" s="3" t="s">
        <v>450</v>
      </c>
      <c r="D323" s="3" t="s">
        <v>460</v>
      </c>
      <c r="E323" s="3"/>
      <c r="F323" s="4">
        <v>3.5</v>
      </c>
      <c r="G323" s="5">
        <v>1</v>
      </c>
      <c r="H323" s="5">
        <v>131</v>
      </c>
      <c r="I323" s="5">
        <v>73.900000000000006</v>
      </c>
      <c r="J323" s="5">
        <v>0</v>
      </c>
      <c r="K323" s="5">
        <v>20.7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5.4</v>
      </c>
      <c r="R323" s="5">
        <v>2</v>
      </c>
      <c r="S323" s="5">
        <v>2.2999999999999998</v>
      </c>
      <c r="T323" s="5">
        <v>0.19</v>
      </c>
      <c r="U323" s="5">
        <v>59</v>
      </c>
      <c r="V323" s="5">
        <v>4</v>
      </c>
      <c r="W323" s="5">
        <v>4</v>
      </c>
      <c r="X323" s="5">
        <v>0</v>
      </c>
      <c r="Y323" s="5">
        <v>0</v>
      </c>
      <c r="Z323" s="5">
        <v>0.15</v>
      </c>
      <c r="AA323" s="5">
        <v>7</v>
      </c>
      <c r="AB323" s="5">
        <v>4.1000000000000002E-2</v>
      </c>
      <c r="AC323" s="5">
        <v>0.16</v>
      </c>
      <c r="AD323" s="5">
        <v>8.1</v>
      </c>
      <c r="AE323" s="5">
        <v>0.32</v>
      </c>
      <c r="AF323" s="5">
        <v>8</v>
      </c>
      <c r="AG323" s="5">
        <v>2</v>
      </c>
      <c r="AH323" s="5">
        <v>0.64</v>
      </c>
      <c r="AI323" s="5">
        <v>0</v>
      </c>
      <c r="AJ323" s="5">
        <v>0</v>
      </c>
      <c r="AK323" s="5">
        <v>8</v>
      </c>
      <c r="AL323" s="5">
        <v>198</v>
      </c>
      <c r="AM323" s="5">
        <v>2.1</v>
      </c>
      <c r="AN323" s="5">
        <v>3</v>
      </c>
      <c r="AO323" s="5">
        <v>3.8</v>
      </c>
      <c r="AP323" s="5">
        <v>18</v>
      </c>
      <c r="AQ323" s="5">
        <v>60</v>
      </c>
      <c r="AR323" s="5">
        <v>350</v>
      </c>
      <c r="AS323" s="5">
        <v>0.01</v>
      </c>
      <c r="AT323" s="5">
        <v>7.6999999999999999E-2</v>
      </c>
      <c r="AU323" s="5">
        <v>17.399999999999999</v>
      </c>
      <c r="AV323" s="5">
        <f>IFERROR(VLOOKUP(IFERROR(VLOOKUP(D323,Mapa_Similitud!$A$2:$B$2000,2,FALSE()),D323),Hoja1!$A$2:$K$1000,2,FALSE()),IFERROR(VLOOKUP(IFERROR(VLOOKUP(D323,Mapa_Similitud!$A$2:$B$2000,2,FALSE()),D323),Omega3_Referencia!$A$2:$E$100,3,FALSE()),0))</f>
        <v>0.03</v>
      </c>
      <c r="AW323" s="3" t="str">
        <f>IFERROR(VLOOKUP(IFERROR(VLOOKUP(D323,Mapa_Similitud!$A$2:$B$2000,2,FALSE()),D323),Hoja1!$A$2:$K$1000,3,FALSE()),IFERROR(VLOOKUP(IFERROR(VLOOKUP(D323,Mapa_Similitud!$A$2:$B$2000,2,FALSE()),D323),Omega3_Referencia!$A$2:$E$100,4,FALSE()),"N/A"))</f>
        <v>ALA</v>
      </c>
      <c r="AX323" s="5">
        <f>IFERROR(VLOOKUP(IFERROR(VLOOKUP(D323,Mapa_Similitud!$A$2:$B$2000,2,FALSE()),D323),Hoja1!$A$2:$K$1000,5,FALSE()),0)</f>
        <v>0.1</v>
      </c>
      <c r="AY323" s="5">
        <f>IFERROR(VLOOKUP(IFERROR(VLOOKUP(D323,Mapa_Similitud!$A$2:$B$2000,2,FALSE()),D323),Hoja1!$A$2:$K$1000,7,FALSE()),0)</f>
        <v>0</v>
      </c>
      <c r="AZ323" s="5">
        <f>IFERROR(VLOOKUP(IFERROR(VLOOKUP(D323,Mapa_Similitud!$A$2:$B$2000,2,FALSE()),D323),Hoja1!$A$2:$K$1000,9,FALSE()),0)</f>
        <v>0</v>
      </c>
      <c r="BA323" s="25">
        <f t="shared" si="145"/>
        <v>0.15801526717557252</v>
      </c>
      <c r="BB323" s="25">
        <f t="shared" si="146"/>
        <v>0</v>
      </c>
      <c r="BC323" s="25">
        <f t="shared" si="147"/>
        <v>6.1068702290076333E-2</v>
      </c>
      <c r="BD323" s="25">
        <f t="shared" si="148"/>
        <v>1.6030534351145039E-2</v>
      </c>
      <c r="BE323" s="25">
        <f t="shared" si="149"/>
        <v>0.4580152671755725</v>
      </c>
      <c r="BF323" s="25">
        <f t="shared" si="150"/>
        <v>9.5000000000000001E-2</v>
      </c>
      <c r="BG323" s="25">
        <f t="shared" si="151"/>
        <v>4.0404040404040407E-2</v>
      </c>
      <c r="BH323" s="25">
        <f t="shared" si="152"/>
        <v>0.37037037037037035</v>
      </c>
      <c r="BI323" s="25">
        <f t="shared" si="153"/>
        <v>0.17142857142857143</v>
      </c>
      <c r="BJ323" s="25">
        <f t="shared" si="154"/>
        <v>0</v>
      </c>
      <c r="BK323" s="25">
        <f t="shared" si="155"/>
        <v>0</v>
      </c>
      <c r="BL323" s="25">
        <f t="shared" si="156"/>
        <v>0.37099236641221373</v>
      </c>
      <c r="BM323" s="25">
        <f t="shared" si="157"/>
        <v>0.13740458015267176</v>
      </c>
      <c r="BN323" s="18" t="str">
        <f t="shared" ref="BN323:BN386" si="163">IF(BA323&gt;0.2,"Muy alta fuente de proteína",IF(BA323&gt;0.15,"Alta fuente de proteína",IF(BA323&gt;0.1,"Media fuente de proteína","Baja fuente de proteína")))</f>
        <v>Alta fuente de proteína</v>
      </c>
      <c r="BO323" s="18" t="str">
        <f t="shared" ref="BO323:BO386" si="164">IF(BB323&gt;0.03,"Alta",IF(BB323&gt;0.015,"Media","Baja")) &amp; " fuente de fibra"</f>
        <v>Baja fuente de fibra</v>
      </c>
      <c r="BP323" s="18" t="str">
        <f t="shared" ref="BP323:BP386" si="165">IF(BC323&gt;1.5,"Alta fuente de calcio",IF(BC323&gt;0.8,"Media fuente de calcio","Baja fuente de calcio"))</f>
        <v>Baja fuente de calcio</v>
      </c>
      <c r="BQ323" s="18" t="str">
        <f t="shared" ref="BQ323:BQ386" si="166">IF(BD323&gt;0.015,"Alta fuente de hierro",IF(BD323&gt;0.008,"Media fuente de hierro","Baja fuente de hierro"))</f>
        <v>Alta fuente de hierro</v>
      </c>
      <c r="BR323" s="18" t="str">
        <f t="shared" ref="BR323:BR386" si="167">IF(BE323&gt;2,"Muy alto",IF(BE323&gt;1,"Alto",IF(BE323&gt;0.5,"Moderado","Bajo"))) &amp; " en sodio"</f>
        <v>Bajo en sodio</v>
      </c>
      <c r="BS323" s="6" t="str">
        <f t="shared" si="158"/>
        <v>Proinflamatorio</v>
      </c>
      <c r="BT323" s="6" t="str">
        <f t="shared" si="159"/>
        <v>Alto en grasas</v>
      </c>
      <c r="BU323" s="18" t="str">
        <f t="shared" ref="BU323:BU386" si="168">IF(BI323&gt;1,"Alto riesgo de retención de líquidos",IF(BI323&gt;0.5,"Riesgo moderado de retención","Equilibrio de líquidos ideal"))</f>
        <v>Equilibrio de líquidos ideal</v>
      </c>
      <c r="BV323" s="18" t="str">
        <f t="shared" ref="BV323:BV386" si="169">IF(BM323&gt;0.5,"Alta",IF(BM323&gt;0.2,"Media","Baja")) &amp; " fuente de magnesio"</f>
        <v>Baja fuente de magnesio</v>
      </c>
      <c r="BW323" s="18" t="str">
        <f t="shared" ref="BW323:BW386" si="170">IF(AV323&gt;=0.5,"Alta fuente de Omega 3",IF(AV323&gt;0.1,"Ligera fuente de Omega 3","Sin aporte de Omega 3"))</f>
        <v>Sin aporte de Omega 3</v>
      </c>
      <c r="BX323" s="18" t="str">
        <f t="shared" ref="BX323:BX386" si="171">IF(AX323&gt;0.5,"Alerta: Alto en grasas trans",IF(AX323&gt;0,"Contiene grasas trans","Libre de grasas trans"))</f>
        <v>Contiene grasas trans</v>
      </c>
      <c r="BY323" s="18" t="str">
        <f t="shared" ref="BY323:BY386" si="172">IF(AY323&gt;=50,"Alto",IF(AY323&gt;=10,"Medio","Bajo")) &amp; " poder antioxidante"</f>
        <v>Bajo poder antioxidante</v>
      </c>
      <c r="BZ323" s="6" t="str">
        <f t="shared" si="160"/>
        <v>Sin probióticos</v>
      </c>
      <c r="CA323" s="18" t="str">
        <f t="shared" ref="CA323:CA386" si="173">IF(OR(AX323&gt;0.5, O323&gt;15, J323&gt;0), "Altamente inflamatorio", IF(OR(AV323&gt;=0.5, AY323&gt;=50), "Antiinflamatorio", IF(OR(AX323&gt;0, O323&gt;5), "Moderadamente inflamatorio", "Poco inflamatorio")))</f>
        <v>Moderadamente inflamatorio</v>
      </c>
      <c r="CB323" s="18" t="str">
        <f>IF(ISNUMBER(SEARCH("miel", D323)), "No irritante (Uso condicionado SII)", IF(OR(J323&gt;0, ISNUMBER(SEARCH("cacao", D323)), ISNUMBER(SEARCH("chocolate puro", D323))), "Altamente irritante", IF(OR(AND(O323&gt;15, BI323&gt;1), ISNUMBER(SEARCH("chocolate", D323))), "Moderadamente irritante", "No irritante")))</f>
        <v>No irritante</v>
      </c>
      <c r="CC323" s="6" t="str">
        <f t="shared" si="161"/>
        <v>Exceso relativo de Omega 6</v>
      </c>
    </row>
    <row r="324" spans="1:81" ht="15" customHeight="1" x14ac:dyDescent="0.3">
      <c r="A324" s="2">
        <f t="shared" si="162"/>
        <v>323</v>
      </c>
      <c r="B324" s="3" t="s">
        <v>391</v>
      </c>
      <c r="C324" s="3" t="s">
        <v>450</v>
      </c>
      <c r="D324" s="3" t="s">
        <v>461</v>
      </c>
      <c r="E324" s="3"/>
      <c r="F324" s="4">
        <v>2.8</v>
      </c>
      <c r="G324" s="5">
        <v>1</v>
      </c>
      <c r="H324" s="5">
        <v>205</v>
      </c>
      <c r="I324" s="5">
        <v>65.8</v>
      </c>
      <c r="J324" s="5">
        <v>0</v>
      </c>
      <c r="K324" s="5">
        <v>20.6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13.6</v>
      </c>
      <c r="R324" s="5">
        <v>4.7</v>
      </c>
      <c r="S324" s="5">
        <v>6.5</v>
      </c>
      <c r="T324" s="5">
        <v>0.92</v>
      </c>
      <c r="U324" s="5">
        <v>71.2</v>
      </c>
      <c r="V324" s="5">
        <v>4</v>
      </c>
      <c r="W324" s="5">
        <v>4</v>
      </c>
      <c r="X324" s="5">
        <v>0</v>
      </c>
      <c r="Y324" s="5">
        <v>0</v>
      </c>
      <c r="Z324" s="5">
        <v>0.14000000000000001</v>
      </c>
      <c r="AA324" s="5">
        <v>7</v>
      </c>
      <c r="AB324" s="5">
        <v>0.06</v>
      </c>
      <c r="AC324" s="5">
        <v>0.16</v>
      </c>
      <c r="AD324" s="5">
        <v>9</v>
      </c>
      <c r="AE324" s="5">
        <v>0.39</v>
      </c>
      <c r="AF324" s="5">
        <v>5.9</v>
      </c>
      <c r="AG324" s="5">
        <v>1</v>
      </c>
      <c r="AH324" s="5">
        <v>0.85</v>
      </c>
      <c r="AI324" s="5">
        <v>0</v>
      </c>
      <c r="AJ324" s="5">
        <v>0</v>
      </c>
      <c r="AK324" s="5">
        <v>12</v>
      </c>
      <c r="AL324" s="5">
        <v>204</v>
      </c>
      <c r="AM324" s="5">
        <v>1.5</v>
      </c>
      <c r="AN324" s="5">
        <v>2.6</v>
      </c>
      <c r="AO324" s="5">
        <v>4.7</v>
      </c>
      <c r="AP324" s="5">
        <v>25.5</v>
      </c>
      <c r="AQ324" s="5">
        <v>87</v>
      </c>
      <c r="AR324" s="5">
        <v>395</v>
      </c>
      <c r="AS324" s="5">
        <v>0.03</v>
      </c>
      <c r="AT324" s="5">
        <v>0.25</v>
      </c>
      <c r="AU324" s="5">
        <v>8.1</v>
      </c>
      <c r="AV324" s="5">
        <f>IFERROR(VLOOKUP(IFERROR(VLOOKUP(D324,Mapa_Similitud!$A$2:$B$2000,2,FALSE()),D324),Hoja1!$A$2:$K$1000,2,FALSE()),IFERROR(VLOOKUP(IFERROR(VLOOKUP(D324,Mapa_Similitud!$A$2:$B$2000,2,FALSE()),D324),Omega3_Referencia!$A$2:$E$100,3,FALSE()),0))</f>
        <v>0.04</v>
      </c>
      <c r="AW324" s="3" t="str">
        <f>IFERROR(VLOOKUP(IFERROR(VLOOKUP(D324,Mapa_Similitud!$A$2:$B$2000,2,FALSE()),D324),Hoja1!$A$2:$K$1000,3,FALSE()),IFERROR(VLOOKUP(IFERROR(VLOOKUP(D324,Mapa_Similitud!$A$2:$B$2000,2,FALSE()),D324),Omega3_Referencia!$A$2:$E$100,4,FALSE()),"N/A"))</f>
        <v>ALA</v>
      </c>
      <c r="AX324" s="5">
        <f>IFERROR(VLOOKUP(IFERROR(VLOOKUP(D324,Mapa_Similitud!$A$2:$B$2000,2,FALSE()),D324),Hoja1!$A$2:$K$1000,5,FALSE()),0)</f>
        <v>0.2</v>
      </c>
      <c r="AY324" s="5">
        <f>IFERROR(VLOOKUP(IFERROR(VLOOKUP(D324,Mapa_Similitud!$A$2:$B$2000,2,FALSE()),D324),Hoja1!$A$2:$K$1000,7,FALSE()),0)</f>
        <v>0</v>
      </c>
      <c r="AZ324" s="5">
        <f>IFERROR(VLOOKUP(IFERROR(VLOOKUP(D324,Mapa_Similitud!$A$2:$B$2000,2,FALSE()),D324),Hoja1!$A$2:$K$1000,9,FALSE()),0)</f>
        <v>0</v>
      </c>
      <c r="BA324" s="25">
        <f t="shared" si="145"/>
        <v>0.10048780487804879</v>
      </c>
      <c r="BB324" s="25">
        <f t="shared" si="146"/>
        <v>0</v>
      </c>
      <c r="BC324" s="25">
        <f t="shared" si="147"/>
        <v>5.8536585365853662E-2</v>
      </c>
      <c r="BD324" s="25">
        <f t="shared" si="148"/>
        <v>7.3170731707317077E-3</v>
      </c>
      <c r="BE324" s="25">
        <f t="shared" si="149"/>
        <v>0.42439024390243901</v>
      </c>
      <c r="BF324" s="25">
        <f t="shared" si="150"/>
        <v>0.19574468085106383</v>
      </c>
      <c r="BG324" s="25">
        <f t="shared" si="151"/>
        <v>5.8823529411764705E-2</v>
      </c>
      <c r="BH324" s="25">
        <f t="shared" si="152"/>
        <v>0.3455882352941177</v>
      </c>
      <c r="BI324" s="25">
        <f t="shared" si="153"/>
        <v>0.22025316455696203</v>
      </c>
      <c r="BJ324" s="25">
        <f t="shared" si="154"/>
        <v>0</v>
      </c>
      <c r="BK324" s="25">
        <f t="shared" si="155"/>
        <v>0</v>
      </c>
      <c r="BL324" s="25">
        <f t="shared" si="156"/>
        <v>0.59707317073170729</v>
      </c>
      <c r="BM324" s="25">
        <f t="shared" si="157"/>
        <v>0.12439024390243902</v>
      </c>
      <c r="BN324" s="18" t="str">
        <f t="shared" si="163"/>
        <v>Media fuente de proteína</v>
      </c>
      <c r="BO324" s="18" t="str">
        <f t="shared" si="164"/>
        <v>Baja fuente de fibra</v>
      </c>
      <c r="BP324" s="18" t="str">
        <f t="shared" si="165"/>
        <v>Baja fuente de calcio</v>
      </c>
      <c r="BQ324" s="18" t="str">
        <f t="shared" si="166"/>
        <v>Baja fuente de hierro</v>
      </c>
      <c r="BR324" s="18" t="str">
        <f t="shared" si="167"/>
        <v>Bajo en sodio</v>
      </c>
      <c r="BS324" s="6" t="str">
        <f t="shared" si="158"/>
        <v>Proinflamatorio</v>
      </c>
      <c r="BT324" s="6" t="str">
        <f t="shared" si="159"/>
        <v>Muy alto en grasas</v>
      </c>
      <c r="BU324" s="18" t="str">
        <f t="shared" si="168"/>
        <v>Equilibrio de líquidos ideal</v>
      </c>
      <c r="BV324" s="18" t="str">
        <f t="shared" si="169"/>
        <v>Baja fuente de magnesio</v>
      </c>
      <c r="BW324" s="18" t="str">
        <f t="shared" si="170"/>
        <v>Sin aporte de Omega 3</v>
      </c>
      <c r="BX324" s="18" t="str">
        <f t="shared" si="171"/>
        <v>Contiene grasas trans</v>
      </c>
      <c r="BY324" s="18" t="str">
        <f t="shared" si="172"/>
        <v>Bajo poder antioxidante</v>
      </c>
      <c r="BZ324" s="6" t="str">
        <f t="shared" si="160"/>
        <v>Sin probióticos</v>
      </c>
      <c r="CA324" s="18" t="str">
        <f t="shared" si="173"/>
        <v>Moderadamente inflamatorio</v>
      </c>
      <c r="CB324" s="18" t="str">
        <f>IF(ISNUMBER(SEARCH("miel", D324)), "No irritante (Uso condicionado SII)", IF(OR(J324&gt;0, ISNUMBER(SEARCH("cacao", D324)), ISNUMBER(SEARCH("chocolate puro", D324))), "Altamente irritante", IF(OR(AND(O324&gt;15, BI324&gt;1), ISNUMBER(SEARCH("chocolate", D324))), "Moderadamente irritante", "No irritante")))</f>
        <v>No irritante</v>
      </c>
      <c r="CC324" s="6" t="str">
        <f t="shared" si="161"/>
        <v>Exceso relativo de Omega 6</v>
      </c>
    </row>
    <row r="325" spans="1:81" ht="15" customHeight="1" x14ac:dyDescent="0.3">
      <c r="A325" s="2">
        <f t="shared" si="162"/>
        <v>324</v>
      </c>
      <c r="B325" s="3" t="s">
        <v>391</v>
      </c>
      <c r="C325" s="3" t="s">
        <v>462</v>
      </c>
      <c r="D325" s="3" t="s">
        <v>463</v>
      </c>
      <c r="E325" s="3"/>
      <c r="F325" s="4">
        <v>1.5</v>
      </c>
      <c r="G325" s="5">
        <v>1</v>
      </c>
      <c r="H325" s="5">
        <v>134</v>
      </c>
      <c r="I325" s="5">
        <v>76.900000000000006</v>
      </c>
      <c r="J325" s="5">
        <v>0</v>
      </c>
      <c r="K325" s="5">
        <v>14.8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8.3000000000000007</v>
      </c>
      <c r="R325" s="5">
        <v>4.3</v>
      </c>
      <c r="S325" s="5">
        <v>2.8</v>
      </c>
      <c r="T325" s="5">
        <v>0.19</v>
      </c>
      <c r="U325" s="5">
        <v>95</v>
      </c>
      <c r="V325" s="5">
        <v>0</v>
      </c>
      <c r="W325" s="5">
        <v>0</v>
      </c>
      <c r="X325" s="5">
        <v>0</v>
      </c>
      <c r="Y325" s="5">
        <v>0</v>
      </c>
      <c r="Z325" s="5">
        <v>0.08</v>
      </c>
      <c r="AA325" s="5">
        <v>4</v>
      </c>
      <c r="AB325" s="5">
        <v>2.5000000000000001E-2</v>
      </c>
      <c r="AC325" s="5">
        <v>7.0000000000000007E-2</v>
      </c>
      <c r="AD325" s="5">
        <v>2.6</v>
      </c>
      <c r="AE325" s="5">
        <v>0.04</v>
      </c>
      <c r="AF325" s="5">
        <v>2</v>
      </c>
      <c r="AG325" s="5">
        <v>1.5</v>
      </c>
      <c r="AH325" s="5">
        <v>2.4</v>
      </c>
      <c r="AI325" s="5">
        <v>0</v>
      </c>
      <c r="AJ325" s="5">
        <v>3.4</v>
      </c>
      <c r="AK325" s="5">
        <v>9</v>
      </c>
      <c r="AL325" s="5">
        <v>79</v>
      </c>
      <c r="AM325" s="5">
        <v>10</v>
      </c>
      <c r="AN325" s="5">
        <v>0</v>
      </c>
      <c r="AO325" s="5">
        <v>2.5</v>
      </c>
      <c r="AP325" s="5">
        <v>8</v>
      </c>
      <c r="AQ325" s="5">
        <v>46</v>
      </c>
      <c r="AR325" s="5">
        <v>270</v>
      </c>
      <c r="AS325" s="5">
        <v>0.01</v>
      </c>
      <c r="AT325" s="5">
        <v>0.09</v>
      </c>
      <c r="AU325" s="5">
        <v>45.9</v>
      </c>
      <c r="AV325" s="5">
        <f>IFERROR(VLOOKUP(IFERROR(VLOOKUP(D325,Mapa_Similitud!$A$2:$B$2000,2,FALSE()),D325),Hoja1!$A$2:$K$1000,2,FALSE()),IFERROR(VLOOKUP(IFERROR(VLOOKUP(D325,Mapa_Similitud!$A$2:$B$2000,2,FALSE()),D325),Omega3_Referencia!$A$2:$E$100,3,FALSE()),0))</f>
        <v>0.02</v>
      </c>
      <c r="AW325" s="3" t="str">
        <f>IFERROR(VLOOKUP(IFERROR(VLOOKUP(D325,Mapa_Similitud!$A$2:$B$2000,2,FALSE()),D325),Hoja1!$A$2:$K$1000,3,FALSE()),IFERROR(VLOOKUP(IFERROR(VLOOKUP(D325,Mapa_Similitud!$A$2:$B$2000,2,FALSE()),D325),Omega3_Referencia!$A$2:$E$100,4,FALSE()),"N/A"))</f>
        <v>ALA</v>
      </c>
      <c r="AX325" s="5">
        <f>IFERROR(VLOOKUP(IFERROR(VLOOKUP(D325,Mapa_Similitud!$A$2:$B$2000,2,FALSE()),D325),Hoja1!$A$2:$K$1000,5,FALSE()),0)</f>
        <v>0.1</v>
      </c>
      <c r="AY325" s="5">
        <f>IFERROR(VLOOKUP(IFERROR(VLOOKUP(D325,Mapa_Similitud!$A$2:$B$2000,2,FALSE()),D325),Hoja1!$A$2:$K$1000,7,FALSE()),0)</f>
        <v>0</v>
      </c>
      <c r="AZ325" s="5">
        <f>IFERROR(VLOOKUP(IFERROR(VLOOKUP(D325,Mapa_Similitud!$A$2:$B$2000,2,FALSE()),D325),Hoja1!$A$2:$K$1000,9,FALSE()),0)</f>
        <v>0</v>
      </c>
      <c r="BA325" s="25">
        <f t="shared" si="145"/>
        <v>0.11044776119402985</v>
      </c>
      <c r="BB325" s="25">
        <f t="shared" si="146"/>
        <v>0</v>
      </c>
      <c r="BC325" s="25">
        <f t="shared" si="147"/>
        <v>6.7164179104477612E-2</v>
      </c>
      <c r="BD325" s="25">
        <f t="shared" si="148"/>
        <v>7.4626865671641784E-2</v>
      </c>
      <c r="BE325" s="25">
        <f t="shared" si="149"/>
        <v>0.34328358208955223</v>
      </c>
      <c r="BF325" s="25">
        <f t="shared" si="150"/>
        <v>4.4186046511627906E-2</v>
      </c>
      <c r="BG325" s="25">
        <f t="shared" si="151"/>
        <v>0.11392405063291139</v>
      </c>
      <c r="BH325" s="25">
        <f t="shared" si="152"/>
        <v>0.5180722891566264</v>
      </c>
      <c r="BI325" s="25">
        <f t="shared" si="153"/>
        <v>0.17037037037037037</v>
      </c>
      <c r="BJ325" s="25">
        <f t="shared" si="154"/>
        <v>0</v>
      </c>
      <c r="BK325" s="25">
        <f t="shared" si="155"/>
        <v>0</v>
      </c>
      <c r="BL325" s="25">
        <f t="shared" si="156"/>
        <v>0.55746268656716425</v>
      </c>
      <c r="BM325" s="25">
        <f t="shared" si="157"/>
        <v>5.9701492537313432E-2</v>
      </c>
      <c r="BN325" s="18" t="str">
        <f t="shared" si="163"/>
        <v>Media fuente de proteína</v>
      </c>
      <c r="BO325" s="18" t="str">
        <f t="shared" si="164"/>
        <v>Baja fuente de fibra</v>
      </c>
      <c r="BP325" s="18" t="str">
        <f t="shared" si="165"/>
        <v>Baja fuente de calcio</v>
      </c>
      <c r="BQ325" s="18" t="str">
        <f t="shared" si="166"/>
        <v>Alta fuente de hierro</v>
      </c>
      <c r="BR325" s="18" t="str">
        <f t="shared" si="167"/>
        <v>Bajo en sodio</v>
      </c>
      <c r="BS325" s="6" t="str">
        <f t="shared" si="158"/>
        <v>Proinflamatorio</v>
      </c>
      <c r="BT325" s="6" t="str">
        <f t="shared" si="159"/>
        <v>Muy alto en grasas</v>
      </c>
      <c r="BU325" s="18" t="str">
        <f t="shared" si="168"/>
        <v>Equilibrio de líquidos ideal</v>
      </c>
      <c r="BV325" s="18" t="str">
        <f t="shared" si="169"/>
        <v>Baja fuente de magnesio</v>
      </c>
      <c r="BW325" s="18" t="str">
        <f t="shared" si="170"/>
        <v>Sin aporte de Omega 3</v>
      </c>
      <c r="BX325" s="18" t="str">
        <f t="shared" si="171"/>
        <v>Contiene grasas trans</v>
      </c>
      <c r="BY325" s="18" t="str">
        <f t="shared" si="172"/>
        <v>Bajo poder antioxidante</v>
      </c>
      <c r="BZ325" s="6" t="str">
        <f t="shared" si="160"/>
        <v>Sin probióticos</v>
      </c>
      <c r="CA325" s="18" t="str">
        <f t="shared" si="173"/>
        <v>Moderadamente inflamatorio</v>
      </c>
      <c r="CB325" s="18" t="str">
        <f>IF(ISNUMBER(SEARCH("miel", D325)), "No irritante (Uso condicionado SII)", IF(OR(J325&gt;0, ISNUMBER(SEARCH("cacao", D325)), ISNUMBER(SEARCH("chocolate puro", D325))), "Altamente irritante", IF(OR(AND(O325&gt;15, BI325&gt;1), ISNUMBER(SEARCH("chocolate", D325))), "Moderadamente irritante", "No irritante")))</f>
        <v>No irritante</v>
      </c>
      <c r="CC325" s="6" t="str">
        <f t="shared" si="161"/>
        <v>Exceso relativo de Omega 6</v>
      </c>
    </row>
    <row r="326" spans="1:81" ht="15" customHeight="1" x14ac:dyDescent="0.3">
      <c r="A326" s="2">
        <f t="shared" si="162"/>
        <v>325</v>
      </c>
      <c r="B326" s="3" t="s">
        <v>391</v>
      </c>
      <c r="C326" s="3" t="s">
        <v>462</v>
      </c>
      <c r="D326" s="3" t="s">
        <v>464</v>
      </c>
      <c r="E326" s="3"/>
      <c r="F326" s="4">
        <v>5</v>
      </c>
      <c r="G326" s="5">
        <v>0.95</v>
      </c>
      <c r="H326" s="5">
        <v>114</v>
      </c>
      <c r="I326" s="5">
        <v>77.7</v>
      </c>
      <c r="J326" s="5">
        <v>0</v>
      </c>
      <c r="K326" s="5">
        <v>17.3</v>
      </c>
      <c r="L326" s="5">
        <v>1.3</v>
      </c>
      <c r="M326" s="5">
        <v>0</v>
      </c>
      <c r="N326" s="5">
        <v>1.3</v>
      </c>
      <c r="O326" s="5">
        <v>0</v>
      </c>
      <c r="P326" s="5">
        <v>0</v>
      </c>
      <c r="Q326" s="5">
        <v>4.4000000000000004</v>
      </c>
      <c r="R326" s="5">
        <v>1.2</v>
      </c>
      <c r="S326" s="5">
        <v>1</v>
      </c>
      <c r="T326" s="5">
        <v>1.1000000000000001</v>
      </c>
      <c r="U326" s="5">
        <v>131</v>
      </c>
      <c r="V326" s="5">
        <v>8</v>
      </c>
      <c r="W326" s="5">
        <v>8</v>
      </c>
      <c r="X326" s="5">
        <v>0</v>
      </c>
      <c r="Y326" s="5">
        <v>0</v>
      </c>
      <c r="Z326" s="5">
        <v>0.63</v>
      </c>
      <c r="AA326" s="5">
        <v>0</v>
      </c>
      <c r="AB326" s="5">
        <v>0.46</v>
      </c>
      <c r="AC326" s="5">
        <v>1.1000000000000001</v>
      </c>
      <c r="AD326" s="5">
        <v>6.6</v>
      </c>
      <c r="AE326" s="5">
        <v>0</v>
      </c>
      <c r="AF326" s="5">
        <v>0</v>
      </c>
      <c r="AG326" s="5">
        <v>2.7</v>
      </c>
      <c r="AH326" s="5">
        <v>2.5</v>
      </c>
      <c r="AI326" s="5">
        <v>0</v>
      </c>
      <c r="AJ326" s="5">
        <v>5.3</v>
      </c>
      <c r="AK326" s="5">
        <v>5</v>
      </c>
      <c r="AL326" s="5">
        <v>176</v>
      </c>
      <c r="AM326" s="5">
        <v>4.3</v>
      </c>
      <c r="AN326" s="5">
        <v>0</v>
      </c>
      <c r="AO326" s="5">
        <v>2.2000000000000002</v>
      </c>
      <c r="AP326" s="5">
        <v>20</v>
      </c>
      <c r="AQ326" s="5">
        <v>80</v>
      </c>
      <c r="AR326" s="5">
        <v>257</v>
      </c>
      <c r="AS326" s="5">
        <v>0</v>
      </c>
      <c r="AT326" s="5">
        <v>0.41</v>
      </c>
      <c r="AU326" s="5">
        <v>10.4</v>
      </c>
      <c r="AV326" s="5">
        <f>IFERROR(VLOOKUP(IFERROR(VLOOKUP(D326,Mapa_Similitud!$A$2:$B$2000,2,FALSE()),D326),Hoja1!$A$2:$K$1000,2,FALSE()),IFERROR(VLOOKUP(IFERROR(VLOOKUP(D326,Mapa_Similitud!$A$2:$B$2000,2,FALSE()),D326),Omega3_Referencia!$A$2:$E$100,3,FALSE()),0))</f>
        <v>0.04</v>
      </c>
      <c r="AW326" s="3" t="str">
        <f>IFERROR(VLOOKUP(IFERROR(VLOOKUP(D326,Mapa_Similitud!$A$2:$B$2000,2,FALSE()),D326),Hoja1!$A$2:$K$1000,3,FALSE()),IFERROR(VLOOKUP(IFERROR(VLOOKUP(D326,Mapa_Similitud!$A$2:$B$2000,2,FALSE()),D326),Omega3_Referencia!$A$2:$E$100,4,FALSE()),"N/A"))</f>
        <v>EPA/DHA</v>
      </c>
      <c r="AX326" s="5">
        <f>IFERROR(VLOOKUP(IFERROR(VLOOKUP(D326,Mapa_Similitud!$A$2:$B$2000,2,FALSE()),D326),Hoja1!$A$2:$K$1000,5,FALSE()),0)</f>
        <v>0.1</v>
      </c>
      <c r="AY326" s="5">
        <f>IFERROR(VLOOKUP(IFERROR(VLOOKUP(D326,Mapa_Similitud!$A$2:$B$2000,2,FALSE()),D326),Hoja1!$A$2:$K$1000,7,FALSE()),0)</f>
        <v>0</v>
      </c>
      <c r="AZ326" s="5">
        <f>IFERROR(VLOOKUP(IFERROR(VLOOKUP(D326,Mapa_Similitud!$A$2:$B$2000,2,FALSE()),D326),Hoja1!$A$2:$K$1000,9,FALSE()),0)</f>
        <v>0</v>
      </c>
      <c r="BA326" s="25">
        <f t="shared" si="145"/>
        <v>0.15175438596491228</v>
      </c>
      <c r="BB326" s="25">
        <f t="shared" si="146"/>
        <v>0</v>
      </c>
      <c r="BC326" s="25">
        <f t="shared" si="147"/>
        <v>4.3859649122807015E-2</v>
      </c>
      <c r="BD326" s="25">
        <f t="shared" si="148"/>
        <v>3.7719298245614034E-2</v>
      </c>
      <c r="BE326" s="25">
        <f t="shared" si="149"/>
        <v>0.70175438596491224</v>
      </c>
      <c r="BF326" s="25">
        <f t="shared" si="150"/>
        <v>0.91666666666666674</v>
      </c>
      <c r="BG326" s="25">
        <f t="shared" si="151"/>
        <v>2.8409090909090908E-2</v>
      </c>
      <c r="BH326" s="25">
        <f t="shared" si="152"/>
        <v>0.27272727272727271</v>
      </c>
      <c r="BI326" s="25">
        <f t="shared" si="153"/>
        <v>0.31128404669260701</v>
      </c>
      <c r="BJ326" s="25">
        <f t="shared" si="154"/>
        <v>1</v>
      </c>
      <c r="BK326" s="25">
        <f t="shared" si="155"/>
        <v>0</v>
      </c>
      <c r="BL326" s="25">
        <f t="shared" si="156"/>
        <v>0.3473684210526316</v>
      </c>
      <c r="BM326" s="25">
        <f t="shared" si="157"/>
        <v>0.17543859649122806</v>
      </c>
      <c r="BN326" s="18" t="str">
        <f t="shared" si="163"/>
        <v>Alta fuente de proteína</v>
      </c>
      <c r="BO326" s="18" t="str">
        <f t="shared" si="164"/>
        <v>Baja fuente de fibra</v>
      </c>
      <c r="BP326" s="18" t="str">
        <f t="shared" si="165"/>
        <v>Baja fuente de calcio</v>
      </c>
      <c r="BQ326" s="18" t="str">
        <f t="shared" si="166"/>
        <v>Alta fuente de hierro</v>
      </c>
      <c r="BR326" s="18" t="str">
        <f t="shared" si="167"/>
        <v>Moderado en sodio</v>
      </c>
      <c r="BS326" s="6" t="str">
        <f t="shared" si="158"/>
        <v>Neutro</v>
      </c>
      <c r="BT326" s="6" t="str">
        <f t="shared" si="159"/>
        <v>Alto en grasas</v>
      </c>
      <c r="BU326" s="18" t="str">
        <f t="shared" si="168"/>
        <v>Equilibrio de líquidos ideal</v>
      </c>
      <c r="BV326" s="18" t="str">
        <f t="shared" si="169"/>
        <v>Baja fuente de magnesio</v>
      </c>
      <c r="BW326" s="18" t="str">
        <f t="shared" si="170"/>
        <v>Sin aporte de Omega 3</v>
      </c>
      <c r="BX326" s="18" t="str">
        <f t="shared" si="171"/>
        <v>Contiene grasas trans</v>
      </c>
      <c r="BY326" s="18" t="str">
        <f t="shared" si="172"/>
        <v>Bajo poder antioxidante</v>
      </c>
      <c r="BZ326" s="6" t="str">
        <f t="shared" si="160"/>
        <v>Sin probióticos</v>
      </c>
      <c r="CA326" s="18" t="str">
        <f t="shared" si="173"/>
        <v>Moderadamente inflamatorio</v>
      </c>
      <c r="CB326" s="18" t="str">
        <f>IF(ISNUMBER(SEARCH("miel", D326)), "No irritante (Uso condicionado SII)", IF(OR(J326&gt;0, ISNUMBER(SEARCH("cacao", D326)), ISNUMBER(SEARCH("chocolate puro", D326))), "Altamente irritante", IF(OR(AND(O326&gt;15, BI326&gt;1), ISNUMBER(SEARCH("chocolate", D326))), "Moderadamente irritante", "No irritante")))</f>
        <v>No irritante</v>
      </c>
      <c r="CC326" s="6" t="str">
        <f t="shared" si="161"/>
        <v>Exceso relativo de Omega 6</v>
      </c>
    </row>
    <row r="327" spans="1:81" ht="15" customHeight="1" x14ac:dyDescent="0.3">
      <c r="A327" s="2">
        <f t="shared" si="162"/>
        <v>326</v>
      </c>
      <c r="B327" s="3" t="s">
        <v>391</v>
      </c>
      <c r="C327" s="3" t="s">
        <v>462</v>
      </c>
      <c r="D327" s="3" t="s">
        <v>465</v>
      </c>
      <c r="E327" s="3"/>
      <c r="F327" s="4">
        <v>5</v>
      </c>
      <c r="G327" s="5">
        <v>0.78</v>
      </c>
      <c r="H327" s="5">
        <v>118</v>
      </c>
      <c r="I327" s="5">
        <v>77.599999999999994</v>
      </c>
      <c r="J327" s="5">
        <v>0</v>
      </c>
      <c r="K327" s="5">
        <v>16.5</v>
      </c>
      <c r="L327" s="5">
        <v>0.21</v>
      </c>
      <c r="M327" s="5">
        <v>0</v>
      </c>
      <c r="N327" s="5">
        <v>0.21</v>
      </c>
      <c r="O327" s="5">
        <v>0</v>
      </c>
      <c r="P327" s="5">
        <v>0</v>
      </c>
      <c r="Q327" s="5">
        <v>5.7</v>
      </c>
      <c r="R327" s="5">
        <v>2.2999999999999998</v>
      </c>
      <c r="S327" s="5">
        <v>1.6</v>
      </c>
      <c r="T327" s="5">
        <v>0.6</v>
      </c>
      <c r="U327" s="5">
        <v>135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0.31</v>
      </c>
      <c r="AC327" s="5">
        <v>0.86</v>
      </c>
      <c r="AD327" s="5">
        <v>0</v>
      </c>
      <c r="AE327" s="5">
        <v>0</v>
      </c>
      <c r="AF327" s="5">
        <v>0</v>
      </c>
      <c r="AG327" s="5">
        <v>5.2</v>
      </c>
      <c r="AH327" s="5">
        <v>2.6</v>
      </c>
      <c r="AI327" s="5">
        <v>0</v>
      </c>
      <c r="AJ327" s="5">
        <v>5</v>
      </c>
      <c r="AK327" s="5">
        <v>4</v>
      </c>
      <c r="AL327" s="5">
        <v>160</v>
      </c>
      <c r="AM327" s="5">
        <v>6.1</v>
      </c>
      <c r="AN327" s="5">
        <v>0</v>
      </c>
      <c r="AO327" s="5">
        <v>2.1</v>
      </c>
      <c r="AP327" s="5">
        <v>16</v>
      </c>
      <c r="AQ327" s="5">
        <v>118</v>
      </c>
      <c r="AR327" s="5">
        <v>248</v>
      </c>
      <c r="AS327" s="5">
        <v>0</v>
      </c>
      <c r="AT327" s="5">
        <v>0.4</v>
      </c>
      <c r="AU327" s="5">
        <v>32</v>
      </c>
      <c r="AV327" s="5">
        <f>IFERROR(VLOOKUP(IFERROR(VLOOKUP(D327,Mapa_Similitud!$A$2:$B$2000,2,FALSE()),D327),Hoja1!$A$2:$K$1000,2,FALSE()),IFERROR(VLOOKUP(IFERROR(VLOOKUP(D327,Mapa_Similitud!$A$2:$B$2000,2,FALSE()),D327),Omega3_Referencia!$A$2:$E$100,3,FALSE()),0))</f>
        <v>0.04</v>
      </c>
      <c r="AW327" s="3" t="str">
        <f>IFERROR(VLOOKUP(IFERROR(VLOOKUP(D327,Mapa_Similitud!$A$2:$B$2000,2,FALSE()),D327),Hoja1!$A$2:$K$1000,3,FALSE()),IFERROR(VLOOKUP(IFERROR(VLOOKUP(D327,Mapa_Similitud!$A$2:$B$2000,2,FALSE()),D327),Omega3_Referencia!$A$2:$E$100,4,FALSE()),"N/A"))</f>
        <v>EPA/DHA</v>
      </c>
      <c r="AX327" s="5">
        <f>IFERROR(VLOOKUP(IFERROR(VLOOKUP(D327,Mapa_Similitud!$A$2:$B$2000,2,FALSE()),D327),Hoja1!$A$2:$K$1000,5,FALSE()),0)</f>
        <v>0.1</v>
      </c>
      <c r="AY327" s="5">
        <f>IFERROR(VLOOKUP(IFERROR(VLOOKUP(D327,Mapa_Similitud!$A$2:$B$2000,2,FALSE()),D327),Hoja1!$A$2:$K$1000,7,FALSE()),0)</f>
        <v>0</v>
      </c>
      <c r="AZ327" s="5">
        <f>IFERROR(VLOOKUP(IFERROR(VLOOKUP(D327,Mapa_Similitud!$A$2:$B$2000,2,FALSE()),D327),Hoja1!$A$2:$K$1000,9,FALSE()),0)</f>
        <v>0</v>
      </c>
      <c r="BA327" s="25">
        <f t="shared" si="145"/>
        <v>0.13983050847457626</v>
      </c>
      <c r="BB327" s="25">
        <f t="shared" si="146"/>
        <v>0</v>
      </c>
      <c r="BC327" s="25">
        <f t="shared" si="147"/>
        <v>3.3898305084745763E-2</v>
      </c>
      <c r="BD327" s="25">
        <f t="shared" si="148"/>
        <v>5.1694915254237285E-2</v>
      </c>
      <c r="BE327" s="25">
        <f t="shared" si="149"/>
        <v>1</v>
      </c>
      <c r="BF327" s="25">
        <f t="shared" si="150"/>
        <v>0.2608695652173913</v>
      </c>
      <c r="BG327" s="25">
        <f t="shared" si="151"/>
        <v>2.5000000000000001E-2</v>
      </c>
      <c r="BH327" s="25">
        <f t="shared" si="152"/>
        <v>0.40350877192982454</v>
      </c>
      <c r="BI327" s="25">
        <f t="shared" si="153"/>
        <v>0.47580645161290325</v>
      </c>
      <c r="BJ327" s="25">
        <f t="shared" si="154"/>
        <v>1</v>
      </c>
      <c r="BK327" s="25">
        <f t="shared" si="155"/>
        <v>0</v>
      </c>
      <c r="BL327" s="25">
        <f t="shared" si="156"/>
        <v>0.43474576271186444</v>
      </c>
      <c r="BM327" s="25">
        <f t="shared" si="157"/>
        <v>0.13559322033898305</v>
      </c>
      <c r="BN327" s="18" t="str">
        <f t="shared" si="163"/>
        <v>Media fuente de proteína</v>
      </c>
      <c r="BO327" s="18" t="str">
        <f t="shared" si="164"/>
        <v>Baja fuente de fibra</v>
      </c>
      <c r="BP327" s="18" t="str">
        <f t="shared" si="165"/>
        <v>Baja fuente de calcio</v>
      </c>
      <c r="BQ327" s="18" t="str">
        <f t="shared" si="166"/>
        <v>Alta fuente de hierro</v>
      </c>
      <c r="BR327" s="18" t="str">
        <f t="shared" si="167"/>
        <v>Moderado en sodio</v>
      </c>
      <c r="BS327" s="6" t="str">
        <f t="shared" si="158"/>
        <v>Proinflamatorio</v>
      </c>
      <c r="BT327" s="6" t="str">
        <f t="shared" si="159"/>
        <v>Muy alto en grasas</v>
      </c>
      <c r="BU327" s="18" t="str">
        <f t="shared" si="168"/>
        <v>Equilibrio de líquidos ideal</v>
      </c>
      <c r="BV327" s="18" t="str">
        <f t="shared" si="169"/>
        <v>Baja fuente de magnesio</v>
      </c>
      <c r="BW327" s="18" t="str">
        <f t="shared" si="170"/>
        <v>Sin aporte de Omega 3</v>
      </c>
      <c r="BX327" s="18" t="str">
        <f t="shared" si="171"/>
        <v>Contiene grasas trans</v>
      </c>
      <c r="BY327" s="18" t="str">
        <f t="shared" si="172"/>
        <v>Bajo poder antioxidante</v>
      </c>
      <c r="BZ327" s="6" t="str">
        <f t="shared" si="160"/>
        <v>Sin probióticos</v>
      </c>
      <c r="CA327" s="18" t="str">
        <f t="shared" si="173"/>
        <v>Moderadamente inflamatorio</v>
      </c>
      <c r="CB327" s="18" t="str">
        <f>IF(ISNUMBER(SEARCH("miel", D327)), "No irritante (Uso condicionado SII)", IF(OR(J327&gt;0, ISNUMBER(SEARCH("cacao", D327)), ISNUMBER(SEARCH("chocolate puro", D327))), "Altamente irritante", IF(OR(AND(O327&gt;15, BI327&gt;1), ISNUMBER(SEARCH("chocolate", D327))), "Moderadamente irritante", "No irritante")))</f>
        <v>No irritante</v>
      </c>
      <c r="CC327" s="6" t="str">
        <f t="shared" si="161"/>
        <v>Exceso relativo de Omega 6</v>
      </c>
    </row>
    <row r="328" spans="1:81" ht="15" customHeight="1" x14ac:dyDescent="0.3">
      <c r="A328" s="2">
        <f t="shared" si="162"/>
        <v>327</v>
      </c>
      <c r="B328" s="3" t="s">
        <v>391</v>
      </c>
      <c r="C328" s="3" t="s">
        <v>462</v>
      </c>
      <c r="D328" s="3" t="s">
        <v>466</v>
      </c>
      <c r="E328" s="3"/>
      <c r="F328" s="4">
        <v>5.85</v>
      </c>
      <c r="G328" s="5">
        <v>1</v>
      </c>
      <c r="H328" s="5">
        <v>149</v>
      </c>
      <c r="I328" s="5">
        <v>74.400000000000006</v>
      </c>
      <c r="J328" s="5">
        <v>0</v>
      </c>
      <c r="K328" s="5">
        <v>15.6</v>
      </c>
      <c r="L328" s="5">
        <v>0.71</v>
      </c>
      <c r="M328" s="5">
        <v>0</v>
      </c>
      <c r="N328" s="5">
        <v>0.71</v>
      </c>
      <c r="O328" s="5">
        <v>0</v>
      </c>
      <c r="P328" s="5">
        <v>0</v>
      </c>
      <c r="Q328" s="5">
        <v>9.3000000000000007</v>
      </c>
      <c r="R328" s="5">
        <v>2.7</v>
      </c>
      <c r="S328" s="5">
        <v>2.4</v>
      </c>
      <c r="T328" s="5">
        <v>2.7</v>
      </c>
      <c r="U328" s="5">
        <v>136</v>
      </c>
      <c r="V328" s="5">
        <v>9</v>
      </c>
      <c r="W328" s="5">
        <v>9</v>
      </c>
      <c r="X328" s="5">
        <v>0</v>
      </c>
      <c r="Y328" s="5">
        <v>0</v>
      </c>
      <c r="Z328" s="5">
        <v>1.2</v>
      </c>
      <c r="AA328" s="5">
        <v>0</v>
      </c>
      <c r="AB328" s="5">
        <v>0.43</v>
      </c>
      <c r="AC328" s="5">
        <v>1.2</v>
      </c>
      <c r="AD328" s="5">
        <v>0</v>
      </c>
      <c r="AE328" s="5">
        <v>0</v>
      </c>
      <c r="AF328" s="5">
        <v>0</v>
      </c>
      <c r="AG328" s="5">
        <v>4.2</v>
      </c>
      <c r="AH328" s="5">
        <v>2.6</v>
      </c>
      <c r="AI328" s="5">
        <v>0</v>
      </c>
      <c r="AJ328" s="5">
        <v>6</v>
      </c>
      <c r="AK328" s="5">
        <v>22</v>
      </c>
      <c r="AL328" s="5">
        <v>164</v>
      </c>
      <c r="AM328" s="5">
        <v>1.7</v>
      </c>
      <c r="AN328" s="5">
        <v>0</v>
      </c>
      <c r="AO328" s="5">
        <v>3.1</v>
      </c>
      <c r="AP328" s="5">
        <v>15</v>
      </c>
      <c r="AQ328" s="5">
        <v>111</v>
      </c>
      <c r="AR328" s="5">
        <v>262</v>
      </c>
      <c r="AS328" s="5">
        <v>0</v>
      </c>
      <c r="AT328" s="5">
        <v>0</v>
      </c>
      <c r="AU328" s="5">
        <v>0</v>
      </c>
      <c r="AV328" s="5">
        <f>IFERROR(VLOOKUP(IFERROR(VLOOKUP(D328,Mapa_Similitud!$A$2:$B$2000,2,FALSE()),D328),Hoja1!$A$2:$K$1000,2,FALSE()),IFERROR(VLOOKUP(IFERROR(VLOOKUP(D328,Mapa_Similitud!$A$2:$B$2000,2,FALSE()),D328),Omega3_Referencia!$A$2:$E$100,3,FALSE()),0))</f>
        <v>0.04</v>
      </c>
      <c r="AW328" s="3" t="str">
        <f>IFERROR(VLOOKUP(IFERROR(VLOOKUP(D328,Mapa_Similitud!$A$2:$B$2000,2,FALSE()),D328),Hoja1!$A$2:$K$1000,3,FALSE()),IFERROR(VLOOKUP(IFERROR(VLOOKUP(D328,Mapa_Similitud!$A$2:$B$2000,2,FALSE()),D328),Omega3_Referencia!$A$2:$E$100,4,FALSE()),"N/A"))</f>
        <v>EPA/DHA</v>
      </c>
      <c r="AX328" s="5">
        <f>IFERROR(VLOOKUP(IFERROR(VLOOKUP(D328,Mapa_Similitud!$A$2:$B$2000,2,FALSE()),D328),Hoja1!$A$2:$K$1000,5,FALSE()),0)</f>
        <v>0.1</v>
      </c>
      <c r="AY328" s="5">
        <f>IFERROR(VLOOKUP(IFERROR(VLOOKUP(D328,Mapa_Similitud!$A$2:$B$2000,2,FALSE()),D328),Hoja1!$A$2:$K$1000,7,FALSE()),0)</f>
        <v>0</v>
      </c>
      <c r="AZ328" s="5">
        <f>IFERROR(VLOOKUP(IFERROR(VLOOKUP(D328,Mapa_Similitud!$A$2:$B$2000,2,FALSE()),D328),Hoja1!$A$2:$K$1000,9,FALSE()),0)</f>
        <v>0</v>
      </c>
      <c r="BA328" s="25">
        <f t="shared" si="145"/>
        <v>0.10469798657718121</v>
      </c>
      <c r="BB328" s="25">
        <f t="shared" si="146"/>
        <v>0</v>
      </c>
      <c r="BC328" s="25">
        <f t="shared" si="147"/>
        <v>0.1476510067114094</v>
      </c>
      <c r="BD328" s="25">
        <f t="shared" si="148"/>
        <v>1.1409395973154362E-2</v>
      </c>
      <c r="BE328" s="25">
        <f t="shared" si="149"/>
        <v>0.74496644295302017</v>
      </c>
      <c r="BF328" s="25">
        <f t="shared" si="150"/>
        <v>1</v>
      </c>
      <c r="BG328" s="25">
        <f t="shared" si="151"/>
        <v>0.13414634146341464</v>
      </c>
      <c r="BH328" s="25">
        <f t="shared" si="152"/>
        <v>0.29032258064516131</v>
      </c>
      <c r="BI328" s="25">
        <f t="shared" si="153"/>
        <v>0.42366412213740456</v>
      </c>
      <c r="BJ328" s="25">
        <f t="shared" si="154"/>
        <v>1</v>
      </c>
      <c r="BK328" s="25">
        <f t="shared" si="155"/>
        <v>0</v>
      </c>
      <c r="BL328" s="25">
        <f t="shared" si="156"/>
        <v>0.56174496644295302</v>
      </c>
      <c r="BM328" s="25">
        <f t="shared" si="157"/>
        <v>0.10067114093959731</v>
      </c>
      <c r="BN328" s="18" t="str">
        <f t="shared" si="163"/>
        <v>Media fuente de proteína</v>
      </c>
      <c r="BO328" s="18" t="str">
        <f t="shared" si="164"/>
        <v>Baja fuente de fibra</v>
      </c>
      <c r="BP328" s="18" t="str">
        <f t="shared" si="165"/>
        <v>Baja fuente de calcio</v>
      </c>
      <c r="BQ328" s="18" t="str">
        <f t="shared" si="166"/>
        <v>Media fuente de hierro</v>
      </c>
      <c r="BR328" s="18" t="str">
        <f t="shared" si="167"/>
        <v>Moderado en sodio</v>
      </c>
      <c r="BS328" s="6" t="str">
        <f t="shared" si="158"/>
        <v>Neutro</v>
      </c>
      <c r="BT328" s="6" t="str">
        <f t="shared" si="159"/>
        <v>Muy alto en grasas</v>
      </c>
      <c r="BU328" s="18" t="str">
        <f t="shared" si="168"/>
        <v>Equilibrio de líquidos ideal</v>
      </c>
      <c r="BV328" s="18" t="str">
        <f t="shared" si="169"/>
        <v>Baja fuente de magnesio</v>
      </c>
      <c r="BW328" s="18" t="str">
        <f t="shared" si="170"/>
        <v>Sin aporte de Omega 3</v>
      </c>
      <c r="BX328" s="18" t="str">
        <f t="shared" si="171"/>
        <v>Contiene grasas trans</v>
      </c>
      <c r="BY328" s="18" t="str">
        <f t="shared" si="172"/>
        <v>Bajo poder antioxidante</v>
      </c>
      <c r="BZ328" s="6" t="str">
        <f t="shared" si="160"/>
        <v>Sin probióticos</v>
      </c>
      <c r="CA328" s="18" t="str">
        <f t="shared" si="173"/>
        <v>Moderadamente inflamatorio</v>
      </c>
      <c r="CB328" s="18" t="str">
        <f>IF(ISNUMBER(SEARCH("miel", D328)), "No irritante (Uso condicionado SII)", IF(OR(J328&gt;0, ISNUMBER(SEARCH("cacao", D328)), ISNUMBER(SEARCH("chocolate puro", D328))), "Altamente irritante", IF(OR(AND(O328&gt;15, BI328&gt;1), ISNUMBER(SEARCH("chocolate", D328))), "Moderadamente irritante", "No irritante")))</f>
        <v>No irritante</v>
      </c>
      <c r="CC328" s="6" t="str">
        <f t="shared" si="161"/>
        <v>Exceso relativo de Omega 6</v>
      </c>
    </row>
    <row r="329" spans="1:81" ht="15" customHeight="1" x14ac:dyDescent="0.3">
      <c r="A329" s="2">
        <f t="shared" si="162"/>
        <v>328</v>
      </c>
      <c r="B329" s="3" t="s">
        <v>391</v>
      </c>
      <c r="C329" s="3" t="s">
        <v>462</v>
      </c>
      <c r="D329" s="3" t="s">
        <v>467</v>
      </c>
      <c r="E329" s="3"/>
      <c r="F329" s="4">
        <v>3.63</v>
      </c>
      <c r="G329" s="5">
        <v>0.81</v>
      </c>
      <c r="H329" s="5">
        <v>104</v>
      </c>
      <c r="I329" s="5">
        <v>79</v>
      </c>
      <c r="J329" s="5">
        <v>0</v>
      </c>
      <c r="K329" s="5">
        <v>17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4</v>
      </c>
      <c r="R329" s="5">
        <v>1.6</v>
      </c>
      <c r="S329" s="5">
        <v>1</v>
      </c>
      <c r="T329" s="5">
        <v>0.5</v>
      </c>
      <c r="U329" s="5">
        <v>140</v>
      </c>
      <c r="V329" s="5">
        <v>0</v>
      </c>
      <c r="W329" s="5">
        <v>0</v>
      </c>
      <c r="X329" s="5">
        <v>0</v>
      </c>
      <c r="Y329" s="5">
        <v>1</v>
      </c>
      <c r="Z329" s="5">
        <v>0.52</v>
      </c>
      <c r="AA329" s="5">
        <v>0</v>
      </c>
      <c r="AB329" s="5">
        <v>0.19</v>
      </c>
      <c r="AC329" s="5">
        <v>1</v>
      </c>
      <c r="AD329" s="5">
        <v>10.5</v>
      </c>
      <c r="AE329" s="5">
        <v>0.3</v>
      </c>
      <c r="AF329" s="5">
        <v>3</v>
      </c>
      <c r="AG329" s="5">
        <v>13</v>
      </c>
      <c r="AH329" s="5">
        <v>2.2999999999999998</v>
      </c>
      <c r="AI329" s="5">
        <v>0</v>
      </c>
      <c r="AJ329" s="5">
        <v>6</v>
      </c>
      <c r="AK329" s="5">
        <v>6</v>
      </c>
      <c r="AL329" s="5">
        <v>210</v>
      </c>
      <c r="AM329" s="5">
        <v>4.8</v>
      </c>
      <c r="AN329" s="5">
        <v>0</v>
      </c>
      <c r="AO329" s="5">
        <v>2</v>
      </c>
      <c r="AP329" s="5">
        <v>23</v>
      </c>
      <c r="AQ329" s="5">
        <v>92</v>
      </c>
      <c r="AR329" s="5">
        <v>263</v>
      </c>
      <c r="AS329" s="5">
        <v>4.1000000000000002E-2</v>
      </c>
      <c r="AT329" s="5">
        <v>0.36</v>
      </c>
      <c r="AU329" s="5">
        <v>22</v>
      </c>
      <c r="AV329" s="5">
        <f>IFERROR(VLOOKUP(IFERROR(VLOOKUP(D329,Mapa_Similitud!$A$2:$B$2000,2,FALSE()),D329),Hoja1!$A$2:$K$1000,2,FALSE()),IFERROR(VLOOKUP(IFERROR(VLOOKUP(D329,Mapa_Similitud!$A$2:$B$2000,2,FALSE()),D329),Omega3_Referencia!$A$2:$E$100,3,FALSE()),0))</f>
        <v>0.04</v>
      </c>
      <c r="AW329" s="3" t="str">
        <f>IFERROR(VLOOKUP(IFERROR(VLOOKUP(D329,Mapa_Similitud!$A$2:$B$2000,2,FALSE()),D329),Hoja1!$A$2:$K$1000,3,FALSE()),IFERROR(VLOOKUP(IFERROR(VLOOKUP(D329,Mapa_Similitud!$A$2:$B$2000,2,FALSE()),D329),Omega3_Referencia!$A$2:$E$100,4,FALSE()),"N/A"))</f>
        <v>EPA/DHA</v>
      </c>
      <c r="AX329" s="5">
        <f>IFERROR(VLOOKUP(IFERROR(VLOOKUP(D329,Mapa_Similitud!$A$2:$B$2000,2,FALSE()),D329),Hoja1!$A$2:$K$1000,5,FALSE()),0)</f>
        <v>0.1</v>
      </c>
      <c r="AY329" s="5">
        <f>IFERROR(VLOOKUP(IFERROR(VLOOKUP(D329,Mapa_Similitud!$A$2:$B$2000,2,FALSE()),D329),Hoja1!$A$2:$K$1000,7,FALSE()),0)</f>
        <v>0</v>
      </c>
      <c r="AZ329" s="5">
        <f>IFERROR(VLOOKUP(IFERROR(VLOOKUP(D329,Mapa_Similitud!$A$2:$B$2000,2,FALSE()),D329),Hoja1!$A$2:$K$1000,9,FALSE()),0)</f>
        <v>0</v>
      </c>
      <c r="BA329" s="25">
        <f t="shared" si="145"/>
        <v>0.16346153846153846</v>
      </c>
      <c r="BB329" s="25">
        <f t="shared" si="146"/>
        <v>0</v>
      </c>
      <c r="BC329" s="25">
        <f t="shared" si="147"/>
        <v>5.7692307692307696E-2</v>
      </c>
      <c r="BD329" s="25">
        <f t="shared" si="148"/>
        <v>4.6153846153846149E-2</v>
      </c>
      <c r="BE329" s="25">
        <f t="shared" si="149"/>
        <v>0.88461538461538458</v>
      </c>
      <c r="BF329" s="25">
        <f t="shared" si="150"/>
        <v>0.3125</v>
      </c>
      <c r="BG329" s="25">
        <f t="shared" si="151"/>
        <v>2.8571428571428571E-2</v>
      </c>
      <c r="BH329" s="25">
        <f t="shared" si="152"/>
        <v>0.4</v>
      </c>
      <c r="BI329" s="25">
        <f t="shared" si="153"/>
        <v>0.34980988593155893</v>
      </c>
      <c r="BJ329" s="25">
        <f t="shared" si="154"/>
        <v>0</v>
      </c>
      <c r="BK329" s="25">
        <f t="shared" si="155"/>
        <v>0</v>
      </c>
      <c r="BL329" s="25">
        <f t="shared" si="156"/>
        <v>0.34615384615384615</v>
      </c>
      <c r="BM329" s="25">
        <f t="shared" si="157"/>
        <v>0.22115384615384615</v>
      </c>
      <c r="BN329" s="18" t="str">
        <f t="shared" si="163"/>
        <v>Alta fuente de proteína</v>
      </c>
      <c r="BO329" s="18" t="str">
        <f t="shared" si="164"/>
        <v>Baja fuente de fibra</v>
      </c>
      <c r="BP329" s="18" t="str">
        <f t="shared" si="165"/>
        <v>Baja fuente de calcio</v>
      </c>
      <c r="BQ329" s="18" t="str">
        <f t="shared" si="166"/>
        <v>Alta fuente de hierro</v>
      </c>
      <c r="BR329" s="18" t="str">
        <f t="shared" si="167"/>
        <v>Moderado en sodio</v>
      </c>
      <c r="BS329" s="6" t="str">
        <f t="shared" si="158"/>
        <v>Proinflamatorio</v>
      </c>
      <c r="BT329" s="6" t="str">
        <f t="shared" si="159"/>
        <v>Alto en grasas</v>
      </c>
      <c r="BU329" s="18" t="str">
        <f t="shared" si="168"/>
        <v>Equilibrio de líquidos ideal</v>
      </c>
      <c r="BV329" s="18" t="str">
        <f t="shared" si="169"/>
        <v>Media fuente de magnesio</v>
      </c>
      <c r="BW329" s="18" t="str">
        <f t="shared" si="170"/>
        <v>Sin aporte de Omega 3</v>
      </c>
      <c r="BX329" s="18" t="str">
        <f t="shared" si="171"/>
        <v>Contiene grasas trans</v>
      </c>
      <c r="BY329" s="18" t="str">
        <f t="shared" si="172"/>
        <v>Bajo poder antioxidante</v>
      </c>
      <c r="BZ329" s="6" t="str">
        <f t="shared" si="160"/>
        <v>Sin probióticos</v>
      </c>
      <c r="CA329" s="18" t="str">
        <f t="shared" si="173"/>
        <v>Moderadamente inflamatorio</v>
      </c>
      <c r="CB329" s="18" t="str">
        <f>IF(ISNUMBER(SEARCH("miel", D329)), "No irritante (Uso condicionado SII)", IF(OR(J329&gt;0, ISNUMBER(SEARCH("cacao", D329)), ISNUMBER(SEARCH("chocolate puro", D329))), "Altamente irritante", IF(OR(AND(O329&gt;15, BI329&gt;1), ISNUMBER(SEARCH("chocolate", D329))), "Moderadamente irritante", "No irritante")))</f>
        <v>No irritante</v>
      </c>
      <c r="CC329" s="6" t="str">
        <f t="shared" si="161"/>
        <v>Exceso relativo de Omega 6</v>
      </c>
    </row>
    <row r="330" spans="1:81" ht="15" customHeight="1" x14ac:dyDescent="0.3">
      <c r="A330" s="2">
        <f t="shared" si="162"/>
        <v>329</v>
      </c>
      <c r="B330" s="3" t="s">
        <v>391</v>
      </c>
      <c r="C330" s="3" t="s">
        <v>462</v>
      </c>
      <c r="D330" s="3" t="s">
        <v>468</v>
      </c>
      <c r="E330" s="3"/>
      <c r="F330" s="4">
        <v>2.5</v>
      </c>
      <c r="G330" s="5">
        <v>1</v>
      </c>
      <c r="H330" s="5">
        <v>131</v>
      </c>
      <c r="I330" s="5">
        <v>73.5</v>
      </c>
      <c r="J330" s="5">
        <v>0</v>
      </c>
      <c r="K330" s="5">
        <v>20.7</v>
      </c>
      <c r="L330" s="5">
        <v>0.93</v>
      </c>
      <c r="M330" s="5">
        <v>0.93</v>
      </c>
      <c r="N330" s="5">
        <v>0</v>
      </c>
      <c r="O330" s="5">
        <v>0</v>
      </c>
      <c r="P330" s="5">
        <v>0</v>
      </c>
      <c r="Q330" s="5">
        <v>4.9000000000000004</v>
      </c>
      <c r="R330" s="5">
        <v>1.7</v>
      </c>
      <c r="S330" s="5">
        <v>0.57999999999999996</v>
      </c>
      <c r="T330" s="5">
        <v>1.4</v>
      </c>
      <c r="U330" s="5">
        <v>354</v>
      </c>
      <c r="V330" s="5">
        <v>36000</v>
      </c>
      <c r="W330" s="5">
        <v>36000</v>
      </c>
      <c r="X330" s="5">
        <v>0</v>
      </c>
      <c r="Y330" s="5">
        <v>1.1000000000000001</v>
      </c>
      <c r="Z330" s="5">
        <v>0.6</v>
      </c>
      <c r="AA330" s="5">
        <v>56</v>
      </c>
      <c r="AB330" s="5">
        <v>0.31</v>
      </c>
      <c r="AC330" s="5">
        <v>3.2</v>
      </c>
      <c r="AD330" s="5">
        <v>19.399999999999999</v>
      </c>
      <c r="AE330" s="5">
        <v>0.59</v>
      </c>
      <c r="AF330" s="5">
        <v>136</v>
      </c>
      <c r="AG330" s="5">
        <v>39</v>
      </c>
      <c r="AH330" s="5">
        <v>6.8</v>
      </c>
      <c r="AI330" s="5">
        <v>27</v>
      </c>
      <c r="AJ330" s="5">
        <v>23</v>
      </c>
      <c r="AK330" s="5">
        <v>7.6</v>
      </c>
      <c r="AL330" s="5">
        <v>407</v>
      </c>
      <c r="AM330" s="5">
        <v>18</v>
      </c>
      <c r="AN330" s="5">
        <v>14</v>
      </c>
      <c r="AO330" s="5">
        <v>6.5</v>
      </c>
      <c r="AP330" s="5">
        <v>23</v>
      </c>
      <c r="AQ330" s="5">
        <v>77</v>
      </c>
      <c r="AR330" s="5">
        <v>363</v>
      </c>
      <c r="AS330" s="5">
        <v>0.31</v>
      </c>
      <c r="AT330" s="5">
        <v>1.3</v>
      </c>
      <c r="AU330" s="5">
        <v>56</v>
      </c>
      <c r="AV330" s="5">
        <f>IFERROR(VLOOKUP(IFERROR(VLOOKUP(D330,Mapa_Similitud!$A$2:$B$2000,2,FALSE()),D330),Hoja1!$A$2:$K$1000,2,FALSE()),IFERROR(VLOOKUP(IFERROR(VLOOKUP(D330,Mapa_Similitud!$A$2:$B$2000,2,FALSE()),D330),Omega3_Referencia!$A$2:$E$100,3,FALSE()),0))</f>
        <v>0.05</v>
      </c>
      <c r="AW330" s="3" t="str">
        <f>IFERROR(VLOOKUP(IFERROR(VLOOKUP(D330,Mapa_Similitud!$A$2:$B$2000,2,FALSE()),D330),Hoja1!$A$2:$K$1000,3,FALSE()),IFERROR(VLOOKUP(IFERROR(VLOOKUP(D330,Mapa_Similitud!$A$2:$B$2000,2,FALSE()),D330),Omega3_Referencia!$A$2:$E$100,4,FALSE()),"N/A"))</f>
        <v>EPA/DHA</v>
      </c>
      <c r="AX330" s="5">
        <f>IFERROR(VLOOKUP(IFERROR(VLOOKUP(D330,Mapa_Similitud!$A$2:$B$2000,2,FALSE()),D330),Hoja1!$A$2:$K$1000,5,FALSE()),0)</f>
        <v>0.1</v>
      </c>
      <c r="AY330" s="5">
        <f>IFERROR(VLOOKUP(IFERROR(VLOOKUP(D330,Mapa_Similitud!$A$2:$B$2000,2,FALSE()),D330),Hoja1!$A$2:$K$1000,7,FALSE()),0)</f>
        <v>0</v>
      </c>
      <c r="AZ330" s="5">
        <f>IFERROR(VLOOKUP(IFERROR(VLOOKUP(D330,Mapa_Similitud!$A$2:$B$2000,2,FALSE()),D330),Hoja1!$A$2:$K$1000,9,FALSE()),0)</f>
        <v>0</v>
      </c>
      <c r="BA330" s="25">
        <f t="shared" si="145"/>
        <v>0.15801526717557252</v>
      </c>
      <c r="BB330" s="25">
        <f t="shared" si="146"/>
        <v>0</v>
      </c>
      <c r="BC330" s="25">
        <f t="shared" si="147"/>
        <v>5.8015267175572517E-2</v>
      </c>
      <c r="BD330" s="25">
        <f t="shared" si="148"/>
        <v>0.13740458015267176</v>
      </c>
      <c r="BE330" s="25">
        <f t="shared" si="149"/>
        <v>0.58778625954198471</v>
      </c>
      <c r="BF330" s="25">
        <f t="shared" si="150"/>
        <v>0.82352941176470584</v>
      </c>
      <c r="BG330" s="25">
        <f t="shared" si="151"/>
        <v>1.8673218673218674E-2</v>
      </c>
      <c r="BH330" s="25">
        <f t="shared" si="152"/>
        <v>0.34693877551020402</v>
      </c>
      <c r="BI330" s="25">
        <f t="shared" si="153"/>
        <v>0.21212121212121213</v>
      </c>
      <c r="BJ330" s="25">
        <f t="shared" si="154"/>
        <v>0</v>
      </c>
      <c r="BK330" s="25">
        <f t="shared" si="155"/>
        <v>0</v>
      </c>
      <c r="BL330" s="25">
        <f t="shared" si="156"/>
        <v>0.33664122137404578</v>
      </c>
      <c r="BM330" s="25">
        <f t="shared" si="157"/>
        <v>0.17557251908396945</v>
      </c>
      <c r="BN330" s="18" t="str">
        <f t="shared" si="163"/>
        <v>Alta fuente de proteína</v>
      </c>
      <c r="BO330" s="18" t="str">
        <f t="shared" si="164"/>
        <v>Baja fuente de fibra</v>
      </c>
      <c r="BP330" s="18" t="str">
        <f t="shared" si="165"/>
        <v>Baja fuente de calcio</v>
      </c>
      <c r="BQ330" s="18" t="str">
        <f t="shared" si="166"/>
        <v>Alta fuente de hierro</v>
      </c>
      <c r="BR330" s="18" t="str">
        <f t="shared" si="167"/>
        <v>Moderado en sodio</v>
      </c>
      <c r="BS330" s="6" t="str">
        <f t="shared" si="158"/>
        <v>Neutro</v>
      </c>
      <c r="BT330" s="6" t="str">
        <f t="shared" si="159"/>
        <v>Alto en grasas</v>
      </c>
      <c r="BU330" s="18" t="str">
        <f t="shared" si="168"/>
        <v>Equilibrio de líquidos ideal</v>
      </c>
      <c r="BV330" s="18" t="str">
        <f t="shared" si="169"/>
        <v>Baja fuente de magnesio</v>
      </c>
      <c r="BW330" s="18" t="str">
        <f t="shared" si="170"/>
        <v>Sin aporte de Omega 3</v>
      </c>
      <c r="BX330" s="18" t="str">
        <f t="shared" si="171"/>
        <v>Contiene grasas trans</v>
      </c>
      <c r="BY330" s="18" t="str">
        <f t="shared" si="172"/>
        <v>Bajo poder antioxidante</v>
      </c>
      <c r="BZ330" s="6" t="str">
        <f t="shared" si="160"/>
        <v>Sin probióticos</v>
      </c>
      <c r="CA330" s="18" t="str">
        <f t="shared" si="173"/>
        <v>Moderadamente inflamatorio</v>
      </c>
      <c r="CB330" s="18" t="str">
        <f>IF(ISNUMBER(SEARCH("miel", D330)), "No irritante (Uso condicionado SII)", IF(OR(J330&gt;0, ISNUMBER(SEARCH("cacao", D330)), ISNUMBER(SEARCH("chocolate puro", D330))), "Altamente irritante", IF(OR(AND(O330&gt;15, BI330&gt;1), ISNUMBER(SEARCH("chocolate", D330))), "Moderadamente irritante", "No irritante")))</f>
        <v>No irritante</v>
      </c>
      <c r="CC330" s="6" t="str">
        <f t="shared" si="161"/>
        <v>Exceso relativo de Omega 6</v>
      </c>
    </row>
    <row r="331" spans="1:81" ht="15" customHeight="1" x14ac:dyDescent="0.3">
      <c r="A331" s="2">
        <f t="shared" si="162"/>
        <v>330</v>
      </c>
      <c r="B331" s="3" t="s">
        <v>391</v>
      </c>
      <c r="C331" s="3" t="s">
        <v>462</v>
      </c>
      <c r="D331" s="3" t="s">
        <v>469</v>
      </c>
      <c r="E331" s="3"/>
      <c r="F331" s="4">
        <v>2.5</v>
      </c>
      <c r="G331" s="5">
        <v>1</v>
      </c>
      <c r="H331" s="5">
        <v>137</v>
      </c>
      <c r="I331" s="5">
        <v>70.7</v>
      </c>
      <c r="J331" s="5">
        <v>0</v>
      </c>
      <c r="K331" s="5">
        <v>20.7</v>
      </c>
      <c r="L331" s="5">
        <v>2.2000000000000002</v>
      </c>
      <c r="M331" s="5">
        <v>2.2000000000000002</v>
      </c>
      <c r="N331" s="5">
        <v>0</v>
      </c>
      <c r="O331" s="5">
        <v>0</v>
      </c>
      <c r="P331" s="5">
        <v>0</v>
      </c>
      <c r="Q331" s="5">
        <v>5</v>
      </c>
      <c r="R331" s="5">
        <v>1.7</v>
      </c>
      <c r="S331" s="5">
        <v>1.2</v>
      </c>
      <c r="T331" s="5">
        <v>0.75</v>
      </c>
      <c r="U331" s="5">
        <v>371</v>
      </c>
      <c r="V331" s="5">
        <v>20010</v>
      </c>
      <c r="W331" s="5">
        <v>20000</v>
      </c>
      <c r="X331" s="5">
        <v>60</v>
      </c>
      <c r="Y331" s="5">
        <v>1.2</v>
      </c>
      <c r="Z331" s="5">
        <v>0.4</v>
      </c>
      <c r="AA331" s="5">
        <v>0</v>
      </c>
      <c r="AB331" s="5">
        <v>0.34</v>
      </c>
      <c r="AC331" s="5">
        <v>3.5</v>
      </c>
      <c r="AD331" s="5">
        <v>15.5</v>
      </c>
      <c r="AE331" s="5">
        <v>0.6</v>
      </c>
      <c r="AF331" s="5">
        <v>240</v>
      </c>
      <c r="AG331" s="5">
        <v>75</v>
      </c>
      <c r="AH331" s="5">
        <v>0</v>
      </c>
      <c r="AI331" s="5">
        <v>0</v>
      </c>
      <c r="AJ331" s="5">
        <v>15</v>
      </c>
      <c r="AK331" s="5">
        <v>8</v>
      </c>
      <c r="AL331" s="5">
        <v>360</v>
      </c>
      <c r="AM331" s="5">
        <v>10.199999999999999</v>
      </c>
      <c r="AN331" s="5">
        <v>0</v>
      </c>
      <c r="AO331" s="5">
        <v>3.9</v>
      </c>
      <c r="AP331" s="5">
        <v>19</v>
      </c>
      <c r="AQ331" s="5">
        <v>72</v>
      </c>
      <c r="AR331" s="5">
        <v>297</v>
      </c>
      <c r="AS331" s="5">
        <v>0</v>
      </c>
      <c r="AT331" s="5">
        <v>0</v>
      </c>
      <c r="AU331" s="5">
        <v>0</v>
      </c>
      <c r="AV331" s="5">
        <f>IFERROR(VLOOKUP(IFERROR(VLOOKUP(D331,Mapa_Similitud!$A$2:$B$2000,2,FALSE()),D331),Hoja1!$A$2:$K$1000,2,FALSE()),IFERROR(VLOOKUP(IFERROR(VLOOKUP(D331,Mapa_Similitud!$A$2:$B$2000,2,FALSE()),D331),Omega3_Referencia!$A$2:$E$100,3,FALSE()),0))</f>
        <v>0.05</v>
      </c>
      <c r="AW331" s="3" t="str">
        <f>IFERROR(VLOOKUP(IFERROR(VLOOKUP(D331,Mapa_Similitud!$A$2:$B$2000,2,FALSE()),D331),Hoja1!$A$2:$K$1000,3,FALSE()),IFERROR(VLOOKUP(IFERROR(VLOOKUP(D331,Mapa_Similitud!$A$2:$B$2000,2,FALSE()),D331),Omega3_Referencia!$A$2:$E$100,4,FALSE()),"N/A"))</f>
        <v>EPA/DHA</v>
      </c>
      <c r="AX331" s="5">
        <f>IFERROR(VLOOKUP(IFERROR(VLOOKUP(D331,Mapa_Similitud!$A$2:$B$2000,2,FALSE()),D331),Hoja1!$A$2:$K$1000,5,FALSE()),0)</f>
        <v>0.1</v>
      </c>
      <c r="AY331" s="5">
        <f>IFERROR(VLOOKUP(IFERROR(VLOOKUP(D331,Mapa_Similitud!$A$2:$B$2000,2,FALSE()),D331),Hoja1!$A$2:$K$1000,7,FALSE()),0)</f>
        <v>0</v>
      </c>
      <c r="AZ331" s="5">
        <f>IFERROR(VLOOKUP(IFERROR(VLOOKUP(D331,Mapa_Similitud!$A$2:$B$2000,2,FALSE()),D331),Hoja1!$A$2:$K$1000,9,FALSE()),0)</f>
        <v>0</v>
      </c>
      <c r="BA331" s="25">
        <f t="shared" si="145"/>
        <v>0.1510948905109489</v>
      </c>
      <c r="BB331" s="25">
        <f t="shared" si="146"/>
        <v>0</v>
      </c>
      <c r="BC331" s="25">
        <f t="shared" si="147"/>
        <v>5.8394160583941604E-2</v>
      </c>
      <c r="BD331" s="25">
        <f t="shared" si="148"/>
        <v>7.4452554744525543E-2</v>
      </c>
      <c r="BE331" s="25">
        <f t="shared" si="149"/>
        <v>0.52554744525547448</v>
      </c>
      <c r="BF331" s="25">
        <f t="shared" si="150"/>
        <v>0.44117647058823528</v>
      </c>
      <c r="BG331" s="25">
        <f t="shared" si="151"/>
        <v>2.2222222222222223E-2</v>
      </c>
      <c r="BH331" s="25">
        <f t="shared" si="152"/>
        <v>0.33999999999999997</v>
      </c>
      <c r="BI331" s="25">
        <f t="shared" si="153"/>
        <v>0.24242424242424243</v>
      </c>
      <c r="BJ331" s="25">
        <f t="shared" si="154"/>
        <v>0</v>
      </c>
      <c r="BK331" s="25">
        <f t="shared" si="155"/>
        <v>0</v>
      </c>
      <c r="BL331" s="25">
        <f t="shared" si="156"/>
        <v>0.32846715328467152</v>
      </c>
      <c r="BM331" s="25">
        <f t="shared" si="157"/>
        <v>0.13868613138686131</v>
      </c>
      <c r="BN331" s="18" t="str">
        <f t="shared" si="163"/>
        <v>Alta fuente de proteína</v>
      </c>
      <c r="BO331" s="18" t="str">
        <f t="shared" si="164"/>
        <v>Baja fuente de fibra</v>
      </c>
      <c r="BP331" s="18" t="str">
        <f t="shared" si="165"/>
        <v>Baja fuente de calcio</v>
      </c>
      <c r="BQ331" s="18" t="str">
        <f t="shared" si="166"/>
        <v>Alta fuente de hierro</v>
      </c>
      <c r="BR331" s="18" t="str">
        <f t="shared" si="167"/>
        <v>Moderado en sodio</v>
      </c>
      <c r="BS331" s="6" t="str">
        <f t="shared" si="158"/>
        <v>Proinflamatorio</v>
      </c>
      <c r="BT331" s="6" t="str">
        <f t="shared" si="159"/>
        <v>Alto en grasas</v>
      </c>
      <c r="BU331" s="18" t="str">
        <f t="shared" si="168"/>
        <v>Equilibrio de líquidos ideal</v>
      </c>
      <c r="BV331" s="18" t="str">
        <f t="shared" si="169"/>
        <v>Baja fuente de magnesio</v>
      </c>
      <c r="BW331" s="18" t="str">
        <f t="shared" si="170"/>
        <v>Sin aporte de Omega 3</v>
      </c>
      <c r="BX331" s="18" t="str">
        <f t="shared" si="171"/>
        <v>Contiene grasas trans</v>
      </c>
      <c r="BY331" s="18" t="str">
        <f t="shared" si="172"/>
        <v>Bajo poder antioxidante</v>
      </c>
      <c r="BZ331" s="6" t="str">
        <f t="shared" si="160"/>
        <v>Sin probióticos</v>
      </c>
      <c r="CA331" s="18" t="str">
        <f t="shared" si="173"/>
        <v>Moderadamente inflamatorio</v>
      </c>
      <c r="CB331" s="18" t="str">
        <f>IF(ISNUMBER(SEARCH("miel", D331)), "No irritante (Uso condicionado SII)", IF(OR(J331&gt;0, ISNUMBER(SEARCH("cacao", D331)), ISNUMBER(SEARCH("chocolate puro", D331))), "Altamente irritante", IF(OR(AND(O331&gt;15, BI331&gt;1), ISNUMBER(SEARCH("chocolate", D331))), "Moderadamente irritante", "No irritante")))</f>
        <v>No irritante</v>
      </c>
      <c r="CC331" s="6" t="str">
        <f t="shared" si="161"/>
        <v>Exceso relativo de Omega 6</v>
      </c>
    </row>
    <row r="332" spans="1:81" ht="15" customHeight="1" x14ac:dyDescent="0.3">
      <c r="A332" s="2">
        <f t="shared" si="162"/>
        <v>331</v>
      </c>
      <c r="B332" s="3" t="s">
        <v>391</v>
      </c>
      <c r="C332" s="3" t="s">
        <v>462</v>
      </c>
      <c r="D332" s="3" t="s">
        <v>470</v>
      </c>
      <c r="E332" s="3"/>
      <c r="F332" s="4">
        <v>2</v>
      </c>
      <c r="G332" s="5">
        <v>1</v>
      </c>
      <c r="H332" s="5">
        <v>136</v>
      </c>
      <c r="I332" s="5">
        <v>72</v>
      </c>
      <c r="J332" s="5">
        <v>0</v>
      </c>
      <c r="K332" s="5">
        <v>22.1</v>
      </c>
      <c r="L332" s="5">
        <v>1.2</v>
      </c>
      <c r="M332" s="5">
        <v>1.2</v>
      </c>
      <c r="N332" s="5">
        <v>0</v>
      </c>
      <c r="O332" s="5">
        <v>0</v>
      </c>
      <c r="P332" s="5">
        <v>0</v>
      </c>
      <c r="Q332" s="5">
        <v>4.7</v>
      </c>
      <c r="R332" s="5">
        <v>1.6</v>
      </c>
      <c r="S332" s="5">
        <v>1.1000000000000001</v>
      </c>
      <c r="T332" s="5">
        <v>0.75</v>
      </c>
      <c r="U332" s="5">
        <v>492</v>
      </c>
      <c r="V332" s="5">
        <v>33</v>
      </c>
      <c r="W332" s="5">
        <v>33</v>
      </c>
      <c r="X332" s="5">
        <v>0</v>
      </c>
      <c r="Y332" s="5">
        <v>1.3</v>
      </c>
      <c r="Z332" s="5">
        <v>0.4</v>
      </c>
      <c r="AA332" s="5">
        <v>80</v>
      </c>
      <c r="AB332" s="5">
        <v>0.32</v>
      </c>
      <c r="AC332" s="5">
        <v>2.5</v>
      </c>
      <c r="AD332" s="5">
        <v>14.8</v>
      </c>
      <c r="AE332" s="5">
        <v>0.8</v>
      </c>
      <c r="AF332" s="5">
        <v>380</v>
      </c>
      <c r="AG332" s="5">
        <v>25</v>
      </c>
      <c r="AH332" s="5">
        <v>6.6</v>
      </c>
      <c r="AI332" s="5">
        <v>210</v>
      </c>
      <c r="AJ332" s="5">
        <v>28</v>
      </c>
      <c r="AK332" s="5">
        <v>18</v>
      </c>
      <c r="AL332" s="5">
        <v>240</v>
      </c>
      <c r="AM332" s="5">
        <v>7.4</v>
      </c>
      <c r="AN332" s="5">
        <v>3</v>
      </c>
      <c r="AO332" s="5">
        <v>3.2</v>
      </c>
      <c r="AP332" s="5">
        <v>13</v>
      </c>
      <c r="AQ332" s="5">
        <v>68</v>
      </c>
      <c r="AR332" s="5">
        <v>218</v>
      </c>
      <c r="AS332" s="5">
        <v>0.28999999999999998</v>
      </c>
      <c r="AT332" s="5">
        <v>0.32</v>
      </c>
      <c r="AU332" s="5">
        <v>55</v>
      </c>
      <c r="AV332" s="5">
        <f>IFERROR(VLOOKUP(IFERROR(VLOOKUP(D332,Mapa_Similitud!$A$2:$B$2000,2,FALSE()),D332),Hoja1!$A$2:$K$1000,2,FALSE()),IFERROR(VLOOKUP(IFERROR(VLOOKUP(D332,Mapa_Similitud!$A$2:$B$2000,2,FALSE()),D332),Omega3_Referencia!$A$2:$E$100,3,FALSE()),0))</f>
        <v>0.05</v>
      </c>
      <c r="AW332" s="3" t="str">
        <f>IFERROR(VLOOKUP(IFERROR(VLOOKUP(D332,Mapa_Similitud!$A$2:$B$2000,2,FALSE()),D332),Hoja1!$A$2:$K$1000,3,FALSE()),IFERROR(VLOOKUP(IFERROR(VLOOKUP(D332,Mapa_Similitud!$A$2:$B$2000,2,FALSE()),D332),Omega3_Referencia!$A$2:$E$100,4,FALSE()),"N/A"))</f>
        <v>EPA/DHA</v>
      </c>
      <c r="AX332" s="5">
        <f>IFERROR(VLOOKUP(IFERROR(VLOOKUP(D332,Mapa_Similitud!$A$2:$B$2000,2,FALSE()),D332),Hoja1!$A$2:$K$1000,5,FALSE()),0)</f>
        <v>0.1</v>
      </c>
      <c r="AY332" s="5">
        <f>IFERROR(VLOOKUP(IFERROR(VLOOKUP(D332,Mapa_Similitud!$A$2:$B$2000,2,FALSE()),D332),Hoja1!$A$2:$K$1000,7,FALSE()),0)</f>
        <v>0</v>
      </c>
      <c r="AZ332" s="5">
        <f>IFERROR(VLOOKUP(IFERROR(VLOOKUP(D332,Mapa_Similitud!$A$2:$B$2000,2,FALSE()),D332),Hoja1!$A$2:$K$1000,9,FALSE()),0)</f>
        <v>0</v>
      </c>
      <c r="BA332" s="25">
        <f t="shared" si="145"/>
        <v>0.16250000000000001</v>
      </c>
      <c r="BB332" s="25">
        <f t="shared" si="146"/>
        <v>0</v>
      </c>
      <c r="BC332" s="25">
        <f t="shared" si="147"/>
        <v>0.13235294117647059</v>
      </c>
      <c r="BD332" s="25">
        <f t="shared" si="148"/>
        <v>5.4411764705882354E-2</v>
      </c>
      <c r="BE332" s="25">
        <f t="shared" si="149"/>
        <v>0.5</v>
      </c>
      <c r="BF332" s="25">
        <f t="shared" si="150"/>
        <v>0.46875</v>
      </c>
      <c r="BG332" s="25">
        <f t="shared" si="151"/>
        <v>7.4999999999999997E-2</v>
      </c>
      <c r="BH332" s="25">
        <f t="shared" si="152"/>
        <v>0.34042553191489361</v>
      </c>
      <c r="BI332" s="25">
        <f t="shared" si="153"/>
        <v>0.31192660550458717</v>
      </c>
      <c r="BJ332" s="25">
        <f t="shared" si="154"/>
        <v>0</v>
      </c>
      <c r="BK332" s="25">
        <f t="shared" si="155"/>
        <v>0</v>
      </c>
      <c r="BL332" s="25">
        <f t="shared" si="156"/>
        <v>0.31102941176470589</v>
      </c>
      <c r="BM332" s="25">
        <f t="shared" si="157"/>
        <v>9.5588235294117641E-2</v>
      </c>
      <c r="BN332" s="18" t="str">
        <f t="shared" si="163"/>
        <v>Alta fuente de proteína</v>
      </c>
      <c r="BO332" s="18" t="str">
        <f t="shared" si="164"/>
        <v>Baja fuente de fibra</v>
      </c>
      <c r="BP332" s="18" t="str">
        <f t="shared" si="165"/>
        <v>Baja fuente de calcio</v>
      </c>
      <c r="BQ332" s="18" t="str">
        <f t="shared" si="166"/>
        <v>Alta fuente de hierro</v>
      </c>
      <c r="BR332" s="18" t="str">
        <f t="shared" si="167"/>
        <v>Bajo en sodio</v>
      </c>
      <c r="BS332" s="6" t="str">
        <f t="shared" si="158"/>
        <v>Proinflamatorio</v>
      </c>
      <c r="BT332" s="6" t="str">
        <f t="shared" si="159"/>
        <v>Alto en grasas</v>
      </c>
      <c r="BU332" s="18" t="str">
        <f t="shared" si="168"/>
        <v>Equilibrio de líquidos ideal</v>
      </c>
      <c r="BV332" s="18" t="str">
        <f t="shared" si="169"/>
        <v>Baja fuente de magnesio</v>
      </c>
      <c r="BW332" s="18" t="str">
        <f t="shared" si="170"/>
        <v>Sin aporte de Omega 3</v>
      </c>
      <c r="BX332" s="18" t="str">
        <f t="shared" si="171"/>
        <v>Contiene grasas trans</v>
      </c>
      <c r="BY332" s="18" t="str">
        <f t="shared" si="172"/>
        <v>Bajo poder antioxidante</v>
      </c>
      <c r="BZ332" s="6" t="str">
        <f t="shared" si="160"/>
        <v>Sin probióticos</v>
      </c>
      <c r="CA332" s="18" t="str">
        <f t="shared" si="173"/>
        <v>Moderadamente inflamatorio</v>
      </c>
      <c r="CB332" s="18" t="str">
        <f>IF(ISNUMBER(SEARCH("miel", D332)), "No irritante (Uso condicionado SII)", IF(OR(J332&gt;0, ISNUMBER(SEARCH("cacao", D332)), ISNUMBER(SEARCH("chocolate puro", D332))), "Altamente irritante", IF(OR(AND(O332&gt;15, BI332&gt;1), ISNUMBER(SEARCH("chocolate", D332))), "Moderadamente irritante", "No irritante")))</f>
        <v>No irritante</v>
      </c>
      <c r="CC332" s="6" t="str">
        <f t="shared" si="161"/>
        <v>Exceso relativo de Omega 6</v>
      </c>
    </row>
    <row r="333" spans="1:81" ht="15" customHeight="1" x14ac:dyDescent="0.3">
      <c r="A333" s="2">
        <f t="shared" si="162"/>
        <v>332</v>
      </c>
      <c r="B333" s="3" t="s">
        <v>391</v>
      </c>
      <c r="C333" s="3" t="s">
        <v>462</v>
      </c>
      <c r="D333" s="3" t="s">
        <v>471</v>
      </c>
      <c r="E333" s="3"/>
      <c r="F333" s="4">
        <v>2</v>
      </c>
      <c r="G333" s="5">
        <v>1</v>
      </c>
      <c r="H333" s="5">
        <v>130</v>
      </c>
      <c r="I333" s="5">
        <v>71.8</v>
      </c>
      <c r="J333" s="5">
        <v>0</v>
      </c>
      <c r="K333" s="5">
        <v>19.5</v>
      </c>
      <c r="L333" s="5">
        <v>5.3</v>
      </c>
      <c r="M333" s="5">
        <v>5.3</v>
      </c>
      <c r="N333" s="5">
        <v>0</v>
      </c>
      <c r="O333" s="5">
        <v>0</v>
      </c>
      <c r="P333" s="5">
        <v>0</v>
      </c>
      <c r="Q333" s="5">
        <v>3.4</v>
      </c>
      <c r="R333" s="5">
        <v>1.3</v>
      </c>
      <c r="S333" s="5">
        <v>0.45</v>
      </c>
      <c r="T333" s="5">
        <v>0.74</v>
      </c>
      <c r="U333" s="5">
        <v>261</v>
      </c>
      <c r="V333" s="5">
        <v>18000</v>
      </c>
      <c r="W333" s="5">
        <v>17720</v>
      </c>
      <c r="X333" s="5">
        <v>1680</v>
      </c>
      <c r="Y333" s="5">
        <v>1.7</v>
      </c>
      <c r="Z333" s="5">
        <v>0.7</v>
      </c>
      <c r="AA333" s="5">
        <v>33</v>
      </c>
      <c r="AB333" s="5">
        <v>0.28999999999999998</v>
      </c>
      <c r="AC333" s="5">
        <v>2.9</v>
      </c>
      <c r="AD333" s="5">
        <v>17.8</v>
      </c>
      <c r="AE333" s="5">
        <v>0.88</v>
      </c>
      <c r="AF333" s="5">
        <v>592</v>
      </c>
      <c r="AG333" s="5">
        <v>65</v>
      </c>
      <c r="AH333" s="5">
        <v>7.3</v>
      </c>
      <c r="AI333" s="5">
        <v>100</v>
      </c>
      <c r="AJ333" s="5">
        <v>32</v>
      </c>
      <c r="AK333" s="5">
        <v>6.1</v>
      </c>
      <c r="AL333" s="5">
        <v>352</v>
      </c>
      <c r="AM333" s="5">
        <v>6.9</v>
      </c>
      <c r="AN333" s="5">
        <v>14</v>
      </c>
      <c r="AO333" s="5">
        <v>4.8</v>
      </c>
      <c r="AP333" s="5">
        <v>21</v>
      </c>
      <c r="AQ333" s="5">
        <v>116</v>
      </c>
      <c r="AR333" s="5">
        <v>330</v>
      </c>
      <c r="AS333" s="5">
        <v>0.33</v>
      </c>
      <c r="AT333" s="5">
        <v>3.2</v>
      </c>
      <c r="AU333" s="5">
        <v>21</v>
      </c>
      <c r="AV333" s="5">
        <f>IFERROR(VLOOKUP(IFERROR(VLOOKUP(D333,Mapa_Similitud!$A$2:$B$2000,2,FALSE()),D333),Hoja1!$A$2:$K$1000,2,FALSE()),IFERROR(VLOOKUP(IFERROR(VLOOKUP(D333,Mapa_Similitud!$A$2:$B$2000,2,FALSE()),D333),Omega3_Referencia!$A$2:$E$100,3,FALSE()),0))</f>
        <v>0.05</v>
      </c>
      <c r="AW333" s="3" t="str">
        <f>IFERROR(VLOOKUP(IFERROR(VLOOKUP(D333,Mapa_Similitud!$A$2:$B$2000,2,FALSE()),D333),Hoja1!$A$2:$K$1000,3,FALSE()),IFERROR(VLOOKUP(IFERROR(VLOOKUP(D333,Mapa_Similitud!$A$2:$B$2000,2,FALSE()),D333),Omega3_Referencia!$A$2:$E$100,4,FALSE()),"N/A"))</f>
        <v>EPA/DHA</v>
      </c>
      <c r="AX333" s="5">
        <f>IFERROR(VLOOKUP(IFERROR(VLOOKUP(D333,Mapa_Similitud!$A$2:$B$2000,2,FALSE()),D333),Hoja1!$A$2:$K$1000,5,FALSE()),0)</f>
        <v>0.1</v>
      </c>
      <c r="AY333" s="5">
        <f>IFERROR(VLOOKUP(IFERROR(VLOOKUP(D333,Mapa_Similitud!$A$2:$B$2000,2,FALSE()),D333),Hoja1!$A$2:$K$1000,7,FALSE()),0)</f>
        <v>0</v>
      </c>
      <c r="AZ333" s="5">
        <f>IFERROR(VLOOKUP(IFERROR(VLOOKUP(D333,Mapa_Similitud!$A$2:$B$2000,2,FALSE()),D333),Hoja1!$A$2:$K$1000,9,FALSE()),0)</f>
        <v>0</v>
      </c>
      <c r="BA333" s="25">
        <f t="shared" si="145"/>
        <v>0.15</v>
      </c>
      <c r="BB333" s="25">
        <f t="shared" si="146"/>
        <v>0</v>
      </c>
      <c r="BC333" s="25">
        <f t="shared" si="147"/>
        <v>4.6923076923076922E-2</v>
      </c>
      <c r="BD333" s="25">
        <f t="shared" si="148"/>
        <v>5.3076923076923077E-2</v>
      </c>
      <c r="BE333" s="25">
        <f t="shared" si="149"/>
        <v>0.89230769230769236</v>
      </c>
      <c r="BF333" s="25">
        <f t="shared" si="150"/>
        <v>0.56923076923076921</v>
      </c>
      <c r="BG333" s="25">
        <f t="shared" si="151"/>
        <v>1.7329545454545455E-2</v>
      </c>
      <c r="BH333" s="25">
        <f t="shared" si="152"/>
        <v>0.38235294117647062</v>
      </c>
      <c r="BI333" s="25">
        <f t="shared" si="153"/>
        <v>0.3515151515151515</v>
      </c>
      <c r="BJ333" s="25">
        <f t="shared" si="154"/>
        <v>0</v>
      </c>
      <c r="BK333" s="25">
        <f t="shared" si="155"/>
        <v>0</v>
      </c>
      <c r="BL333" s="25">
        <f t="shared" si="156"/>
        <v>0.23538461538461536</v>
      </c>
      <c r="BM333" s="25">
        <f t="shared" si="157"/>
        <v>0.16153846153846155</v>
      </c>
      <c r="BN333" s="18" t="str">
        <f t="shared" si="163"/>
        <v>Media fuente de proteína</v>
      </c>
      <c r="BO333" s="18" t="str">
        <f t="shared" si="164"/>
        <v>Baja fuente de fibra</v>
      </c>
      <c r="BP333" s="18" t="str">
        <f t="shared" si="165"/>
        <v>Baja fuente de calcio</v>
      </c>
      <c r="BQ333" s="18" t="str">
        <f t="shared" si="166"/>
        <v>Alta fuente de hierro</v>
      </c>
      <c r="BR333" s="18" t="str">
        <f t="shared" si="167"/>
        <v>Moderado en sodio</v>
      </c>
      <c r="BS333" s="6" t="str">
        <f t="shared" si="158"/>
        <v>Neutro</v>
      </c>
      <c r="BT333" s="6" t="str">
        <f t="shared" si="159"/>
        <v>Moderado en grasas</v>
      </c>
      <c r="BU333" s="18" t="str">
        <f t="shared" si="168"/>
        <v>Equilibrio de líquidos ideal</v>
      </c>
      <c r="BV333" s="18" t="str">
        <f t="shared" si="169"/>
        <v>Baja fuente de magnesio</v>
      </c>
      <c r="BW333" s="18" t="str">
        <f t="shared" si="170"/>
        <v>Sin aporte de Omega 3</v>
      </c>
      <c r="BX333" s="18" t="str">
        <f t="shared" si="171"/>
        <v>Contiene grasas trans</v>
      </c>
      <c r="BY333" s="18" t="str">
        <f t="shared" si="172"/>
        <v>Bajo poder antioxidante</v>
      </c>
      <c r="BZ333" s="6" t="str">
        <f t="shared" si="160"/>
        <v>Sin probióticos</v>
      </c>
      <c r="CA333" s="18" t="str">
        <f t="shared" si="173"/>
        <v>Moderadamente inflamatorio</v>
      </c>
      <c r="CB333" s="18" t="str">
        <f>IF(ISNUMBER(SEARCH("miel", D333)), "No irritante (Uso condicionado SII)", IF(OR(J333&gt;0, ISNUMBER(SEARCH("cacao", D333)), ISNUMBER(SEARCH("chocolate puro", D333))), "Altamente irritante", IF(OR(AND(O333&gt;15, BI333&gt;1), ISNUMBER(SEARCH("chocolate", D333))), "Moderadamente irritante", "No irritante")))</f>
        <v>No irritante</v>
      </c>
      <c r="CC333" s="6" t="str">
        <f t="shared" si="161"/>
        <v>Exceso relativo de Omega 6</v>
      </c>
    </row>
    <row r="334" spans="1:81" ht="15" customHeight="1" x14ac:dyDescent="0.3">
      <c r="A334" s="2">
        <f t="shared" si="162"/>
        <v>333</v>
      </c>
      <c r="B334" s="3" t="s">
        <v>391</v>
      </c>
      <c r="C334" s="3" t="s">
        <v>462</v>
      </c>
      <c r="D334" s="3" t="s">
        <v>472</v>
      </c>
      <c r="E334" s="3"/>
      <c r="F334" s="4">
        <v>3</v>
      </c>
      <c r="G334" s="5">
        <v>0.84</v>
      </c>
      <c r="H334" s="5">
        <v>157</v>
      </c>
      <c r="I334" s="5">
        <v>73.7</v>
      </c>
      <c r="J334" s="5">
        <v>0</v>
      </c>
      <c r="K334" s="5">
        <v>16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10.3</v>
      </c>
      <c r="R334" s="5">
        <v>3.6</v>
      </c>
      <c r="S334" s="5">
        <v>4.9000000000000004</v>
      </c>
      <c r="T334" s="5">
        <v>1.1000000000000001</v>
      </c>
      <c r="U334" s="5">
        <v>116</v>
      </c>
      <c r="V334" s="5">
        <v>0</v>
      </c>
      <c r="W334" s="5">
        <v>0</v>
      </c>
      <c r="X334" s="5">
        <v>0</v>
      </c>
      <c r="Y334" s="5">
        <v>0</v>
      </c>
      <c r="Z334" s="5">
        <v>0.51</v>
      </c>
      <c r="AA334" s="5">
        <v>0</v>
      </c>
      <c r="AB334" s="5">
        <v>0.49</v>
      </c>
      <c r="AC334" s="5">
        <v>0.5</v>
      </c>
      <c r="AD334" s="5">
        <v>8.1999999999999993</v>
      </c>
      <c r="AE334" s="5">
        <v>0.35</v>
      </c>
      <c r="AF334" s="5">
        <v>4</v>
      </c>
      <c r="AG334" s="5">
        <v>0.8</v>
      </c>
      <c r="AH334" s="5">
        <v>0.64</v>
      </c>
      <c r="AI334" s="5">
        <v>0</v>
      </c>
      <c r="AJ334" s="5">
        <v>4.4000000000000004</v>
      </c>
      <c r="AK334" s="5">
        <v>9.6</v>
      </c>
      <c r="AL334" s="5">
        <v>197</v>
      </c>
      <c r="AM334" s="5">
        <v>3</v>
      </c>
      <c r="AN334" s="5">
        <v>14</v>
      </c>
      <c r="AO334" s="5">
        <v>2.6</v>
      </c>
      <c r="AP334" s="5">
        <v>20</v>
      </c>
      <c r="AQ334" s="5">
        <v>93</v>
      </c>
      <c r="AR334" s="5">
        <v>278</v>
      </c>
      <c r="AS334" s="5">
        <v>0.34</v>
      </c>
      <c r="AT334" s="5">
        <v>0.23</v>
      </c>
      <c r="AU334" s="5">
        <v>12</v>
      </c>
      <c r="AV334" s="5">
        <f>IFERROR(VLOOKUP(IFERROR(VLOOKUP(D334,Mapa_Similitud!$A$2:$B$2000,2,FALSE()),D334),Hoja1!$A$2:$K$1000,2,FALSE()),IFERROR(VLOOKUP(IFERROR(VLOOKUP(D334,Mapa_Similitud!$A$2:$B$2000,2,FALSE()),D334),Omega3_Referencia!$A$2:$E$100,3,FALSE()),0))</f>
        <v>0.06</v>
      </c>
      <c r="AW334" s="3" t="str">
        <f>IFERROR(VLOOKUP(IFERROR(VLOOKUP(D334,Mapa_Similitud!$A$2:$B$2000,2,FALSE()),D334),Hoja1!$A$2:$K$1000,3,FALSE()),IFERROR(VLOOKUP(IFERROR(VLOOKUP(D334,Mapa_Similitud!$A$2:$B$2000,2,FALSE()),D334),Omega3_Referencia!$A$2:$E$100,4,FALSE()),"N/A"))</f>
        <v>ALA</v>
      </c>
      <c r="AX334" s="5">
        <f>IFERROR(VLOOKUP(IFERROR(VLOOKUP(D334,Mapa_Similitud!$A$2:$B$2000,2,FALSE()),D334),Hoja1!$A$2:$K$1000,5,FALSE()),0)</f>
        <v>0.2</v>
      </c>
      <c r="AY334" s="5">
        <f>IFERROR(VLOOKUP(IFERROR(VLOOKUP(D334,Mapa_Similitud!$A$2:$B$2000,2,FALSE()),D334),Hoja1!$A$2:$K$1000,7,FALSE()),0)</f>
        <v>0</v>
      </c>
      <c r="AZ334" s="5">
        <f>IFERROR(VLOOKUP(IFERROR(VLOOKUP(D334,Mapa_Similitud!$A$2:$B$2000,2,FALSE()),D334),Hoja1!$A$2:$K$1000,9,FALSE()),0)</f>
        <v>0</v>
      </c>
      <c r="BA334" s="25">
        <f t="shared" si="145"/>
        <v>0.10191082802547771</v>
      </c>
      <c r="BB334" s="25">
        <f t="shared" si="146"/>
        <v>0</v>
      </c>
      <c r="BC334" s="25">
        <f t="shared" si="147"/>
        <v>6.1146496815286625E-2</v>
      </c>
      <c r="BD334" s="25">
        <f t="shared" si="148"/>
        <v>1.9108280254777069E-2</v>
      </c>
      <c r="BE334" s="25">
        <f t="shared" si="149"/>
        <v>0.59235668789808915</v>
      </c>
      <c r="BF334" s="25">
        <f t="shared" si="150"/>
        <v>0.30555555555555558</v>
      </c>
      <c r="BG334" s="25">
        <f t="shared" si="151"/>
        <v>4.8730964467005075E-2</v>
      </c>
      <c r="BH334" s="25">
        <f t="shared" si="152"/>
        <v>0.34951456310679613</v>
      </c>
      <c r="BI334" s="25">
        <f t="shared" si="153"/>
        <v>0.3345323741007194</v>
      </c>
      <c r="BJ334" s="25">
        <f t="shared" si="154"/>
        <v>0</v>
      </c>
      <c r="BK334" s="25">
        <f t="shared" si="155"/>
        <v>0</v>
      </c>
      <c r="BL334" s="25">
        <f t="shared" si="156"/>
        <v>0.59044585987261144</v>
      </c>
      <c r="BM334" s="25">
        <f t="shared" si="157"/>
        <v>0.12738853503184713</v>
      </c>
      <c r="BN334" s="18" t="str">
        <f t="shared" si="163"/>
        <v>Media fuente de proteína</v>
      </c>
      <c r="BO334" s="18" t="str">
        <f t="shared" si="164"/>
        <v>Baja fuente de fibra</v>
      </c>
      <c r="BP334" s="18" t="str">
        <f t="shared" si="165"/>
        <v>Baja fuente de calcio</v>
      </c>
      <c r="BQ334" s="18" t="str">
        <f t="shared" si="166"/>
        <v>Alta fuente de hierro</v>
      </c>
      <c r="BR334" s="18" t="str">
        <f t="shared" si="167"/>
        <v>Moderado en sodio</v>
      </c>
      <c r="BS334" s="6" t="str">
        <f t="shared" si="158"/>
        <v>Proinflamatorio</v>
      </c>
      <c r="BT334" s="6" t="str">
        <f t="shared" si="159"/>
        <v>Muy alto en grasas</v>
      </c>
      <c r="BU334" s="18" t="str">
        <f t="shared" si="168"/>
        <v>Equilibrio de líquidos ideal</v>
      </c>
      <c r="BV334" s="18" t="str">
        <f t="shared" si="169"/>
        <v>Baja fuente de magnesio</v>
      </c>
      <c r="BW334" s="18" t="str">
        <f t="shared" si="170"/>
        <v>Sin aporte de Omega 3</v>
      </c>
      <c r="BX334" s="18" t="str">
        <f t="shared" si="171"/>
        <v>Contiene grasas trans</v>
      </c>
      <c r="BY334" s="18" t="str">
        <f t="shared" si="172"/>
        <v>Bajo poder antioxidante</v>
      </c>
      <c r="BZ334" s="6" t="str">
        <f t="shared" si="160"/>
        <v>Sin probióticos</v>
      </c>
      <c r="CA334" s="18" t="str">
        <f t="shared" si="173"/>
        <v>Moderadamente inflamatorio</v>
      </c>
      <c r="CB334" s="18" t="str">
        <f>IF(ISNUMBER(SEARCH("miel", D334)), "No irritante (Uso condicionado SII)", IF(OR(J334&gt;0, ISNUMBER(SEARCH("cacao", D334)), ISNUMBER(SEARCH("chocolate puro", D334))), "Altamente irritante", IF(OR(AND(O334&gt;15, BI334&gt;1), ISNUMBER(SEARCH("chocolate", D334))), "Moderadamente irritante", "No irritante")))</f>
        <v>No irritante</v>
      </c>
      <c r="CC334" s="6" t="str">
        <f t="shared" si="161"/>
        <v>Exceso relativo de Omega 6</v>
      </c>
    </row>
    <row r="335" spans="1:81" ht="15" customHeight="1" x14ac:dyDescent="0.3">
      <c r="A335" s="2">
        <f t="shared" si="162"/>
        <v>334</v>
      </c>
      <c r="B335" s="3" t="s">
        <v>391</v>
      </c>
      <c r="C335" s="3" t="s">
        <v>462</v>
      </c>
      <c r="D335" s="3" t="s">
        <v>473</v>
      </c>
      <c r="E335" s="3"/>
      <c r="F335" s="4">
        <v>2.5</v>
      </c>
      <c r="G335" s="5">
        <v>0.56999999999999995</v>
      </c>
      <c r="H335" s="5">
        <v>193</v>
      </c>
      <c r="I335" s="5">
        <v>70.099999999999994</v>
      </c>
      <c r="J335" s="5">
        <v>0</v>
      </c>
      <c r="K335" s="5">
        <v>15.3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14.6</v>
      </c>
      <c r="R335" s="5">
        <v>5.6</v>
      </c>
      <c r="S335" s="5">
        <v>7.2</v>
      </c>
      <c r="T335" s="5">
        <v>0.9</v>
      </c>
      <c r="U335" s="5">
        <v>180</v>
      </c>
      <c r="V335" s="5">
        <v>0</v>
      </c>
      <c r="W335" s="5">
        <v>0</v>
      </c>
      <c r="X335" s="5">
        <v>0</v>
      </c>
      <c r="Y335" s="5">
        <v>0</v>
      </c>
      <c r="Z335" s="5">
        <v>0.21</v>
      </c>
      <c r="AA335" s="5">
        <v>0</v>
      </c>
      <c r="AB335" s="5">
        <v>0.17</v>
      </c>
      <c r="AC335" s="5">
        <v>0.49</v>
      </c>
      <c r="AD335" s="5">
        <v>7.5</v>
      </c>
      <c r="AE335" s="5">
        <v>0.17</v>
      </c>
      <c r="AF335" s="5">
        <v>4</v>
      </c>
      <c r="AG335" s="5">
        <v>7</v>
      </c>
      <c r="AH335" s="5">
        <v>0.97</v>
      </c>
      <c r="AI335" s="5">
        <v>1</v>
      </c>
      <c r="AJ335" s="5">
        <v>7</v>
      </c>
      <c r="AK335" s="5">
        <v>6</v>
      </c>
      <c r="AL335" s="5">
        <v>170</v>
      </c>
      <c r="AM335" s="5">
        <v>2.2000000000000002</v>
      </c>
      <c r="AN335" s="5">
        <v>14</v>
      </c>
      <c r="AO335" s="5">
        <v>2.7</v>
      </c>
      <c r="AP335" s="5">
        <v>33</v>
      </c>
      <c r="AQ335" s="5">
        <v>420</v>
      </c>
      <c r="AR335" s="5">
        <v>250</v>
      </c>
      <c r="AS335" s="5">
        <v>4.4999999999999998E-2</v>
      </c>
      <c r="AT335" s="5">
        <v>0.64</v>
      </c>
      <c r="AU335" s="5">
        <v>15</v>
      </c>
      <c r="AV335" s="5">
        <f>IFERROR(VLOOKUP(IFERROR(VLOOKUP(D335,Mapa_Similitud!$A$2:$B$2000,2,FALSE()),D335),Hoja1!$A$2:$K$1000,2,FALSE()),IFERROR(VLOOKUP(IFERROR(VLOOKUP(D335,Mapa_Similitud!$A$2:$B$2000,2,FALSE()),D335),Omega3_Referencia!$A$2:$E$100,3,FALSE()),0))</f>
        <v>0.06</v>
      </c>
      <c r="AW335" s="3" t="str">
        <f>IFERROR(VLOOKUP(IFERROR(VLOOKUP(D335,Mapa_Similitud!$A$2:$B$2000,2,FALSE()),D335),Hoja1!$A$2:$K$1000,3,FALSE()),IFERROR(VLOOKUP(IFERROR(VLOOKUP(D335,Mapa_Similitud!$A$2:$B$2000,2,FALSE()),D335),Omega3_Referencia!$A$2:$E$100,4,FALSE()),"N/A"))</f>
        <v>ALA</v>
      </c>
      <c r="AX335" s="5">
        <f>IFERROR(VLOOKUP(IFERROR(VLOOKUP(D335,Mapa_Similitud!$A$2:$B$2000,2,FALSE()),D335),Hoja1!$A$2:$K$1000,5,FALSE()),0)</f>
        <v>0.2</v>
      </c>
      <c r="AY335" s="5">
        <f>IFERROR(VLOOKUP(IFERROR(VLOOKUP(D335,Mapa_Similitud!$A$2:$B$2000,2,FALSE()),D335),Hoja1!$A$2:$K$1000,7,FALSE()),0)</f>
        <v>0</v>
      </c>
      <c r="AZ335" s="5">
        <f>IFERROR(VLOOKUP(IFERROR(VLOOKUP(D335,Mapa_Similitud!$A$2:$B$2000,2,FALSE()),D335),Hoja1!$A$2:$K$1000,9,FALSE()),0)</f>
        <v>0</v>
      </c>
      <c r="BA335" s="25">
        <f t="shared" si="145"/>
        <v>7.9274611398963732E-2</v>
      </c>
      <c r="BB335" s="25">
        <f t="shared" si="146"/>
        <v>0</v>
      </c>
      <c r="BC335" s="25">
        <f t="shared" si="147"/>
        <v>3.1088082901554404E-2</v>
      </c>
      <c r="BD335" s="25">
        <f t="shared" si="148"/>
        <v>1.139896373056995E-2</v>
      </c>
      <c r="BE335" s="25">
        <f t="shared" si="149"/>
        <v>2.1761658031088085</v>
      </c>
      <c r="BF335" s="25">
        <f t="shared" si="150"/>
        <v>0.16071428571428573</v>
      </c>
      <c r="BG335" s="25">
        <f t="shared" si="151"/>
        <v>3.5294117647058823E-2</v>
      </c>
      <c r="BH335" s="25">
        <f t="shared" si="152"/>
        <v>0.38356164383561642</v>
      </c>
      <c r="BI335" s="25">
        <f t="shared" si="153"/>
        <v>1.68</v>
      </c>
      <c r="BJ335" s="25">
        <f t="shared" si="154"/>
        <v>0</v>
      </c>
      <c r="BK335" s="25">
        <f t="shared" si="155"/>
        <v>0</v>
      </c>
      <c r="BL335" s="25">
        <f t="shared" si="156"/>
        <v>0.68082901554404152</v>
      </c>
      <c r="BM335" s="25">
        <f t="shared" si="157"/>
        <v>0.17098445595854922</v>
      </c>
      <c r="BN335" s="18" t="str">
        <f t="shared" si="163"/>
        <v>Baja fuente de proteína</v>
      </c>
      <c r="BO335" s="18" t="str">
        <f t="shared" si="164"/>
        <v>Baja fuente de fibra</v>
      </c>
      <c r="BP335" s="18" t="str">
        <f t="shared" si="165"/>
        <v>Baja fuente de calcio</v>
      </c>
      <c r="BQ335" s="18" t="str">
        <f t="shared" si="166"/>
        <v>Media fuente de hierro</v>
      </c>
      <c r="BR335" s="18" t="str">
        <f t="shared" si="167"/>
        <v>Muy alto en sodio</v>
      </c>
      <c r="BS335" s="6" t="str">
        <f t="shared" si="158"/>
        <v>Proinflamatorio</v>
      </c>
      <c r="BT335" s="6" t="str">
        <f t="shared" si="159"/>
        <v>Muy alto en grasas</v>
      </c>
      <c r="BU335" s="18" t="str">
        <f t="shared" si="168"/>
        <v>Alto riesgo de retención de líquidos</v>
      </c>
      <c r="BV335" s="18" t="str">
        <f t="shared" si="169"/>
        <v>Baja fuente de magnesio</v>
      </c>
      <c r="BW335" s="18" t="str">
        <f t="shared" si="170"/>
        <v>Sin aporte de Omega 3</v>
      </c>
      <c r="BX335" s="18" t="str">
        <f t="shared" si="171"/>
        <v>Contiene grasas trans</v>
      </c>
      <c r="BY335" s="18" t="str">
        <f t="shared" si="172"/>
        <v>Bajo poder antioxidante</v>
      </c>
      <c r="BZ335" s="6" t="str">
        <f t="shared" si="160"/>
        <v>Sin probióticos</v>
      </c>
      <c r="CA335" s="18" t="str">
        <f t="shared" si="173"/>
        <v>Moderadamente inflamatorio</v>
      </c>
      <c r="CB335" s="18" t="str">
        <f>IF(ISNUMBER(SEARCH("miel", D335)), "No irritante (Uso condicionado SII)", IF(OR(J335&gt;0, ISNUMBER(SEARCH("cacao", D335)), ISNUMBER(SEARCH("chocolate puro", D335))), "Altamente irritante", IF(OR(AND(O335&gt;15, BI335&gt;1), ISNUMBER(SEARCH("chocolate", D335))), "Moderadamente irritante", "No irritante")))</f>
        <v>No irritante</v>
      </c>
      <c r="CC335" s="6" t="str">
        <f t="shared" si="161"/>
        <v>Exceso relativo de Omega 6</v>
      </c>
    </row>
    <row r="336" spans="1:81" ht="15" customHeight="1" x14ac:dyDescent="0.3">
      <c r="A336" s="2">
        <f t="shared" si="162"/>
        <v>335</v>
      </c>
      <c r="B336" s="3" t="s">
        <v>391</v>
      </c>
      <c r="C336" s="3" t="s">
        <v>462</v>
      </c>
      <c r="D336" s="3" t="s">
        <v>474</v>
      </c>
      <c r="E336" s="3"/>
      <c r="F336" s="4">
        <v>4</v>
      </c>
      <c r="G336" s="5">
        <v>0.8</v>
      </c>
      <c r="H336" s="5">
        <v>148</v>
      </c>
      <c r="I336" s="5">
        <v>73.7</v>
      </c>
      <c r="J336" s="5">
        <v>0</v>
      </c>
      <c r="K336" s="5">
        <v>17.8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8.5</v>
      </c>
      <c r="R336" s="5">
        <v>3</v>
      </c>
      <c r="S336" s="5">
        <v>3.3</v>
      </c>
      <c r="T336" s="5">
        <v>0.4</v>
      </c>
      <c r="U336" s="5">
        <v>62</v>
      </c>
      <c r="V336" s="5">
        <v>0</v>
      </c>
      <c r="W336" s="5">
        <v>0</v>
      </c>
      <c r="X336" s="5">
        <v>0</v>
      </c>
      <c r="Y336" s="5">
        <v>0</v>
      </c>
      <c r="Z336" s="5">
        <v>0.3</v>
      </c>
      <c r="AA336" s="5">
        <v>0</v>
      </c>
      <c r="AB336" s="5">
        <v>0.15</v>
      </c>
      <c r="AC336" s="5">
        <v>0.33</v>
      </c>
      <c r="AD336" s="5">
        <v>6.1</v>
      </c>
      <c r="AE336" s="5">
        <v>0.15</v>
      </c>
      <c r="AF336" s="5">
        <v>5</v>
      </c>
      <c r="AG336" s="5">
        <v>5</v>
      </c>
      <c r="AH336" s="5">
        <v>1.6</v>
      </c>
      <c r="AI336" s="5">
        <v>0</v>
      </c>
      <c r="AJ336" s="5">
        <v>5</v>
      </c>
      <c r="AK336" s="5">
        <v>8</v>
      </c>
      <c r="AL336" s="5">
        <v>170</v>
      </c>
      <c r="AM336" s="5">
        <v>2.6</v>
      </c>
      <c r="AN336" s="5">
        <v>14</v>
      </c>
      <c r="AO336" s="5">
        <v>2.2999999999999998</v>
      </c>
      <c r="AP336" s="5">
        <v>14</v>
      </c>
      <c r="AQ336" s="5">
        <v>80</v>
      </c>
      <c r="AR336" s="5">
        <v>234</v>
      </c>
      <c r="AS336" s="5">
        <v>3.7999999999999999E-2</v>
      </c>
      <c r="AT336" s="5">
        <v>0.16</v>
      </c>
      <c r="AU336" s="5">
        <v>14.7</v>
      </c>
      <c r="AV336" s="5">
        <f>IFERROR(VLOOKUP(IFERROR(VLOOKUP(D336,Mapa_Similitud!$A$2:$B$2000,2,FALSE()),D336),Hoja1!$A$2:$K$1000,2,FALSE()),IFERROR(VLOOKUP(IFERROR(VLOOKUP(D336,Mapa_Similitud!$A$2:$B$2000,2,FALSE()),D336),Omega3_Referencia!$A$2:$E$100,3,FALSE()),0))</f>
        <v>0.06</v>
      </c>
      <c r="AW336" s="3" t="str">
        <f>IFERROR(VLOOKUP(IFERROR(VLOOKUP(D336,Mapa_Similitud!$A$2:$B$2000,2,FALSE()),D336),Hoja1!$A$2:$K$1000,3,FALSE()),IFERROR(VLOOKUP(IFERROR(VLOOKUP(D336,Mapa_Similitud!$A$2:$B$2000,2,FALSE()),D336),Omega3_Referencia!$A$2:$E$100,4,FALSE()),"N/A"))</f>
        <v>ALA</v>
      </c>
      <c r="AX336" s="5">
        <f>IFERROR(VLOOKUP(IFERROR(VLOOKUP(D336,Mapa_Similitud!$A$2:$B$2000,2,FALSE()),D336),Hoja1!$A$2:$K$1000,5,FALSE()),0)</f>
        <v>0.2</v>
      </c>
      <c r="AY336" s="5">
        <f>IFERROR(VLOOKUP(IFERROR(VLOOKUP(D336,Mapa_Similitud!$A$2:$B$2000,2,FALSE()),D336),Hoja1!$A$2:$K$1000,7,FALSE()),0)</f>
        <v>0</v>
      </c>
      <c r="AZ336" s="5">
        <f>IFERROR(VLOOKUP(IFERROR(VLOOKUP(D336,Mapa_Similitud!$A$2:$B$2000,2,FALSE()),D336),Hoja1!$A$2:$K$1000,9,FALSE()),0)</f>
        <v>0</v>
      </c>
      <c r="BA336" s="25">
        <f t="shared" si="145"/>
        <v>0.12027027027027028</v>
      </c>
      <c r="BB336" s="25">
        <f t="shared" si="146"/>
        <v>0</v>
      </c>
      <c r="BC336" s="25">
        <f t="shared" si="147"/>
        <v>5.4054054054054057E-2</v>
      </c>
      <c r="BD336" s="25">
        <f t="shared" si="148"/>
        <v>1.7567567567567569E-2</v>
      </c>
      <c r="BE336" s="25">
        <f t="shared" si="149"/>
        <v>0.54054054054054057</v>
      </c>
      <c r="BF336" s="25">
        <f t="shared" si="150"/>
        <v>0.13333333333333333</v>
      </c>
      <c r="BG336" s="25">
        <f t="shared" si="151"/>
        <v>4.7058823529411764E-2</v>
      </c>
      <c r="BH336" s="25">
        <f t="shared" si="152"/>
        <v>0.35294117647058826</v>
      </c>
      <c r="BI336" s="25">
        <f t="shared" si="153"/>
        <v>0.34188034188034189</v>
      </c>
      <c r="BJ336" s="25">
        <f t="shared" si="154"/>
        <v>0</v>
      </c>
      <c r="BK336" s="25">
        <f t="shared" si="155"/>
        <v>0</v>
      </c>
      <c r="BL336" s="25">
        <f t="shared" si="156"/>
        <v>0.51689189189189189</v>
      </c>
      <c r="BM336" s="25">
        <f t="shared" si="157"/>
        <v>9.45945945945946E-2</v>
      </c>
      <c r="BN336" s="18" t="str">
        <f t="shared" si="163"/>
        <v>Media fuente de proteína</v>
      </c>
      <c r="BO336" s="18" t="str">
        <f t="shared" si="164"/>
        <v>Baja fuente de fibra</v>
      </c>
      <c r="BP336" s="18" t="str">
        <f t="shared" si="165"/>
        <v>Baja fuente de calcio</v>
      </c>
      <c r="BQ336" s="18" t="str">
        <f t="shared" si="166"/>
        <v>Alta fuente de hierro</v>
      </c>
      <c r="BR336" s="18" t="str">
        <f t="shared" si="167"/>
        <v>Moderado en sodio</v>
      </c>
      <c r="BS336" s="6" t="str">
        <f t="shared" si="158"/>
        <v>Proinflamatorio</v>
      </c>
      <c r="BT336" s="6" t="str">
        <f t="shared" si="159"/>
        <v>Muy alto en grasas</v>
      </c>
      <c r="BU336" s="18" t="str">
        <f t="shared" si="168"/>
        <v>Equilibrio de líquidos ideal</v>
      </c>
      <c r="BV336" s="18" t="str">
        <f t="shared" si="169"/>
        <v>Baja fuente de magnesio</v>
      </c>
      <c r="BW336" s="18" t="str">
        <f t="shared" si="170"/>
        <v>Sin aporte de Omega 3</v>
      </c>
      <c r="BX336" s="18" t="str">
        <f t="shared" si="171"/>
        <v>Contiene grasas trans</v>
      </c>
      <c r="BY336" s="18" t="str">
        <f t="shared" si="172"/>
        <v>Bajo poder antioxidante</v>
      </c>
      <c r="BZ336" s="6" t="str">
        <f t="shared" si="160"/>
        <v>Sin probióticos</v>
      </c>
      <c r="CA336" s="18" t="str">
        <f t="shared" si="173"/>
        <v>Moderadamente inflamatorio</v>
      </c>
      <c r="CB336" s="18" t="str">
        <f>IF(ISNUMBER(SEARCH("miel", D336)), "No irritante (Uso condicionado SII)", IF(OR(J336&gt;0, ISNUMBER(SEARCH("cacao", D336)), ISNUMBER(SEARCH("chocolate puro", D336))), "Altamente irritante", IF(OR(AND(O336&gt;15, BI336&gt;1), ISNUMBER(SEARCH("chocolate", D336))), "Moderadamente irritante", "No irritante")))</f>
        <v>No irritante</v>
      </c>
      <c r="CC336" s="6" t="str">
        <f t="shared" si="161"/>
        <v>Exceso relativo de Omega 6</v>
      </c>
    </row>
    <row r="337" spans="1:81" ht="15" customHeight="1" x14ac:dyDescent="0.3">
      <c r="A337" s="2">
        <f t="shared" si="162"/>
        <v>336</v>
      </c>
      <c r="B337" s="3" t="s">
        <v>391</v>
      </c>
      <c r="C337" s="3" t="s">
        <v>462</v>
      </c>
      <c r="D337" s="3" t="s">
        <v>475</v>
      </c>
      <c r="E337" s="3"/>
      <c r="F337" s="4">
        <v>3</v>
      </c>
      <c r="G337" s="5">
        <v>1</v>
      </c>
      <c r="H337" s="5">
        <v>219</v>
      </c>
      <c r="I337" s="5">
        <v>65.3</v>
      </c>
      <c r="J337" s="5">
        <v>0</v>
      </c>
      <c r="K337" s="5">
        <v>14.9</v>
      </c>
      <c r="L337" s="5">
        <v>3.7</v>
      </c>
      <c r="M337" s="5">
        <v>3.7</v>
      </c>
      <c r="N337" s="5">
        <v>0</v>
      </c>
      <c r="O337" s="5">
        <v>0</v>
      </c>
      <c r="P337" s="5">
        <v>0</v>
      </c>
      <c r="Q337" s="5">
        <v>16.100000000000001</v>
      </c>
      <c r="R337" s="5">
        <v>7</v>
      </c>
      <c r="S337" s="5">
        <v>7.2</v>
      </c>
      <c r="T337" s="5">
        <v>0.9</v>
      </c>
      <c r="U337" s="5">
        <v>87</v>
      </c>
      <c r="V337" s="5">
        <v>0</v>
      </c>
      <c r="W337" s="5">
        <v>0</v>
      </c>
      <c r="X337" s="5">
        <v>0</v>
      </c>
      <c r="Y337" s="5">
        <v>1.7</v>
      </c>
      <c r="Z337" s="5">
        <v>0.1</v>
      </c>
      <c r="AA337" s="5">
        <v>0</v>
      </c>
      <c r="AB337" s="5">
        <v>0.13</v>
      </c>
      <c r="AC337" s="5">
        <v>0.34</v>
      </c>
      <c r="AD337" s="5">
        <v>6.1</v>
      </c>
      <c r="AE337" s="5">
        <v>0.31</v>
      </c>
      <c r="AF337" s="5">
        <v>7</v>
      </c>
      <c r="AG337" s="5">
        <v>3.8</v>
      </c>
      <c r="AH337" s="5">
        <v>0.65</v>
      </c>
      <c r="AI337" s="5">
        <v>0</v>
      </c>
      <c r="AJ337" s="5">
        <v>3.1</v>
      </c>
      <c r="AK337" s="5">
        <v>6</v>
      </c>
      <c r="AL337" s="5">
        <v>133</v>
      </c>
      <c r="AM337" s="5">
        <v>3</v>
      </c>
      <c r="AN337" s="5">
        <v>14</v>
      </c>
      <c r="AO337" s="5">
        <v>2.9</v>
      </c>
      <c r="AP337" s="5">
        <v>16</v>
      </c>
      <c r="AQ337" s="5">
        <v>69</v>
      </c>
      <c r="AR337" s="5">
        <v>315</v>
      </c>
      <c r="AS337" s="5">
        <v>2.5999999999999999E-2</v>
      </c>
      <c r="AT337" s="5">
        <v>0.17</v>
      </c>
      <c r="AU337" s="5">
        <v>9.4</v>
      </c>
      <c r="AV337" s="5">
        <f>IFERROR(VLOOKUP(IFERROR(VLOOKUP(D337,Mapa_Similitud!$A$2:$B$2000,2,FALSE()),D337),Hoja1!$A$2:$K$1000,2,FALSE()),IFERROR(VLOOKUP(IFERROR(VLOOKUP(D337,Mapa_Similitud!$A$2:$B$2000,2,FALSE()),D337),Omega3_Referencia!$A$2:$E$100,3,FALSE()),0))</f>
        <v>0.06</v>
      </c>
      <c r="AW337" s="3" t="str">
        <f>IFERROR(VLOOKUP(IFERROR(VLOOKUP(D337,Mapa_Similitud!$A$2:$B$2000,2,FALSE()),D337),Hoja1!$A$2:$K$1000,3,FALSE()),IFERROR(VLOOKUP(IFERROR(VLOOKUP(D337,Mapa_Similitud!$A$2:$B$2000,2,FALSE()),D337),Omega3_Referencia!$A$2:$E$100,4,FALSE()),"N/A"))</f>
        <v>ALA</v>
      </c>
      <c r="AX337" s="5">
        <f>IFERROR(VLOOKUP(IFERROR(VLOOKUP(D337,Mapa_Similitud!$A$2:$B$2000,2,FALSE()),D337),Hoja1!$A$2:$K$1000,5,FALSE()),0)</f>
        <v>0.2</v>
      </c>
      <c r="AY337" s="5">
        <f>IFERROR(VLOOKUP(IFERROR(VLOOKUP(D337,Mapa_Similitud!$A$2:$B$2000,2,FALSE()),D337),Hoja1!$A$2:$K$1000,7,FALSE()),0)</f>
        <v>0</v>
      </c>
      <c r="AZ337" s="5">
        <f>IFERROR(VLOOKUP(IFERROR(VLOOKUP(D337,Mapa_Similitud!$A$2:$B$2000,2,FALSE()),D337),Hoja1!$A$2:$K$1000,9,FALSE()),0)</f>
        <v>0</v>
      </c>
      <c r="BA337" s="25">
        <f t="shared" si="145"/>
        <v>6.8036529680365304E-2</v>
      </c>
      <c r="BB337" s="25">
        <f t="shared" si="146"/>
        <v>0</v>
      </c>
      <c r="BC337" s="25">
        <f t="shared" si="147"/>
        <v>2.7397260273972601E-2</v>
      </c>
      <c r="BD337" s="25">
        <f t="shared" si="148"/>
        <v>1.3698630136986301E-2</v>
      </c>
      <c r="BE337" s="25">
        <f t="shared" si="149"/>
        <v>0.31506849315068491</v>
      </c>
      <c r="BF337" s="25">
        <f t="shared" si="150"/>
        <v>0.12857142857142859</v>
      </c>
      <c r="BG337" s="25">
        <f t="shared" si="151"/>
        <v>4.5112781954887216E-2</v>
      </c>
      <c r="BH337" s="25">
        <f t="shared" si="152"/>
        <v>0.43478260869565216</v>
      </c>
      <c r="BI337" s="25">
        <f t="shared" si="153"/>
        <v>0.21904761904761905</v>
      </c>
      <c r="BJ337" s="25">
        <f t="shared" si="154"/>
        <v>0</v>
      </c>
      <c r="BK337" s="25">
        <f t="shared" si="155"/>
        <v>0</v>
      </c>
      <c r="BL337" s="25">
        <f t="shared" si="156"/>
        <v>0.66164383561643836</v>
      </c>
      <c r="BM337" s="25">
        <f t="shared" si="157"/>
        <v>7.3059360730593603E-2</v>
      </c>
      <c r="BN337" s="18" t="str">
        <f t="shared" si="163"/>
        <v>Baja fuente de proteína</v>
      </c>
      <c r="BO337" s="18" t="str">
        <f t="shared" si="164"/>
        <v>Baja fuente de fibra</v>
      </c>
      <c r="BP337" s="18" t="str">
        <f t="shared" si="165"/>
        <v>Baja fuente de calcio</v>
      </c>
      <c r="BQ337" s="18" t="str">
        <f t="shared" si="166"/>
        <v>Media fuente de hierro</v>
      </c>
      <c r="BR337" s="18" t="str">
        <f t="shared" si="167"/>
        <v>Bajo en sodio</v>
      </c>
      <c r="BS337" s="6" t="str">
        <f t="shared" si="158"/>
        <v>Proinflamatorio</v>
      </c>
      <c r="BT337" s="6" t="str">
        <f t="shared" si="159"/>
        <v>Muy alto en grasas</v>
      </c>
      <c r="BU337" s="18" t="str">
        <f t="shared" si="168"/>
        <v>Equilibrio de líquidos ideal</v>
      </c>
      <c r="BV337" s="18" t="str">
        <f t="shared" si="169"/>
        <v>Baja fuente de magnesio</v>
      </c>
      <c r="BW337" s="18" t="str">
        <f t="shared" si="170"/>
        <v>Sin aporte de Omega 3</v>
      </c>
      <c r="BX337" s="18" t="str">
        <f t="shared" si="171"/>
        <v>Contiene grasas trans</v>
      </c>
      <c r="BY337" s="18" t="str">
        <f t="shared" si="172"/>
        <v>Bajo poder antioxidante</v>
      </c>
      <c r="BZ337" s="6" t="str">
        <f t="shared" si="160"/>
        <v>Sin probióticos</v>
      </c>
      <c r="CA337" s="18" t="str">
        <f t="shared" si="173"/>
        <v>Moderadamente inflamatorio</v>
      </c>
      <c r="CB337" s="18" t="str">
        <f>IF(ISNUMBER(SEARCH("miel", D337)), "No irritante (Uso condicionado SII)", IF(OR(J337&gt;0, ISNUMBER(SEARCH("cacao", D337)), ISNUMBER(SEARCH("chocolate puro", D337))), "Altamente irritante", IF(OR(AND(O337&gt;15, BI337&gt;1), ISNUMBER(SEARCH("chocolate", D337))), "Moderadamente irritante", "No irritante")))</f>
        <v>No irritante</v>
      </c>
      <c r="CC337" s="6" t="str">
        <f t="shared" si="161"/>
        <v>Exceso relativo de Omega 6</v>
      </c>
    </row>
    <row r="338" spans="1:81" ht="15" customHeight="1" x14ac:dyDescent="0.3">
      <c r="A338" s="2">
        <f t="shared" si="162"/>
        <v>337</v>
      </c>
      <c r="B338" s="3" t="s">
        <v>391</v>
      </c>
      <c r="C338" s="3" t="s">
        <v>462</v>
      </c>
      <c r="D338" s="3" t="s">
        <v>476</v>
      </c>
      <c r="E338" s="3"/>
      <c r="F338" s="4">
        <v>4</v>
      </c>
      <c r="G338" s="5">
        <v>1</v>
      </c>
      <c r="H338" s="5">
        <v>131</v>
      </c>
      <c r="I338" s="5">
        <v>76.900000000000006</v>
      </c>
      <c r="J338" s="5">
        <v>0</v>
      </c>
      <c r="K338" s="5">
        <v>15.3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7.8</v>
      </c>
      <c r="R338" s="5">
        <v>3</v>
      </c>
      <c r="S338" s="5">
        <v>2.4</v>
      </c>
      <c r="T338" s="5">
        <v>0.32</v>
      </c>
      <c r="U338" s="5">
        <v>260</v>
      </c>
      <c r="V338" s="5">
        <v>0</v>
      </c>
      <c r="W338" s="5">
        <v>0</v>
      </c>
      <c r="X338" s="5">
        <v>0</v>
      </c>
      <c r="Y338" s="5">
        <v>0</v>
      </c>
      <c r="Z338" s="5">
        <v>0.44</v>
      </c>
      <c r="AA338" s="5">
        <v>0</v>
      </c>
      <c r="AB338" s="5">
        <v>0.03</v>
      </c>
      <c r="AC338" s="5">
        <v>0.25</v>
      </c>
      <c r="AD338" s="5">
        <v>7</v>
      </c>
      <c r="AE338" s="5">
        <v>0.03</v>
      </c>
      <c r="AF338" s="5">
        <v>13</v>
      </c>
      <c r="AG338" s="5">
        <v>6</v>
      </c>
      <c r="AH338" s="5">
        <v>0</v>
      </c>
      <c r="AI338" s="5">
        <v>3</v>
      </c>
      <c r="AJ338" s="5">
        <v>18</v>
      </c>
      <c r="AK338" s="5">
        <v>8</v>
      </c>
      <c r="AL338" s="5">
        <v>400</v>
      </c>
      <c r="AM338" s="5">
        <v>1.7</v>
      </c>
      <c r="AN338" s="5">
        <v>0</v>
      </c>
      <c r="AO338" s="5">
        <v>1.9</v>
      </c>
      <c r="AP338" s="5">
        <v>21</v>
      </c>
      <c r="AQ338" s="5">
        <v>75</v>
      </c>
      <c r="AR338" s="5">
        <v>420</v>
      </c>
      <c r="AS338" s="5">
        <v>0.04</v>
      </c>
      <c r="AT338" s="5">
        <v>0.2</v>
      </c>
      <c r="AU338" s="5">
        <v>0</v>
      </c>
      <c r="AV338" s="5">
        <f>IFERROR(VLOOKUP(IFERROR(VLOOKUP(D338,Mapa_Similitud!$A$2:$B$2000,2,FALSE()),D338),Hoja1!$A$2:$K$1000,2,FALSE()),IFERROR(VLOOKUP(IFERROR(VLOOKUP(D338,Mapa_Similitud!$A$2:$B$2000,2,FALSE()),D338),Omega3_Referencia!$A$2:$E$100,3,FALSE()),0))</f>
        <v>0.03</v>
      </c>
      <c r="AW338" s="3" t="str">
        <f>IFERROR(VLOOKUP(IFERROR(VLOOKUP(D338,Mapa_Similitud!$A$2:$B$2000,2,FALSE()),D338),Hoja1!$A$2:$K$1000,3,FALSE()),IFERROR(VLOOKUP(IFERROR(VLOOKUP(D338,Mapa_Similitud!$A$2:$B$2000,2,FALSE()),D338),Omega3_Referencia!$A$2:$E$100,4,FALSE()),"N/A"))</f>
        <v>ALA</v>
      </c>
      <c r="AX338" s="5">
        <f>IFERROR(VLOOKUP(IFERROR(VLOOKUP(D338,Mapa_Similitud!$A$2:$B$2000,2,FALSE()),D338),Hoja1!$A$2:$K$1000,5,FALSE()),0)</f>
        <v>0.1</v>
      </c>
      <c r="AY338" s="5">
        <f>IFERROR(VLOOKUP(IFERROR(VLOOKUP(D338,Mapa_Similitud!$A$2:$B$2000,2,FALSE()),D338),Hoja1!$A$2:$K$1000,7,FALSE()),0)</f>
        <v>0</v>
      </c>
      <c r="AZ338" s="5">
        <f>IFERROR(VLOOKUP(IFERROR(VLOOKUP(D338,Mapa_Similitud!$A$2:$B$2000,2,FALSE()),D338),Hoja1!$A$2:$K$1000,9,FALSE()),0)</f>
        <v>0</v>
      </c>
      <c r="BA338" s="25">
        <f t="shared" si="145"/>
        <v>0.116793893129771</v>
      </c>
      <c r="BB338" s="25">
        <f t="shared" si="146"/>
        <v>0</v>
      </c>
      <c r="BC338" s="25">
        <f t="shared" si="147"/>
        <v>6.1068702290076333E-2</v>
      </c>
      <c r="BD338" s="25">
        <f t="shared" si="148"/>
        <v>1.2977099236641221E-2</v>
      </c>
      <c r="BE338" s="25">
        <f t="shared" si="149"/>
        <v>0.5725190839694656</v>
      </c>
      <c r="BF338" s="25">
        <f t="shared" si="150"/>
        <v>0.10666666666666667</v>
      </c>
      <c r="BG338" s="25">
        <f t="shared" si="151"/>
        <v>0.02</v>
      </c>
      <c r="BH338" s="25">
        <f t="shared" si="152"/>
        <v>0.38461538461538464</v>
      </c>
      <c r="BI338" s="25">
        <f t="shared" si="153"/>
        <v>0.17857142857142858</v>
      </c>
      <c r="BJ338" s="25">
        <f t="shared" si="154"/>
        <v>0</v>
      </c>
      <c r="BK338" s="25">
        <f t="shared" si="155"/>
        <v>0</v>
      </c>
      <c r="BL338" s="25">
        <f t="shared" si="156"/>
        <v>0.53587786259541992</v>
      </c>
      <c r="BM338" s="25">
        <f t="shared" si="157"/>
        <v>0.16030534351145037</v>
      </c>
      <c r="BN338" s="18" t="str">
        <f t="shared" si="163"/>
        <v>Media fuente de proteína</v>
      </c>
      <c r="BO338" s="18" t="str">
        <f t="shared" si="164"/>
        <v>Baja fuente de fibra</v>
      </c>
      <c r="BP338" s="18" t="str">
        <f t="shared" si="165"/>
        <v>Baja fuente de calcio</v>
      </c>
      <c r="BQ338" s="18" t="str">
        <f t="shared" si="166"/>
        <v>Media fuente de hierro</v>
      </c>
      <c r="BR338" s="18" t="str">
        <f t="shared" si="167"/>
        <v>Moderado en sodio</v>
      </c>
      <c r="BS338" s="6" t="str">
        <f t="shared" si="158"/>
        <v>Proinflamatorio</v>
      </c>
      <c r="BT338" s="6" t="str">
        <f t="shared" si="159"/>
        <v>Muy alto en grasas</v>
      </c>
      <c r="BU338" s="18" t="str">
        <f t="shared" si="168"/>
        <v>Equilibrio de líquidos ideal</v>
      </c>
      <c r="BV338" s="18" t="str">
        <f t="shared" si="169"/>
        <v>Baja fuente de magnesio</v>
      </c>
      <c r="BW338" s="18" t="str">
        <f t="shared" si="170"/>
        <v>Sin aporte de Omega 3</v>
      </c>
      <c r="BX338" s="18" t="str">
        <f t="shared" si="171"/>
        <v>Contiene grasas trans</v>
      </c>
      <c r="BY338" s="18" t="str">
        <f t="shared" si="172"/>
        <v>Bajo poder antioxidante</v>
      </c>
      <c r="BZ338" s="6" t="str">
        <f t="shared" si="160"/>
        <v>Sin probióticos</v>
      </c>
      <c r="CA338" s="18" t="str">
        <f t="shared" si="173"/>
        <v>Moderadamente inflamatorio</v>
      </c>
      <c r="CB338" s="18" t="str">
        <f>IF(ISNUMBER(SEARCH("miel", D338)), "No irritante (Uso condicionado SII)", IF(OR(J338&gt;0, ISNUMBER(SEARCH("cacao", D338)), ISNUMBER(SEARCH("chocolate puro", D338))), "Altamente irritante", IF(OR(AND(O338&gt;15, BI338&gt;1), ISNUMBER(SEARCH("chocolate", D338))), "Moderadamente irritante", "No irritante")))</f>
        <v>No irritante</v>
      </c>
      <c r="CC338" s="6" t="str">
        <f t="shared" si="161"/>
        <v>Exceso relativo de Omega 6</v>
      </c>
    </row>
    <row r="339" spans="1:81" ht="15" customHeight="1" x14ac:dyDescent="0.3">
      <c r="A339" s="2">
        <f t="shared" si="162"/>
        <v>338</v>
      </c>
      <c r="B339" s="3" t="s">
        <v>391</v>
      </c>
      <c r="C339" s="3" t="s">
        <v>462</v>
      </c>
      <c r="D339" s="3" t="s">
        <v>477</v>
      </c>
      <c r="E339" s="3"/>
      <c r="F339" s="4">
        <v>0.8</v>
      </c>
      <c r="G339" s="5">
        <v>1</v>
      </c>
      <c r="H339" s="5">
        <v>303</v>
      </c>
      <c r="I339" s="5">
        <v>57.7</v>
      </c>
      <c r="J339" s="5">
        <v>0</v>
      </c>
      <c r="K339" s="5">
        <v>11.5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28.6</v>
      </c>
      <c r="R339" s="5">
        <v>12.3</v>
      </c>
      <c r="S339" s="5">
        <v>8.1</v>
      </c>
      <c r="T339" s="5">
        <v>0.65</v>
      </c>
      <c r="U339" s="5">
        <v>217</v>
      </c>
      <c r="V339" s="5">
        <v>19</v>
      </c>
      <c r="W339" s="5">
        <v>19</v>
      </c>
      <c r="X339" s="5">
        <v>0</v>
      </c>
      <c r="Y339" s="5">
        <v>0.63</v>
      </c>
      <c r="Z339" s="5">
        <v>3</v>
      </c>
      <c r="AA339" s="5">
        <v>0.2</v>
      </c>
      <c r="AB339" s="5">
        <v>8.6999999999999994E-2</v>
      </c>
      <c r="AC339" s="5">
        <v>0.12</v>
      </c>
      <c r="AD339" s="5">
        <v>2</v>
      </c>
      <c r="AE339" s="5">
        <v>4.1000000000000002E-2</v>
      </c>
      <c r="AF339" s="5">
        <v>2</v>
      </c>
      <c r="AG339" s="5">
        <v>2.1</v>
      </c>
      <c r="AH339" s="5">
        <v>0</v>
      </c>
      <c r="AI339" s="5">
        <v>0</v>
      </c>
      <c r="AJ339" s="5">
        <v>0</v>
      </c>
      <c r="AK339" s="5">
        <v>4</v>
      </c>
      <c r="AL339" s="5">
        <v>331</v>
      </c>
      <c r="AM339" s="5">
        <v>1.2</v>
      </c>
      <c r="AN339" s="5">
        <v>0</v>
      </c>
      <c r="AO339" s="5">
        <v>1</v>
      </c>
      <c r="AP339" s="5">
        <v>15</v>
      </c>
      <c r="AQ339" s="5">
        <v>64</v>
      </c>
      <c r="AR339" s="5">
        <v>318</v>
      </c>
      <c r="AS339" s="5">
        <v>0</v>
      </c>
      <c r="AT339" s="5">
        <v>0</v>
      </c>
      <c r="AU339" s="5">
        <v>0</v>
      </c>
      <c r="AV339" s="5">
        <f>IFERROR(VLOOKUP(IFERROR(VLOOKUP(D339,Mapa_Similitud!$A$2:$B$2000,2,FALSE()),D339),Hoja1!$A$2:$K$1000,2,FALSE()),IFERROR(VLOOKUP(IFERROR(VLOOKUP(D339,Mapa_Similitud!$A$2:$B$2000,2,FALSE()),D339),Omega3_Referencia!$A$2:$E$100,3,FALSE()),0))</f>
        <v>0.03</v>
      </c>
      <c r="AW339" s="3" t="str">
        <f>IFERROR(VLOOKUP(IFERROR(VLOOKUP(D339,Mapa_Similitud!$A$2:$B$2000,2,FALSE()),D339),Hoja1!$A$2:$K$1000,3,FALSE()),IFERROR(VLOOKUP(IFERROR(VLOOKUP(D339,Mapa_Similitud!$A$2:$B$2000,2,FALSE()),D339),Omega3_Referencia!$A$2:$E$100,4,FALSE()),"N/A"))</f>
        <v>ALA</v>
      </c>
      <c r="AX339" s="5">
        <f>IFERROR(VLOOKUP(IFERROR(VLOOKUP(D339,Mapa_Similitud!$A$2:$B$2000,2,FALSE()),D339),Hoja1!$A$2:$K$1000,5,FALSE()),0)</f>
        <v>0.1</v>
      </c>
      <c r="AY339" s="5">
        <f>IFERROR(VLOOKUP(IFERROR(VLOOKUP(D339,Mapa_Similitud!$A$2:$B$2000,2,FALSE()),D339),Hoja1!$A$2:$K$1000,7,FALSE()),0)</f>
        <v>0</v>
      </c>
      <c r="AZ339" s="5">
        <f>IFERROR(VLOOKUP(IFERROR(VLOOKUP(D339,Mapa_Similitud!$A$2:$B$2000,2,FALSE()),D339),Hoja1!$A$2:$K$1000,9,FALSE()),0)</f>
        <v>0</v>
      </c>
      <c r="BA339" s="25">
        <f t="shared" si="145"/>
        <v>3.7953795379537955E-2</v>
      </c>
      <c r="BB339" s="25">
        <f t="shared" si="146"/>
        <v>0</v>
      </c>
      <c r="BC339" s="25">
        <f t="shared" si="147"/>
        <v>1.3201320132013201E-2</v>
      </c>
      <c r="BD339" s="25">
        <f t="shared" si="148"/>
        <v>3.9603960396039604E-3</v>
      </c>
      <c r="BE339" s="25">
        <f t="shared" si="149"/>
        <v>0.21122112211221122</v>
      </c>
      <c r="BF339" s="25">
        <f t="shared" si="150"/>
        <v>5.2845528455284549E-2</v>
      </c>
      <c r="BG339" s="25">
        <f t="shared" si="151"/>
        <v>1.2084592145015106E-2</v>
      </c>
      <c r="BH339" s="25">
        <f t="shared" si="152"/>
        <v>0.43006993006993005</v>
      </c>
      <c r="BI339" s="25">
        <f t="shared" si="153"/>
        <v>0.20125786163522014</v>
      </c>
      <c r="BJ339" s="25">
        <f t="shared" si="154"/>
        <v>0</v>
      </c>
      <c r="BK339" s="25">
        <f t="shared" si="155"/>
        <v>0</v>
      </c>
      <c r="BL339" s="25">
        <f t="shared" si="156"/>
        <v>0.84950495049504959</v>
      </c>
      <c r="BM339" s="25">
        <f t="shared" si="157"/>
        <v>4.9504950495049507E-2</v>
      </c>
      <c r="BN339" s="18" t="str">
        <f t="shared" si="163"/>
        <v>Baja fuente de proteína</v>
      </c>
      <c r="BO339" s="18" t="str">
        <f t="shared" si="164"/>
        <v>Baja fuente de fibra</v>
      </c>
      <c r="BP339" s="18" t="str">
        <f t="shared" si="165"/>
        <v>Baja fuente de calcio</v>
      </c>
      <c r="BQ339" s="18" t="str">
        <f t="shared" si="166"/>
        <v>Baja fuente de hierro</v>
      </c>
      <c r="BR339" s="18" t="str">
        <f t="shared" si="167"/>
        <v>Bajo en sodio</v>
      </c>
      <c r="BS339" s="6" t="str">
        <f t="shared" si="158"/>
        <v>Proinflamatorio</v>
      </c>
      <c r="BT339" s="6" t="str">
        <f t="shared" si="159"/>
        <v>Muy alto en grasas</v>
      </c>
      <c r="BU339" s="18" t="str">
        <f t="shared" si="168"/>
        <v>Equilibrio de líquidos ideal</v>
      </c>
      <c r="BV339" s="18" t="str">
        <f t="shared" si="169"/>
        <v>Baja fuente de magnesio</v>
      </c>
      <c r="BW339" s="18" t="str">
        <f t="shared" si="170"/>
        <v>Sin aporte de Omega 3</v>
      </c>
      <c r="BX339" s="18" t="str">
        <f t="shared" si="171"/>
        <v>Contiene grasas trans</v>
      </c>
      <c r="BY339" s="18" t="str">
        <f t="shared" si="172"/>
        <v>Bajo poder antioxidante</v>
      </c>
      <c r="BZ339" s="6" t="str">
        <f t="shared" si="160"/>
        <v>Sin probióticos</v>
      </c>
      <c r="CA339" s="18" t="str">
        <f t="shared" si="173"/>
        <v>Moderadamente inflamatorio</v>
      </c>
      <c r="CB339" s="18" t="str">
        <f>IF(ISNUMBER(SEARCH("miel", D339)), "No irritante (Uso condicionado SII)", IF(OR(J339&gt;0, ISNUMBER(SEARCH("cacao", D339)), ISNUMBER(SEARCH("chocolate puro", D339))), "Altamente irritante", IF(OR(AND(O339&gt;15, BI339&gt;1), ISNUMBER(SEARCH("chocolate", D339))), "Moderadamente irritante", "No irritante")))</f>
        <v>No irritante</v>
      </c>
      <c r="CC339" s="6" t="str">
        <f t="shared" si="161"/>
        <v>Exceso relativo de Omega 6</v>
      </c>
    </row>
    <row r="340" spans="1:81" ht="15" customHeight="1" x14ac:dyDescent="0.3">
      <c r="A340" s="2">
        <f t="shared" si="162"/>
        <v>339</v>
      </c>
      <c r="B340" s="3" t="s">
        <v>391</v>
      </c>
      <c r="C340" s="3" t="s">
        <v>462</v>
      </c>
      <c r="D340" s="3" t="s">
        <v>478</v>
      </c>
      <c r="E340" s="3"/>
      <c r="F340" s="4">
        <v>1.5</v>
      </c>
      <c r="G340" s="5">
        <v>0.87</v>
      </c>
      <c r="H340" s="5">
        <v>80.7</v>
      </c>
      <c r="I340" s="5">
        <v>83.2</v>
      </c>
      <c r="J340" s="5">
        <v>0</v>
      </c>
      <c r="K340" s="5">
        <v>14.1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2.7</v>
      </c>
      <c r="R340" s="5">
        <v>0.96</v>
      </c>
      <c r="S340" s="5">
        <v>0.61</v>
      </c>
      <c r="T340" s="5">
        <v>0.35</v>
      </c>
      <c r="U340" s="5">
        <v>320</v>
      </c>
      <c r="V340" s="5">
        <v>0</v>
      </c>
      <c r="W340" s="5">
        <v>0</v>
      </c>
      <c r="X340" s="5">
        <v>0</v>
      </c>
      <c r="Y340" s="5">
        <v>3</v>
      </c>
      <c r="Z340" s="5">
        <v>0</v>
      </c>
      <c r="AA340" s="5">
        <v>0</v>
      </c>
      <c r="AB340" s="5">
        <v>8.5000000000000006E-2</v>
      </c>
      <c r="AC340" s="5">
        <v>0.43</v>
      </c>
      <c r="AD340" s="5">
        <v>5.4</v>
      </c>
      <c r="AE340" s="5">
        <v>0.1</v>
      </c>
      <c r="AF340" s="5">
        <v>3</v>
      </c>
      <c r="AG340" s="5">
        <v>2.8</v>
      </c>
      <c r="AH340" s="5">
        <v>0.9</v>
      </c>
      <c r="AI340" s="5">
        <v>0</v>
      </c>
      <c r="AJ340" s="5">
        <v>12.3</v>
      </c>
      <c r="AK340" s="5">
        <v>7</v>
      </c>
      <c r="AL340" s="5">
        <v>196</v>
      </c>
      <c r="AM340" s="5">
        <v>18.899999999999999</v>
      </c>
      <c r="AN340" s="5">
        <v>0</v>
      </c>
      <c r="AO340" s="5">
        <v>2</v>
      </c>
      <c r="AP340" s="5">
        <v>14</v>
      </c>
      <c r="AQ340" s="5">
        <v>153</v>
      </c>
      <c r="AR340" s="5">
        <v>303</v>
      </c>
      <c r="AS340" s="5">
        <v>1.7000000000000001E-2</v>
      </c>
      <c r="AT340" s="5">
        <v>8.3000000000000004E-2</v>
      </c>
      <c r="AU340" s="5">
        <v>17.8</v>
      </c>
      <c r="AV340" s="5">
        <f>IFERROR(VLOOKUP(IFERROR(VLOOKUP(D340,Mapa_Similitud!$A$2:$B$2000,2,FALSE()),D340),Hoja1!$A$2:$K$1000,2,FALSE()),IFERROR(VLOOKUP(IFERROR(VLOOKUP(D340,Mapa_Similitud!$A$2:$B$2000,2,FALSE()),D340),Omega3_Referencia!$A$2:$E$100,3,FALSE()),0))</f>
        <v>0.02</v>
      </c>
      <c r="AW340" s="3" t="str">
        <f>IFERROR(VLOOKUP(IFERROR(VLOOKUP(D340,Mapa_Similitud!$A$2:$B$2000,2,FALSE()),D340),Hoja1!$A$2:$K$1000,3,FALSE()),IFERROR(VLOOKUP(IFERROR(VLOOKUP(D340,Mapa_Similitud!$A$2:$B$2000,2,FALSE()),D340),Omega3_Referencia!$A$2:$E$100,4,FALSE()),"N/A"))</f>
        <v>ALA</v>
      </c>
      <c r="AX340" s="5">
        <f>IFERROR(VLOOKUP(IFERROR(VLOOKUP(D340,Mapa_Similitud!$A$2:$B$2000,2,FALSE()),D340),Hoja1!$A$2:$K$1000,5,FALSE()),0)</f>
        <v>0.1</v>
      </c>
      <c r="AY340" s="5">
        <f>IFERROR(VLOOKUP(IFERROR(VLOOKUP(D340,Mapa_Similitud!$A$2:$B$2000,2,FALSE()),D340),Hoja1!$A$2:$K$1000,7,FALSE()),0)</f>
        <v>0</v>
      </c>
      <c r="AZ340" s="5">
        <f>IFERROR(VLOOKUP(IFERROR(VLOOKUP(D340,Mapa_Similitud!$A$2:$B$2000,2,FALSE()),D340),Hoja1!$A$2:$K$1000,9,FALSE()),0)</f>
        <v>0</v>
      </c>
      <c r="BA340" s="25">
        <f t="shared" si="145"/>
        <v>0.17472118959107805</v>
      </c>
      <c r="BB340" s="25">
        <f t="shared" si="146"/>
        <v>0</v>
      </c>
      <c r="BC340" s="25">
        <f t="shared" si="147"/>
        <v>8.6741016109045846E-2</v>
      </c>
      <c r="BD340" s="25">
        <f t="shared" si="148"/>
        <v>0.23420074349442377</v>
      </c>
      <c r="BE340" s="25">
        <f t="shared" si="149"/>
        <v>1.8959107806691449</v>
      </c>
      <c r="BF340" s="25">
        <f t="shared" si="150"/>
        <v>0.36458333333333331</v>
      </c>
      <c r="BG340" s="25">
        <f t="shared" si="151"/>
        <v>3.5714285714285712E-2</v>
      </c>
      <c r="BH340" s="25">
        <f t="shared" si="152"/>
        <v>0.35555555555555551</v>
      </c>
      <c r="BI340" s="25">
        <f t="shared" si="153"/>
        <v>0.50495049504950495</v>
      </c>
      <c r="BJ340" s="25">
        <f t="shared" si="154"/>
        <v>0</v>
      </c>
      <c r="BK340" s="25">
        <f t="shared" si="155"/>
        <v>0</v>
      </c>
      <c r="BL340" s="25">
        <f t="shared" si="156"/>
        <v>0.30111524163568776</v>
      </c>
      <c r="BM340" s="25">
        <f t="shared" si="157"/>
        <v>0.17348203221809169</v>
      </c>
      <c r="BN340" s="18" t="str">
        <f t="shared" si="163"/>
        <v>Alta fuente de proteína</v>
      </c>
      <c r="BO340" s="18" t="str">
        <f t="shared" si="164"/>
        <v>Baja fuente de fibra</v>
      </c>
      <c r="BP340" s="18" t="str">
        <f t="shared" si="165"/>
        <v>Baja fuente de calcio</v>
      </c>
      <c r="BQ340" s="18" t="str">
        <f t="shared" si="166"/>
        <v>Alta fuente de hierro</v>
      </c>
      <c r="BR340" s="18" t="str">
        <f t="shared" si="167"/>
        <v>Alto en sodio</v>
      </c>
      <c r="BS340" s="6" t="str">
        <f t="shared" si="158"/>
        <v>Proinflamatorio</v>
      </c>
      <c r="BT340" s="6" t="str">
        <f t="shared" si="159"/>
        <v>Alto en grasas</v>
      </c>
      <c r="BU340" s="18" t="str">
        <f t="shared" si="168"/>
        <v>Riesgo moderado de retención</v>
      </c>
      <c r="BV340" s="18" t="str">
        <f t="shared" si="169"/>
        <v>Baja fuente de magnesio</v>
      </c>
      <c r="BW340" s="18" t="str">
        <f t="shared" si="170"/>
        <v>Sin aporte de Omega 3</v>
      </c>
      <c r="BX340" s="18" t="str">
        <f t="shared" si="171"/>
        <v>Contiene grasas trans</v>
      </c>
      <c r="BY340" s="18" t="str">
        <f t="shared" si="172"/>
        <v>Bajo poder antioxidante</v>
      </c>
      <c r="BZ340" s="6" t="str">
        <f t="shared" si="160"/>
        <v>Sin probióticos</v>
      </c>
      <c r="CA340" s="18" t="str">
        <f t="shared" si="173"/>
        <v>Moderadamente inflamatorio</v>
      </c>
      <c r="CB340" s="18" t="str">
        <f>IF(ISNUMBER(SEARCH("miel", D340)), "No irritante (Uso condicionado SII)", IF(OR(J340&gt;0, ISNUMBER(SEARCH("cacao", D340)), ISNUMBER(SEARCH("chocolate puro", D340))), "Altamente irritante", IF(OR(AND(O340&gt;15, BI340&gt;1), ISNUMBER(SEARCH("chocolate", D340))), "Moderadamente irritante", "No irritante")))</f>
        <v>No irritante</v>
      </c>
      <c r="CC340" s="6" t="str">
        <f t="shared" si="161"/>
        <v>Exceso relativo de Omega 6</v>
      </c>
    </row>
    <row r="341" spans="1:81" ht="15" customHeight="1" x14ac:dyDescent="0.3">
      <c r="A341" s="2">
        <f t="shared" si="162"/>
        <v>340</v>
      </c>
      <c r="B341" s="3" t="s">
        <v>391</v>
      </c>
      <c r="C341" s="3" t="s">
        <v>462</v>
      </c>
      <c r="D341" s="3" t="s">
        <v>479</v>
      </c>
      <c r="E341" s="3"/>
      <c r="F341" s="4">
        <v>0.5</v>
      </c>
      <c r="G341" s="5">
        <v>0.76</v>
      </c>
      <c r="H341" s="5">
        <v>90.2</v>
      </c>
      <c r="I341" s="5">
        <v>80.7</v>
      </c>
      <c r="J341" s="5">
        <v>0</v>
      </c>
      <c r="K341" s="5">
        <v>16.7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2.6</v>
      </c>
      <c r="R341" s="5">
        <v>0.89</v>
      </c>
      <c r="S341" s="5">
        <v>0.67</v>
      </c>
      <c r="T341" s="5">
        <v>0.35</v>
      </c>
      <c r="U341" s="5">
        <v>0</v>
      </c>
      <c r="V341" s="5">
        <v>27</v>
      </c>
      <c r="W341" s="5">
        <v>27</v>
      </c>
      <c r="X341" s="5">
        <v>0</v>
      </c>
      <c r="Y341" s="5">
        <v>12</v>
      </c>
      <c r="Z341" s="5">
        <v>0</v>
      </c>
      <c r="AA341" s="5">
        <v>0</v>
      </c>
      <c r="AB341" s="5">
        <v>4.8000000000000001E-2</v>
      </c>
      <c r="AC341" s="5">
        <v>0.24</v>
      </c>
      <c r="AD341" s="5">
        <v>7</v>
      </c>
      <c r="AE341" s="5">
        <v>0.11</v>
      </c>
      <c r="AF341" s="5">
        <v>12</v>
      </c>
      <c r="AG341" s="5">
        <v>3.9</v>
      </c>
      <c r="AH341" s="5">
        <v>0</v>
      </c>
      <c r="AI341" s="5">
        <v>0</v>
      </c>
      <c r="AJ341" s="5">
        <v>31</v>
      </c>
      <c r="AK341" s="5">
        <v>10</v>
      </c>
      <c r="AL341" s="5">
        <v>219</v>
      </c>
      <c r="AM341" s="5">
        <v>6.4</v>
      </c>
      <c r="AN341" s="5">
        <v>0</v>
      </c>
      <c r="AO341" s="5">
        <v>1.8</v>
      </c>
      <c r="AP341" s="5">
        <v>14</v>
      </c>
      <c r="AQ341" s="5">
        <v>157</v>
      </c>
      <c r="AR341" s="5">
        <v>238</v>
      </c>
      <c r="AS341" s="5">
        <v>1.9E-2</v>
      </c>
      <c r="AT341" s="5">
        <v>0.25</v>
      </c>
      <c r="AU341" s="5">
        <v>17.7</v>
      </c>
      <c r="AV341" s="5">
        <f>IFERROR(VLOOKUP(IFERROR(VLOOKUP(D341,Mapa_Similitud!$A$2:$B$2000,2,FALSE()),D341),Hoja1!$A$2:$K$1000,2,FALSE()),IFERROR(VLOOKUP(IFERROR(VLOOKUP(D341,Mapa_Similitud!$A$2:$B$2000,2,FALSE()),D341),Omega3_Referencia!$A$2:$E$100,3,FALSE()),0))</f>
        <v>0.02</v>
      </c>
      <c r="AW341" s="3" t="str">
        <f>IFERROR(VLOOKUP(IFERROR(VLOOKUP(D341,Mapa_Similitud!$A$2:$B$2000,2,FALSE()),D341),Hoja1!$A$2:$K$1000,3,FALSE()),IFERROR(VLOOKUP(IFERROR(VLOOKUP(D341,Mapa_Similitud!$A$2:$B$2000,2,FALSE()),D341),Omega3_Referencia!$A$2:$E$100,4,FALSE()),"N/A"))</f>
        <v>ALA</v>
      </c>
      <c r="AX341" s="5">
        <f>IFERROR(VLOOKUP(IFERROR(VLOOKUP(D341,Mapa_Similitud!$A$2:$B$2000,2,FALSE()),D341),Hoja1!$A$2:$K$1000,5,FALSE()),0)</f>
        <v>0.1</v>
      </c>
      <c r="AY341" s="5">
        <f>IFERROR(VLOOKUP(IFERROR(VLOOKUP(D341,Mapa_Similitud!$A$2:$B$2000,2,FALSE()),D341),Hoja1!$A$2:$K$1000,7,FALSE()),0)</f>
        <v>0</v>
      </c>
      <c r="AZ341" s="5">
        <f>IFERROR(VLOOKUP(IFERROR(VLOOKUP(D341,Mapa_Similitud!$A$2:$B$2000,2,FALSE()),D341),Hoja1!$A$2:$K$1000,9,FALSE()),0)</f>
        <v>0</v>
      </c>
      <c r="BA341" s="25">
        <f t="shared" si="145"/>
        <v>0.18514412416851439</v>
      </c>
      <c r="BB341" s="25">
        <f t="shared" si="146"/>
        <v>0</v>
      </c>
      <c r="BC341" s="25">
        <f t="shared" si="147"/>
        <v>0.11086474501108647</v>
      </c>
      <c r="BD341" s="25">
        <f t="shared" si="148"/>
        <v>7.0953436807095344E-2</v>
      </c>
      <c r="BE341" s="25">
        <f t="shared" si="149"/>
        <v>1.7405764966740576</v>
      </c>
      <c r="BF341" s="25">
        <f t="shared" si="150"/>
        <v>0.3932584269662921</v>
      </c>
      <c r="BG341" s="25">
        <f t="shared" si="151"/>
        <v>4.5662100456621002E-2</v>
      </c>
      <c r="BH341" s="25">
        <f t="shared" si="152"/>
        <v>0.34230769230769231</v>
      </c>
      <c r="BI341" s="25">
        <f t="shared" si="153"/>
        <v>0.65966386554621848</v>
      </c>
      <c r="BJ341" s="25">
        <f t="shared" si="154"/>
        <v>0</v>
      </c>
      <c r="BK341" s="25">
        <f t="shared" si="155"/>
        <v>0</v>
      </c>
      <c r="BL341" s="25">
        <f t="shared" si="156"/>
        <v>0.25942350332594238</v>
      </c>
      <c r="BM341" s="25">
        <f t="shared" si="157"/>
        <v>0.15521064301552107</v>
      </c>
      <c r="BN341" s="18" t="str">
        <f t="shared" si="163"/>
        <v>Alta fuente de proteína</v>
      </c>
      <c r="BO341" s="18" t="str">
        <f t="shared" si="164"/>
        <v>Baja fuente de fibra</v>
      </c>
      <c r="BP341" s="18" t="str">
        <f t="shared" si="165"/>
        <v>Baja fuente de calcio</v>
      </c>
      <c r="BQ341" s="18" t="str">
        <f t="shared" si="166"/>
        <v>Alta fuente de hierro</v>
      </c>
      <c r="BR341" s="18" t="str">
        <f t="shared" si="167"/>
        <v>Alto en sodio</v>
      </c>
      <c r="BS341" s="6" t="str">
        <f t="shared" si="158"/>
        <v>Proinflamatorio</v>
      </c>
      <c r="BT341" s="6" t="str">
        <f t="shared" si="159"/>
        <v>Moderado en grasas</v>
      </c>
      <c r="BU341" s="18" t="str">
        <f t="shared" si="168"/>
        <v>Riesgo moderado de retención</v>
      </c>
      <c r="BV341" s="18" t="str">
        <f t="shared" si="169"/>
        <v>Baja fuente de magnesio</v>
      </c>
      <c r="BW341" s="18" t="str">
        <f t="shared" si="170"/>
        <v>Sin aporte de Omega 3</v>
      </c>
      <c r="BX341" s="18" t="str">
        <f t="shared" si="171"/>
        <v>Contiene grasas trans</v>
      </c>
      <c r="BY341" s="18" t="str">
        <f t="shared" si="172"/>
        <v>Bajo poder antioxidante</v>
      </c>
      <c r="BZ341" s="6" t="str">
        <f t="shared" si="160"/>
        <v>Sin probióticos</v>
      </c>
      <c r="CA341" s="18" t="str">
        <f t="shared" si="173"/>
        <v>Moderadamente inflamatorio</v>
      </c>
      <c r="CB341" s="18" t="str">
        <f>IF(ISNUMBER(SEARCH("miel", D341)), "No irritante (Uso condicionado SII)", IF(OR(J341&gt;0, ISNUMBER(SEARCH("cacao", D341)), ISNUMBER(SEARCH("chocolate puro", D341))), "Altamente irritante", IF(OR(AND(O341&gt;15, BI341&gt;1), ISNUMBER(SEARCH("chocolate", D341))), "Moderadamente irritante", "No irritante")))</f>
        <v>No irritante</v>
      </c>
      <c r="CC341" s="6" t="str">
        <f t="shared" si="161"/>
        <v>Exceso relativo de Omega 6</v>
      </c>
    </row>
    <row r="342" spans="1:81" ht="15" customHeight="1" x14ac:dyDescent="0.3">
      <c r="A342" s="2">
        <f t="shared" si="162"/>
        <v>341</v>
      </c>
      <c r="B342" s="3" t="s">
        <v>391</v>
      </c>
      <c r="C342" s="3" t="s">
        <v>462</v>
      </c>
      <c r="D342" s="3" t="s">
        <v>480</v>
      </c>
      <c r="E342" s="3"/>
      <c r="F342" s="4">
        <v>2</v>
      </c>
      <c r="G342" s="5">
        <v>0.76</v>
      </c>
      <c r="H342" s="5">
        <v>87.3</v>
      </c>
      <c r="I342" s="5">
        <v>81.3</v>
      </c>
      <c r="J342" s="5">
        <v>0</v>
      </c>
      <c r="K342" s="5">
        <v>16.2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2.5</v>
      </c>
      <c r="R342" s="5">
        <v>0.86</v>
      </c>
      <c r="S342" s="5">
        <v>0.64</v>
      </c>
      <c r="T342" s="5">
        <v>0.34</v>
      </c>
      <c r="U342" s="5">
        <v>242</v>
      </c>
      <c r="V342" s="5">
        <v>14</v>
      </c>
      <c r="W342" s="5">
        <v>14</v>
      </c>
      <c r="X342" s="5">
        <v>0</v>
      </c>
      <c r="Y342" s="5">
        <v>11</v>
      </c>
      <c r="Z342" s="5">
        <v>0</v>
      </c>
      <c r="AA342" s="5">
        <v>0</v>
      </c>
      <c r="AB342" s="5">
        <v>4.7E-2</v>
      </c>
      <c r="AC342" s="5">
        <v>0.23</v>
      </c>
      <c r="AD342" s="5">
        <v>6.5</v>
      </c>
      <c r="AE342" s="5">
        <v>0.04</v>
      </c>
      <c r="AF342" s="5">
        <v>11</v>
      </c>
      <c r="AG342" s="5">
        <v>3.8</v>
      </c>
      <c r="AH342" s="5">
        <v>1</v>
      </c>
      <c r="AI342" s="5">
        <v>0</v>
      </c>
      <c r="AJ342" s="5">
        <v>38.5</v>
      </c>
      <c r="AK342" s="5">
        <v>10</v>
      </c>
      <c r="AL342" s="5">
        <v>224</v>
      </c>
      <c r="AM342" s="5">
        <v>8</v>
      </c>
      <c r="AN342" s="5">
        <v>0</v>
      </c>
      <c r="AO342" s="5">
        <v>1.6</v>
      </c>
      <c r="AP342" s="5">
        <v>14</v>
      </c>
      <c r="AQ342" s="5">
        <v>198</v>
      </c>
      <c r="AR342" s="5">
        <v>340</v>
      </c>
      <c r="AS342" s="5">
        <v>1.9E-2</v>
      </c>
      <c r="AT342" s="5">
        <v>0.26</v>
      </c>
      <c r="AU342" s="5">
        <v>44.3</v>
      </c>
      <c r="AV342" s="5">
        <f>IFERROR(VLOOKUP(IFERROR(VLOOKUP(D342,Mapa_Similitud!$A$2:$B$2000,2,FALSE()),D342),Hoja1!$A$2:$K$1000,2,FALSE()),IFERROR(VLOOKUP(IFERROR(VLOOKUP(D342,Mapa_Similitud!$A$2:$B$2000,2,FALSE()),D342),Omega3_Referencia!$A$2:$E$100,3,FALSE()),0))</f>
        <v>0.02</v>
      </c>
      <c r="AW342" s="3" t="str">
        <f>IFERROR(VLOOKUP(IFERROR(VLOOKUP(D342,Mapa_Similitud!$A$2:$B$2000,2,FALSE()),D342),Hoja1!$A$2:$K$1000,3,FALSE()),IFERROR(VLOOKUP(IFERROR(VLOOKUP(D342,Mapa_Similitud!$A$2:$B$2000,2,FALSE()),D342),Omega3_Referencia!$A$2:$E$100,4,FALSE()),"N/A"))</f>
        <v>ALA</v>
      </c>
      <c r="AX342" s="5">
        <f>IFERROR(VLOOKUP(IFERROR(VLOOKUP(D342,Mapa_Similitud!$A$2:$B$2000,2,FALSE()),D342),Hoja1!$A$2:$K$1000,5,FALSE()),0)</f>
        <v>0.1</v>
      </c>
      <c r="AY342" s="5">
        <f>IFERROR(VLOOKUP(IFERROR(VLOOKUP(D342,Mapa_Similitud!$A$2:$B$2000,2,FALSE()),D342),Hoja1!$A$2:$K$1000,7,FALSE()),0)</f>
        <v>0</v>
      </c>
      <c r="AZ342" s="5">
        <f>IFERROR(VLOOKUP(IFERROR(VLOOKUP(D342,Mapa_Similitud!$A$2:$B$2000,2,FALSE()),D342),Hoja1!$A$2:$K$1000,9,FALSE()),0)</f>
        <v>0</v>
      </c>
      <c r="BA342" s="25">
        <f t="shared" si="145"/>
        <v>0.18556701030927836</v>
      </c>
      <c r="BB342" s="25">
        <f t="shared" si="146"/>
        <v>0</v>
      </c>
      <c r="BC342" s="25">
        <f t="shared" si="147"/>
        <v>0.11454753722794961</v>
      </c>
      <c r="BD342" s="25">
        <f t="shared" si="148"/>
        <v>9.1638029782359687E-2</v>
      </c>
      <c r="BE342" s="25">
        <f t="shared" si="149"/>
        <v>2.268041237113402</v>
      </c>
      <c r="BF342" s="25">
        <f t="shared" si="150"/>
        <v>0.39534883720930236</v>
      </c>
      <c r="BG342" s="25">
        <f t="shared" si="151"/>
        <v>4.4642857142857144E-2</v>
      </c>
      <c r="BH342" s="25">
        <f t="shared" si="152"/>
        <v>0.34399999999999997</v>
      </c>
      <c r="BI342" s="25">
        <f t="shared" si="153"/>
        <v>0.58235294117647063</v>
      </c>
      <c r="BJ342" s="25">
        <f t="shared" si="154"/>
        <v>0</v>
      </c>
      <c r="BK342" s="25">
        <f t="shared" si="155"/>
        <v>0</v>
      </c>
      <c r="BL342" s="25">
        <f t="shared" si="156"/>
        <v>0.25773195876288663</v>
      </c>
      <c r="BM342" s="25">
        <f t="shared" si="157"/>
        <v>0.16036655211912945</v>
      </c>
      <c r="BN342" s="18" t="str">
        <f t="shared" si="163"/>
        <v>Alta fuente de proteína</v>
      </c>
      <c r="BO342" s="18" t="str">
        <f t="shared" si="164"/>
        <v>Baja fuente de fibra</v>
      </c>
      <c r="BP342" s="18" t="str">
        <f t="shared" si="165"/>
        <v>Baja fuente de calcio</v>
      </c>
      <c r="BQ342" s="18" t="str">
        <f t="shared" si="166"/>
        <v>Alta fuente de hierro</v>
      </c>
      <c r="BR342" s="18" t="str">
        <f t="shared" si="167"/>
        <v>Muy alto en sodio</v>
      </c>
      <c r="BS342" s="6" t="str">
        <f t="shared" si="158"/>
        <v>Proinflamatorio</v>
      </c>
      <c r="BT342" s="6" t="str">
        <f t="shared" si="159"/>
        <v>Moderado en grasas</v>
      </c>
      <c r="BU342" s="18" t="str">
        <f t="shared" si="168"/>
        <v>Riesgo moderado de retención</v>
      </c>
      <c r="BV342" s="18" t="str">
        <f t="shared" si="169"/>
        <v>Baja fuente de magnesio</v>
      </c>
      <c r="BW342" s="18" t="str">
        <f t="shared" si="170"/>
        <v>Sin aporte de Omega 3</v>
      </c>
      <c r="BX342" s="18" t="str">
        <f t="shared" si="171"/>
        <v>Contiene grasas trans</v>
      </c>
      <c r="BY342" s="18" t="str">
        <f t="shared" si="172"/>
        <v>Bajo poder antioxidante</v>
      </c>
      <c r="BZ342" s="6" t="str">
        <f t="shared" si="160"/>
        <v>Sin probióticos</v>
      </c>
      <c r="CA342" s="18" t="str">
        <f t="shared" si="173"/>
        <v>Moderadamente inflamatorio</v>
      </c>
      <c r="CB342" s="18" t="str">
        <f>IF(ISNUMBER(SEARCH("miel", D342)), "No irritante (Uso condicionado SII)", IF(OR(J342&gt;0, ISNUMBER(SEARCH("cacao", D342)), ISNUMBER(SEARCH("chocolate puro", D342))), "Altamente irritante", IF(OR(AND(O342&gt;15, BI342&gt;1), ISNUMBER(SEARCH("chocolate", D342))), "Moderadamente irritante", "No irritante")))</f>
        <v>No irritante</v>
      </c>
      <c r="CC342" s="6" t="str">
        <f t="shared" si="161"/>
        <v>Exceso relativo de Omega 6</v>
      </c>
    </row>
    <row r="343" spans="1:81" ht="15" customHeight="1" x14ac:dyDescent="0.3">
      <c r="A343" s="2">
        <f t="shared" si="162"/>
        <v>342</v>
      </c>
      <c r="B343" s="3" t="s">
        <v>391</v>
      </c>
      <c r="C343" s="3" t="s">
        <v>462</v>
      </c>
      <c r="D343" s="3" t="s">
        <v>481</v>
      </c>
      <c r="E343" s="3"/>
      <c r="F343" s="4">
        <v>3.5</v>
      </c>
      <c r="G343" s="5">
        <v>0.9</v>
      </c>
      <c r="H343" s="5">
        <v>102</v>
      </c>
      <c r="I343" s="5">
        <v>79.3</v>
      </c>
      <c r="J343" s="5">
        <v>0</v>
      </c>
      <c r="K343" s="5">
        <v>16.899999999999999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3.8</v>
      </c>
      <c r="R343" s="5">
        <v>1.2</v>
      </c>
      <c r="S343" s="5">
        <v>0.56999999999999995</v>
      </c>
      <c r="T343" s="5">
        <v>1.1000000000000001</v>
      </c>
      <c r="U343" s="5">
        <v>385</v>
      </c>
      <c r="V343" s="5">
        <v>60</v>
      </c>
      <c r="W343" s="5">
        <v>60</v>
      </c>
      <c r="X343" s="5">
        <v>0</v>
      </c>
      <c r="Y343" s="5">
        <v>0</v>
      </c>
      <c r="Z343" s="5">
        <v>0.45</v>
      </c>
      <c r="AA343" s="5">
        <v>12</v>
      </c>
      <c r="AB343" s="5">
        <v>0.34</v>
      </c>
      <c r="AC343" s="5">
        <v>1.8</v>
      </c>
      <c r="AD343" s="5">
        <v>11.7</v>
      </c>
      <c r="AE343" s="5">
        <v>0.55000000000000004</v>
      </c>
      <c r="AF343" s="5">
        <v>93</v>
      </c>
      <c r="AG343" s="5">
        <v>15</v>
      </c>
      <c r="AH343" s="5">
        <v>3.1</v>
      </c>
      <c r="AI343" s="5">
        <v>32</v>
      </c>
      <c r="AJ343" s="5">
        <v>16</v>
      </c>
      <c r="AK343" s="5">
        <v>7.1</v>
      </c>
      <c r="AL343" s="5">
        <v>254</v>
      </c>
      <c r="AM343" s="5">
        <v>7.3</v>
      </c>
      <c r="AN343" s="5">
        <v>7</v>
      </c>
      <c r="AO343" s="5">
        <v>2.7</v>
      </c>
      <c r="AP343" s="5">
        <v>17</v>
      </c>
      <c r="AQ343" s="5">
        <v>173</v>
      </c>
      <c r="AR343" s="5">
        <v>247</v>
      </c>
      <c r="AS343" s="5">
        <v>0.15</v>
      </c>
      <c r="AT343" s="5">
        <v>0.77</v>
      </c>
      <c r="AU343" s="5">
        <v>206</v>
      </c>
      <c r="AV343" s="5">
        <f>IFERROR(VLOOKUP(IFERROR(VLOOKUP(D343,Mapa_Similitud!$A$2:$B$2000,2,FALSE()),D343),Hoja1!$A$2:$K$1000,2,FALSE()),IFERROR(VLOOKUP(IFERROR(VLOOKUP(D343,Mapa_Similitud!$A$2:$B$2000,2,FALSE()),D343),Omega3_Referencia!$A$2:$E$100,3,FALSE()),0))</f>
        <v>0.03</v>
      </c>
      <c r="AW343" s="3" t="str">
        <f>IFERROR(VLOOKUP(IFERROR(VLOOKUP(D343,Mapa_Similitud!$A$2:$B$2000,2,FALSE()),D343),Hoja1!$A$2:$K$1000,3,FALSE()),IFERROR(VLOOKUP(IFERROR(VLOOKUP(D343,Mapa_Similitud!$A$2:$B$2000,2,FALSE()),D343),Omega3_Referencia!$A$2:$E$100,4,FALSE()),"N/A"))</f>
        <v>EPA/DHA</v>
      </c>
      <c r="AX343" s="5">
        <f>IFERROR(VLOOKUP(IFERROR(VLOOKUP(D343,Mapa_Similitud!$A$2:$B$2000,2,FALSE()),D343),Hoja1!$A$2:$K$1000,5,FALSE()),0)</f>
        <v>0.1</v>
      </c>
      <c r="AY343" s="5">
        <f>IFERROR(VLOOKUP(IFERROR(VLOOKUP(D343,Mapa_Similitud!$A$2:$B$2000,2,FALSE()),D343),Hoja1!$A$2:$K$1000,7,FALSE()),0)</f>
        <v>0</v>
      </c>
      <c r="AZ343" s="5">
        <f>IFERROR(VLOOKUP(IFERROR(VLOOKUP(D343,Mapa_Similitud!$A$2:$B$2000,2,FALSE()),D343),Hoja1!$A$2:$K$1000,9,FALSE()),0)</f>
        <v>0</v>
      </c>
      <c r="BA343" s="25">
        <f t="shared" si="145"/>
        <v>0.16568627450980392</v>
      </c>
      <c r="BB343" s="25">
        <f t="shared" si="146"/>
        <v>0</v>
      </c>
      <c r="BC343" s="25">
        <f t="shared" si="147"/>
        <v>6.9607843137254904E-2</v>
      </c>
      <c r="BD343" s="25">
        <f t="shared" si="148"/>
        <v>7.1568627450980388E-2</v>
      </c>
      <c r="BE343" s="25">
        <f t="shared" si="149"/>
        <v>1.696078431372549</v>
      </c>
      <c r="BF343" s="25">
        <f t="shared" si="150"/>
        <v>0.91666666666666674</v>
      </c>
      <c r="BG343" s="25">
        <f t="shared" si="151"/>
        <v>2.7952755905511811E-2</v>
      </c>
      <c r="BH343" s="25">
        <f t="shared" si="152"/>
        <v>0.31578947368421051</v>
      </c>
      <c r="BI343" s="25">
        <f t="shared" si="153"/>
        <v>0.70040485829959509</v>
      </c>
      <c r="BJ343" s="25">
        <f t="shared" si="154"/>
        <v>0</v>
      </c>
      <c r="BK343" s="25">
        <f t="shared" si="155"/>
        <v>0</v>
      </c>
      <c r="BL343" s="25">
        <f t="shared" si="156"/>
        <v>0.3352941176470588</v>
      </c>
      <c r="BM343" s="25">
        <f t="shared" si="157"/>
        <v>0.16666666666666666</v>
      </c>
      <c r="BN343" s="18" t="str">
        <f t="shared" si="163"/>
        <v>Alta fuente de proteína</v>
      </c>
      <c r="BO343" s="18" t="str">
        <f t="shared" si="164"/>
        <v>Baja fuente de fibra</v>
      </c>
      <c r="BP343" s="18" t="str">
        <f t="shared" si="165"/>
        <v>Baja fuente de calcio</v>
      </c>
      <c r="BQ343" s="18" t="str">
        <f t="shared" si="166"/>
        <v>Alta fuente de hierro</v>
      </c>
      <c r="BR343" s="18" t="str">
        <f t="shared" si="167"/>
        <v>Alto en sodio</v>
      </c>
      <c r="BS343" s="6" t="str">
        <f t="shared" si="158"/>
        <v>Neutro</v>
      </c>
      <c r="BT343" s="6" t="str">
        <f t="shared" si="159"/>
        <v>Alto en grasas</v>
      </c>
      <c r="BU343" s="18" t="str">
        <f t="shared" si="168"/>
        <v>Riesgo moderado de retención</v>
      </c>
      <c r="BV343" s="18" t="str">
        <f t="shared" si="169"/>
        <v>Baja fuente de magnesio</v>
      </c>
      <c r="BW343" s="18" t="str">
        <f t="shared" si="170"/>
        <v>Sin aporte de Omega 3</v>
      </c>
      <c r="BX343" s="18" t="str">
        <f t="shared" si="171"/>
        <v>Contiene grasas trans</v>
      </c>
      <c r="BY343" s="18" t="str">
        <f t="shared" si="172"/>
        <v>Bajo poder antioxidante</v>
      </c>
      <c r="BZ343" s="6" t="str">
        <f t="shared" si="160"/>
        <v>Sin probióticos</v>
      </c>
      <c r="CA343" s="18" t="str">
        <f t="shared" si="173"/>
        <v>Moderadamente inflamatorio</v>
      </c>
      <c r="CB343" s="18" t="str">
        <f>IF(ISNUMBER(SEARCH("miel", D343)), "No irritante (Uso condicionado SII)", IF(OR(J343&gt;0, ISNUMBER(SEARCH("cacao", D343)), ISNUMBER(SEARCH("chocolate puro", D343))), "Altamente irritante", IF(OR(AND(O343&gt;15, BI343&gt;1), ISNUMBER(SEARCH("chocolate", D343))), "Moderadamente irritante", "No irritante")))</f>
        <v>No irritante</v>
      </c>
      <c r="CC343" s="6" t="str">
        <f t="shared" si="161"/>
        <v>Exceso relativo de Omega 6</v>
      </c>
    </row>
    <row r="344" spans="1:81" ht="15" customHeight="1" x14ac:dyDescent="0.3">
      <c r="A344" s="2">
        <f t="shared" si="162"/>
        <v>343</v>
      </c>
      <c r="B344" s="3" t="s">
        <v>391</v>
      </c>
      <c r="C344" s="3" t="s">
        <v>462</v>
      </c>
      <c r="D344" s="3" t="s">
        <v>482</v>
      </c>
      <c r="E344" s="3"/>
      <c r="F344" s="4">
        <v>4</v>
      </c>
      <c r="G344" s="5">
        <v>0.93</v>
      </c>
      <c r="H344" s="5">
        <v>90.3</v>
      </c>
      <c r="I344" s="5">
        <v>80.8</v>
      </c>
      <c r="J344" s="5">
        <v>0</v>
      </c>
      <c r="K344" s="5">
        <v>16.5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2.7</v>
      </c>
      <c r="R344" s="5">
        <v>0.9</v>
      </c>
      <c r="S344" s="5">
        <v>0.6</v>
      </c>
      <c r="T344" s="5">
        <v>0.4</v>
      </c>
      <c r="U344" s="5">
        <v>400</v>
      </c>
      <c r="V344" s="5">
        <v>105</v>
      </c>
      <c r="W344" s="5">
        <v>105</v>
      </c>
      <c r="X344" s="5">
        <v>0</v>
      </c>
      <c r="Y344" s="5">
        <v>0</v>
      </c>
      <c r="Z344" s="5">
        <v>0.45</v>
      </c>
      <c r="AA344" s="5">
        <v>12</v>
      </c>
      <c r="AB344" s="5">
        <v>0.49</v>
      </c>
      <c r="AC344" s="5">
        <v>1.8</v>
      </c>
      <c r="AD344" s="5">
        <v>12</v>
      </c>
      <c r="AE344" s="5">
        <v>0.3</v>
      </c>
      <c r="AF344" s="5">
        <v>31</v>
      </c>
      <c r="AG344" s="5">
        <v>55</v>
      </c>
      <c r="AH344" s="5">
        <v>4.3</v>
      </c>
      <c r="AI344" s="5">
        <v>37</v>
      </c>
      <c r="AJ344" s="5">
        <v>7</v>
      </c>
      <c r="AK344" s="5">
        <v>10</v>
      </c>
      <c r="AL344" s="5">
        <v>260</v>
      </c>
      <c r="AM344" s="5">
        <v>7.4</v>
      </c>
      <c r="AN344" s="5">
        <v>7</v>
      </c>
      <c r="AO344" s="5">
        <v>2.4</v>
      </c>
      <c r="AP344" s="5">
        <v>17</v>
      </c>
      <c r="AQ344" s="5">
        <v>220</v>
      </c>
      <c r="AR344" s="5">
        <v>270</v>
      </c>
      <c r="AS344" s="5">
        <v>0.16</v>
      </c>
      <c r="AT344" s="5">
        <v>0.42</v>
      </c>
      <c r="AU344" s="5">
        <v>93</v>
      </c>
      <c r="AV344" s="5">
        <f>IFERROR(VLOOKUP(IFERROR(VLOOKUP(D344,Mapa_Similitud!$A$2:$B$2000,2,FALSE()),D344),Hoja1!$A$2:$K$1000,2,FALSE()),IFERROR(VLOOKUP(IFERROR(VLOOKUP(D344,Mapa_Similitud!$A$2:$B$2000,2,FALSE()),D344),Omega3_Referencia!$A$2:$E$100,3,FALSE()),0))</f>
        <v>0.03</v>
      </c>
      <c r="AW344" s="3" t="str">
        <f>IFERROR(VLOOKUP(IFERROR(VLOOKUP(D344,Mapa_Similitud!$A$2:$B$2000,2,FALSE()),D344),Hoja1!$A$2:$K$1000,3,FALSE()),IFERROR(VLOOKUP(IFERROR(VLOOKUP(D344,Mapa_Similitud!$A$2:$B$2000,2,FALSE()),D344),Omega3_Referencia!$A$2:$E$100,4,FALSE()),"N/A"))</f>
        <v>EPA/DHA</v>
      </c>
      <c r="AX344" s="5">
        <f>IFERROR(VLOOKUP(IFERROR(VLOOKUP(D344,Mapa_Similitud!$A$2:$B$2000,2,FALSE()),D344),Hoja1!$A$2:$K$1000,5,FALSE()),0)</f>
        <v>0.1</v>
      </c>
      <c r="AY344" s="5">
        <f>IFERROR(VLOOKUP(IFERROR(VLOOKUP(D344,Mapa_Similitud!$A$2:$B$2000,2,FALSE()),D344),Hoja1!$A$2:$K$1000,7,FALSE()),0)</f>
        <v>0</v>
      </c>
      <c r="AZ344" s="5">
        <f>IFERROR(VLOOKUP(IFERROR(VLOOKUP(D344,Mapa_Similitud!$A$2:$B$2000,2,FALSE()),D344),Hoja1!$A$2:$K$1000,9,FALSE()),0)</f>
        <v>0</v>
      </c>
      <c r="BA344" s="25">
        <f t="shared" si="145"/>
        <v>0.18272425249169436</v>
      </c>
      <c r="BB344" s="25">
        <f t="shared" si="146"/>
        <v>0</v>
      </c>
      <c r="BC344" s="25">
        <f t="shared" si="147"/>
        <v>0.11074197120708749</v>
      </c>
      <c r="BD344" s="25">
        <f t="shared" si="148"/>
        <v>8.1949058693244745E-2</v>
      </c>
      <c r="BE344" s="25">
        <f t="shared" si="149"/>
        <v>2.436323366555925</v>
      </c>
      <c r="BF344" s="25">
        <f t="shared" si="150"/>
        <v>0.44444444444444448</v>
      </c>
      <c r="BG344" s="25">
        <f t="shared" si="151"/>
        <v>3.8461538461538464E-2</v>
      </c>
      <c r="BH344" s="25">
        <f t="shared" si="152"/>
        <v>0.33333333333333331</v>
      </c>
      <c r="BI344" s="25">
        <f t="shared" si="153"/>
        <v>0.81481481481481477</v>
      </c>
      <c r="BJ344" s="25">
        <f t="shared" si="154"/>
        <v>0</v>
      </c>
      <c r="BK344" s="25">
        <f t="shared" si="155"/>
        <v>0</v>
      </c>
      <c r="BL344" s="25">
        <f t="shared" si="156"/>
        <v>0.26910299003322263</v>
      </c>
      <c r="BM344" s="25">
        <f t="shared" si="157"/>
        <v>0.18826135105204872</v>
      </c>
      <c r="BN344" s="18" t="str">
        <f t="shared" si="163"/>
        <v>Alta fuente de proteína</v>
      </c>
      <c r="BO344" s="18" t="str">
        <f t="shared" si="164"/>
        <v>Baja fuente de fibra</v>
      </c>
      <c r="BP344" s="18" t="str">
        <f t="shared" si="165"/>
        <v>Baja fuente de calcio</v>
      </c>
      <c r="BQ344" s="18" t="str">
        <f t="shared" si="166"/>
        <v>Alta fuente de hierro</v>
      </c>
      <c r="BR344" s="18" t="str">
        <f t="shared" si="167"/>
        <v>Muy alto en sodio</v>
      </c>
      <c r="BS344" s="6" t="str">
        <f t="shared" si="158"/>
        <v>Proinflamatorio</v>
      </c>
      <c r="BT344" s="6" t="str">
        <f t="shared" si="159"/>
        <v>Moderado en grasas</v>
      </c>
      <c r="BU344" s="18" t="str">
        <f t="shared" si="168"/>
        <v>Riesgo moderado de retención</v>
      </c>
      <c r="BV344" s="18" t="str">
        <f t="shared" si="169"/>
        <v>Baja fuente de magnesio</v>
      </c>
      <c r="BW344" s="18" t="str">
        <f t="shared" si="170"/>
        <v>Sin aporte de Omega 3</v>
      </c>
      <c r="BX344" s="18" t="str">
        <f t="shared" si="171"/>
        <v>Contiene grasas trans</v>
      </c>
      <c r="BY344" s="18" t="str">
        <f t="shared" si="172"/>
        <v>Bajo poder antioxidante</v>
      </c>
      <c r="BZ344" s="6" t="str">
        <f t="shared" si="160"/>
        <v>Sin probióticos</v>
      </c>
      <c r="CA344" s="18" t="str">
        <f t="shared" si="173"/>
        <v>Moderadamente inflamatorio</v>
      </c>
      <c r="CB344" s="18" t="str">
        <f>IF(ISNUMBER(SEARCH("miel", D344)), "No irritante (Uso condicionado SII)", IF(OR(J344&gt;0, ISNUMBER(SEARCH("cacao", D344)), ISNUMBER(SEARCH("chocolate puro", D344))), "Altamente irritante", IF(OR(AND(O344&gt;15, BI344&gt;1), ISNUMBER(SEARCH("chocolate", D344))), "Moderadamente irritante", "No irritante")))</f>
        <v>No irritante</v>
      </c>
      <c r="CC344" s="6" t="str">
        <f t="shared" si="161"/>
        <v>Exceso relativo de Omega 6</v>
      </c>
    </row>
    <row r="345" spans="1:81" ht="15" customHeight="1" x14ac:dyDescent="0.3">
      <c r="A345" s="2">
        <f t="shared" si="162"/>
        <v>344</v>
      </c>
      <c r="B345" s="3" t="s">
        <v>391</v>
      </c>
      <c r="C345" s="3" t="s">
        <v>462</v>
      </c>
      <c r="D345" s="3" t="s">
        <v>483</v>
      </c>
      <c r="E345" s="3"/>
      <c r="F345" s="4">
        <v>4.5</v>
      </c>
      <c r="G345" s="5">
        <v>1</v>
      </c>
      <c r="H345" s="5">
        <v>131</v>
      </c>
      <c r="I345" s="5">
        <v>76.2</v>
      </c>
      <c r="J345" s="5">
        <v>0</v>
      </c>
      <c r="K345" s="5">
        <v>16.7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7.1</v>
      </c>
      <c r="R345" s="5">
        <v>2.1</v>
      </c>
      <c r="S345" s="5">
        <v>1.5</v>
      </c>
      <c r="T345" s="5">
        <v>1.4</v>
      </c>
      <c r="U345" s="5">
        <v>380</v>
      </c>
      <c r="V345" s="5">
        <v>419</v>
      </c>
      <c r="W345" s="5">
        <v>419</v>
      </c>
      <c r="X345" s="5">
        <v>0</v>
      </c>
      <c r="Y345" s="5">
        <v>1</v>
      </c>
      <c r="Z345" s="5">
        <v>0.2</v>
      </c>
      <c r="AA345" s="5">
        <v>12</v>
      </c>
      <c r="AB345" s="5">
        <v>0.37</v>
      </c>
      <c r="AC345" s="5">
        <v>2.5</v>
      </c>
      <c r="AD345" s="5">
        <v>11.2</v>
      </c>
      <c r="AE345" s="5">
        <v>0.5</v>
      </c>
      <c r="AF345" s="5">
        <v>63</v>
      </c>
      <c r="AG345" s="5">
        <v>25</v>
      </c>
      <c r="AH345" s="5">
        <v>4</v>
      </c>
      <c r="AI345" s="5">
        <v>80</v>
      </c>
      <c r="AJ345" s="5">
        <v>13</v>
      </c>
      <c r="AK345" s="5">
        <v>10</v>
      </c>
      <c r="AL345" s="5">
        <v>260</v>
      </c>
      <c r="AM345" s="5">
        <v>12</v>
      </c>
      <c r="AN345" s="5">
        <v>7</v>
      </c>
      <c r="AO345" s="5">
        <v>1.8</v>
      </c>
      <c r="AP345" s="5">
        <v>18</v>
      </c>
      <c r="AQ345" s="5">
        <v>200</v>
      </c>
      <c r="AR345" s="5">
        <v>290</v>
      </c>
      <c r="AS345" s="5">
        <v>0.05</v>
      </c>
      <c r="AT345" s="5">
        <v>0.37</v>
      </c>
      <c r="AU345" s="5">
        <v>40</v>
      </c>
      <c r="AV345" s="5">
        <f>IFERROR(VLOOKUP(IFERROR(VLOOKUP(D345,Mapa_Similitud!$A$2:$B$2000,2,FALSE()),D345),Hoja1!$A$2:$K$1000,2,FALSE()),IFERROR(VLOOKUP(IFERROR(VLOOKUP(D345,Mapa_Similitud!$A$2:$B$2000,2,FALSE()),D345),Omega3_Referencia!$A$2:$E$100,3,FALSE()),0))</f>
        <v>0.03</v>
      </c>
      <c r="AW345" s="3" t="str">
        <f>IFERROR(VLOOKUP(IFERROR(VLOOKUP(D345,Mapa_Similitud!$A$2:$B$2000,2,FALSE()),D345),Hoja1!$A$2:$K$1000,3,FALSE()),IFERROR(VLOOKUP(IFERROR(VLOOKUP(D345,Mapa_Similitud!$A$2:$B$2000,2,FALSE()),D345),Omega3_Referencia!$A$2:$E$100,4,FALSE()),"N/A"))</f>
        <v>EPA/DHA</v>
      </c>
      <c r="AX345" s="5">
        <f>IFERROR(VLOOKUP(IFERROR(VLOOKUP(D345,Mapa_Similitud!$A$2:$B$2000,2,FALSE()),D345),Hoja1!$A$2:$K$1000,5,FALSE()),0)</f>
        <v>0.1</v>
      </c>
      <c r="AY345" s="5">
        <f>IFERROR(VLOOKUP(IFERROR(VLOOKUP(D345,Mapa_Similitud!$A$2:$B$2000,2,FALSE()),D345),Hoja1!$A$2:$K$1000,7,FALSE()),0)</f>
        <v>0</v>
      </c>
      <c r="AZ345" s="5">
        <f>IFERROR(VLOOKUP(IFERROR(VLOOKUP(D345,Mapa_Similitud!$A$2:$B$2000,2,FALSE()),D345),Hoja1!$A$2:$K$1000,9,FALSE()),0)</f>
        <v>0</v>
      </c>
      <c r="BA345" s="25">
        <f t="shared" si="145"/>
        <v>0.12748091603053435</v>
      </c>
      <c r="BB345" s="25">
        <f t="shared" si="146"/>
        <v>0</v>
      </c>
      <c r="BC345" s="25">
        <f t="shared" si="147"/>
        <v>7.6335877862595422E-2</v>
      </c>
      <c r="BD345" s="25">
        <f t="shared" si="148"/>
        <v>9.1603053435114504E-2</v>
      </c>
      <c r="BE345" s="25">
        <f t="shared" si="149"/>
        <v>1.5267175572519085</v>
      </c>
      <c r="BF345" s="25">
        <f t="shared" si="150"/>
        <v>0.66666666666666663</v>
      </c>
      <c r="BG345" s="25">
        <f t="shared" si="151"/>
        <v>3.8461538461538464E-2</v>
      </c>
      <c r="BH345" s="25">
        <f t="shared" si="152"/>
        <v>0.29577464788732399</v>
      </c>
      <c r="BI345" s="25">
        <f t="shared" si="153"/>
        <v>0.68965517241379315</v>
      </c>
      <c r="BJ345" s="25">
        <f t="shared" si="154"/>
        <v>0</v>
      </c>
      <c r="BK345" s="25">
        <f t="shared" si="155"/>
        <v>0</v>
      </c>
      <c r="BL345" s="25">
        <f t="shared" si="156"/>
        <v>0.48778625954198473</v>
      </c>
      <c r="BM345" s="25">
        <f t="shared" si="157"/>
        <v>0.13740458015267176</v>
      </c>
      <c r="BN345" s="18" t="str">
        <f t="shared" si="163"/>
        <v>Media fuente de proteína</v>
      </c>
      <c r="BO345" s="18" t="str">
        <f t="shared" si="164"/>
        <v>Baja fuente de fibra</v>
      </c>
      <c r="BP345" s="18" t="str">
        <f t="shared" si="165"/>
        <v>Baja fuente de calcio</v>
      </c>
      <c r="BQ345" s="18" t="str">
        <f t="shared" si="166"/>
        <v>Alta fuente de hierro</v>
      </c>
      <c r="BR345" s="18" t="str">
        <f t="shared" si="167"/>
        <v>Alto en sodio</v>
      </c>
      <c r="BS345" s="6" t="str">
        <f t="shared" si="158"/>
        <v>Neutro</v>
      </c>
      <c r="BT345" s="6" t="str">
        <f t="shared" si="159"/>
        <v>Muy alto en grasas</v>
      </c>
      <c r="BU345" s="18" t="str">
        <f t="shared" si="168"/>
        <v>Riesgo moderado de retención</v>
      </c>
      <c r="BV345" s="18" t="str">
        <f t="shared" si="169"/>
        <v>Baja fuente de magnesio</v>
      </c>
      <c r="BW345" s="18" t="str">
        <f t="shared" si="170"/>
        <v>Sin aporte de Omega 3</v>
      </c>
      <c r="BX345" s="18" t="str">
        <f t="shared" si="171"/>
        <v>Contiene grasas trans</v>
      </c>
      <c r="BY345" s="18" t="str">
        <f t="shared" si="172"/>
        <v>Bajo poder antioxidante</v>
      </c>
      <c r="BZ345" s="6" t="str">
        <f t="shared" si="160"/>
        <v>Sin probióticos</v>
      </c>
      <c r="CA345" s="18" t="str">
        <f t="shared" si="173"/>
        <v>Moderadamente inflamatorio</v>
      </c>
      <c r="CB345" s="18" t="str">
        <f>IF(ISNUMBER(SEARCH("miel", D345)), "No irritante (Uso condicionado SII)", IF(OR(J345&gt;0, ISNUMBER(SEARCH("cacao", D345)), ISNUMBER(SEARCH("chocolate puro", D345))), "Altamente irritante", IF(OR(AND(O345&gt;15, BI345&gt;1), ISNUMBER(SEARCH("chocolate", D345))), "Moderadamente irritante", "No irritante")))</f>
        <v>No irritante</v>
      </c>
      <c r="CC345" s="6" t="str">
        <f t="shared" si="161"/>
        <v>Exceso relativo de Omega 6</v>
      </c>
    </row>
    <row r="346" spans="1:81" ht="15" customHeight="1" x14ac:dyDescent="0.3">
      <c r="A346" s="2">
        <f t="shared" si="162"/>
        <v>345</v>
      </c>
      <c r="B346" s="3" t="s">
        <v>391</v>
      </c>
      <c r="C346" s="3" t="s">
        <v>462</v>
      </c>
      <c r="D346" s="3" t="s">
        <v>484</v>
      </c>
      <c r="E346" s="3"/>
      <c r="F346" s="4">
        <v>2.5</v>
      </c>
      <c r="G346" s="5">
        <v>1</v>
      </c>
      <c r="H346" s="5">
        <v>76</v>
      </c>
      <c r="I346" s="5">
        <v>81.2</v>
      </c>
      <c r="J346" s="5">
        <v>0</v>
      </c>
      <c r="K346" s="5">
        <v>18.5</v>
      </c>
      <c r="L346" s="5">
        <v>0.06</v>
      </c>
      <c r="M346" s="5">
        <v>0</v>
      </c>
      <c r="N346" s="5">
        <v>0.06</v>
      </c>
      <c r="O346" s="5">
        <v>0</v>
      </c>
      <c r="P346" s="5">
        <v>0</v>
      </c>
      <c r="Q346" s="5">
        <v>0.2</v>
      </c>
      <c r="R346" s="5">
        <v>0.01</v>
      </c>
      <c r="S346" s="5">
        <v>0.01</v>
      </c>
      <c r="T346" s="5">
        <v>0.12</v>
      </c>
      <c r="U346" s="5">
        <v>40</v>
      </c>
      <c r="V346" s="5">
        <v>30</v>
      </c>
      <c r="W346" s="5">
        <v>30</v>
      </c>
      <c r="X346" s="5">
        <v>0</v>
      </c>
      <c r="Y346" s="5">
        <v>0.1</v>
      </c>
      <c r="Z346" s="5">
        <v>0.4</v>
      </c>
      <c r="AA346" s="5">
        <v>0</v>
      </c>
      <c r="AB346" s="5">
        <v>0.09</v>
      </c>
      <c r="AC346" s="5">
        <v>0.03</v>
      </c>
      <c r="AD346" s="5">
        <v>0.6</v>
      </c>
      <c r="AE346" s="5">
        <v>1E-3</v>
      </c>
      <c r="AF346" s="5">
        <v>4</v>
      </c>
      <c r="AG346" s="5">
        <v>0</v>
      </c>
      <c r="AH346" s="5">
        <v>0</v>
      </c>
      <c r="AI346" s="5">
        <v>0</v>
      </c>
      <c r="AJ346" s="5">
        <v>0</v>
      </c>
      <c r="AK346" s="5">
        <v>6.3</v>
      </c>
      <c r="AL346" s="5">
        <v>74</v>
      </c>
      <c r="AM346" s="5">
        <v>42</v>
      </c>
      <c r="AN346" s="5">
        <v>0</v>
      </c>
      <c r="AO346" s="5">
        <v>0.33</v>
      </c>
      <c r="AP346" s="5">
        <v>9.1</v>
      </c>
      <c r="AQ346" s="5">
        <v>207</v>
      </c>
      <c r="AR346" s="5">
        <v>174</v>
      </c>
      <c r="AS346" s="5">
        <v>6.0000000000000001E-3</v>
      </c>
      <c r="AT346" s="5">
        <v>0.14000000000000001</v>
      </c>
      <c r="AU346" s="5">
        <v>0</v>
      </c>
      <c r="AV346" s="5">
        <f>IFERROR(VLOOKUP(IFERROR(VLOOKUP(D346,Mapa_Similitud!$A$2:$B$2000,2,FALSE()),D346),Hoja1!$A$2:$K$1000,2,FALSE()),IFERROR(VLOOKUP(IFERROR(VLOOKUP(D346,Mapa_Similitud!$A$2:$B$2000,2,FALSE()),D346),Omega3_Referencia!$A$2:$E$100,3,FALSE()),0))</f>
        <v>0.01</v>
      </c>
      <c r="AW346" s="3" t="str">
        <f>IFERROR(VLOOKUP(IFERROR(VLOOKUP(D346,Mapa_Similitud!$A$2:$B$2000,2,FALSE()),D346),Hoja1!$A$2:$K$1000,3,FALSE()),IFERROR(VLOOKUP(IFERROR(VLOOKUP(D346,Mapa_Similitud!$A$2:$B$2000,2,FALSE()),D346),Omega3_Referencia!$A$2:$E$100,4,FALSE()),"N/A"))</f>
        <v>ALA</v>
      </c>
      <c r="AX346" s="5">
        <f>IFERROR(VLOOKUP(IFERROR(VLOOKUP(D346,Mapa_Similitud!$A$2:$B$2000,2,FALSE()),D346),Hoja1!$A$2:$K$1000,5,FALSE()),0)</f>
        <v>0</v>
      </c>
      <c r="AY346" s="5">
        <f>IFERROR(VLOOKUP(IFERROR(VLOOKUP(D346,Mapa_Similitud!$A$2:$B$2000,2,FALSE()),D346),Hoja1!$A$2:$K$1000,7,FALSE()),0)</f>
        <v>0</v>
      </c>
      <c r="AZ346" s="5">
        <f>IFERROR(VLOOKUP(IFERROR(VLOOKUP(D346,Mapa_Similitud!$A$2:$B$2000,2,FALSE()),D346),Hoja1!$A$2:$K$1000,9,FALSE()),0)</f>
        <v>0</v>
      </c>
      <c r="BA346" s="25">
        <f t="shared" si="145"/>
        <v>0.24342105263157895</v>
      </c>
      <c r="BB346" s="25">
        <f t="shared" si="146"/>
        <v>0</v>
      </c>
      <c r="BC346" s="25">
        <f t="shared" si="147"/>
        <v>8.2894736842105257E-2</v>
      </c>
      <c r="BD346" s="25">
        <f t="shared" si="148"/>
        <v>0.55263157894736847</v>
      </c>
      <c r="BE346" s="25">
        <f t="shared" si="149"/>
        <v>2.7236842105263159</v>
      </c>
      <c r="BF346" s="25">
        <f t="shared" si="150"/>
        <v>12</v>
      </c>
      <c r="BG346" s="25">
        <f t="shared" si="151"/>
        <v>8.5135135135135126E-2</v>
      </c>
      <c r="BH346" s="25">
        <f t="shared" si="152"/>
        <v>4.9999999999999996E-2</v>
      </c>
      <c r="BI346" s="25">
        <f t="shared" si="153"/>
        <v>1.1896551724137931</v>
      </c>
      <c r="BJ346" s="25">
        <f t="shared" si="154"/>
        <v>1</v>
      </c>
      <c r="BK346" s="25">
        <f t="shared" si="155"/>
        <v>0</v>
      </c>
      <c r="BL346" s="25">
        <f t="shared" si="156"/>
        <v>2.368421052631579E-2</v>
      </c>
      <c r="BM346" s="25">
        <f t="shared" si="157"/>
        <v>0.11973684210526316</v>
      </c>
      <c r="BN346" s="18" t="str">
        <f t="shared" si="163"/>
        <v>Muy alta fuente de proteína</v>
      </c>
      <c r="BO346" s="18" t="str">
        <f t="shared" si="164"/>
        <v>Baja fuente de fibra</v>
      </c>
      <c r="BP346" s="18" t="str">
        <f t="shared" si="165"/>
        <v>Baja fuente de calcio</v>
      </c>
      <c r="BQ346" s="18" t="str">
        <f t="shared" si="166"/>
        <v>Alta fuente de hierro</v>
      </c>
      <c r="BR346" s="18" t="str">
        <f t="shared" si="167"/>
        <v>Muy alto en sodio</v>
      </c>
      <c r="BS346" s="6" t="str">
        <f t="shared" si="158"/>
        <v>Altamente antiinflamatorio</v>
      </c>
      <c r="BT346" s="6" t="str">
        <f t="shared" si="159"/>
        <v>Bajo en grasas</v>
      </c>
      <c r="BU346" s="18" t="str">
        <f t="shared" si="168"/>
        <v>Alto riesgo de retención de líquidos</v>
      </c>
      <c r="BV346" s="18" t="str">
        <f t="shared" si="169"/>
        <v>Baja fuente de magnesio</v>
      </c>
      <c r="BW346" s="18" t="str">
        <f t="shared" si="170"/>
        <v>Sin aporte de Omega 3</v>
      </c>
      <c r="BX346" s="18" t="str">
        <f t="shared" si="171"/>
        <v>Libre de grasas trans</v>
      </c>
      <c r="BY346" s="18" t="str">
        <f t="shared" si="172"/>
        <v>Bajo poder antioxidante</v>
      </c>
      <c r="BZ346" s="6" t="str">
        <f t="shared" si="160"/>
        <v>Sin probióticos</v>
      </c>
      <c r="CA346" s="18" t="str">
        <f t="shared" si="173"/>
        <v>Poco inflamatorio</v>
      </c>
      <c r="CB346" s="18" t="str">
        <f>IF(ISNUMBER(SEARCH("miel", D346)), "No irritante (Uso condicionado SII)", IF(OR(J346&gt;0, ISNUMBER(SEARCH("cacao", D346)), ISNUMBER(SEARCH("chocolate puro", D346))), "Altamente irritante", IF(OR(AND(O346&gt;15, BI346&gt;1), ISNUMBER(SEARCH("chocolate", D346))), "Moderadamente irritante", "No irritante")))</f>
        <v>No irritante</v>
      </c>
      <c r="CC346" s="6" t="str">
        <f t="shared" si="161"/>
        <v>Exceso relativo de Omega 6</v>
      </c>
    </row>
    <row r="347" spans="1:81" ht="15" customHeight="1" x14ac:dyDescent="0.3">
      <c r="A347" s="2">
        <f t="shared" si="162"/>
        <v>346</v>
      </c>
      <c r="B347" s="3" t="s">
        <v>391</v>
      </c>
      <c r="C347" s="3" t="s">
        <v>462</v>
      </c>
      <c r="D347" s="3" t="s">
        <v>485</v>
      </c>
      <c r="E347" s="3"/>
      <c r="F347" s="4">
        <v>3</v>
      </c>
      <c r="G347" s="5">
        <v>0.98</v>
      </c>
      <c r="H347" s="5">
        <v>123</v>
      </c>
      <c r="I347" s="5">
        <v>80.400000000000006</v>
      </c>
      <c r="J347" s="5">
        <v>0</v>
      </c>
      <c r="K347" s="5">
        <v>10.6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9</v>
      </c>
      <c r="R347" s="5">
        <v>2</v>
      </c>
      <c r="S347" s="5">
        <v>1.6</v>
      </c>
      <c r="T347" s="5">
        <v>1.4</v>
      </c>
      <c r="U347" s="5">
        <v>2550</v>
      </c>
      <c r="V347" s="5">
        <v>9</v>
      </c>
      <c r="W347" s="5">
        <v>9</v>
      </c>
      <c r="X347" s="5">
        <v>0</v>
      </c>
      <c r="Y347" s="5">
        <v>0</v>
      </c>
      <c r="Z347" s="5">
        <v>1.2</v>
      </c>
      <c r="AA347" s="5">
        <v>30</v>
      </c>
      <c r="AB347" s="5">
        <v>0.16</v>
      </c>
      <c r="AC347" s="5">
        <v>0.28000000000000003</v>
      </c>
      <c r="AD347" s="5">
        <v>7</v>
      </c>
      <c r="AE347" s="5">
        <v>0.2</v>
      </c>
      <c r="AF347" s="5">
        <v>6</v>
      </c>
      <c r="AG347" s="5">
        <v>2.8</v>
      </c>
      <c r="AH347" s="5">
        <v>2.8</v>
      </c>
      <c r="AI347" s="5">
        <v>0</v>
      </c>
      <c r="AJ347" s="5">
        <v>18</v>
      </c>
      <c r="AK347" s="5">
        <v>10</v>
      </c>
      <c r="AL347" s="5">
        <v>400</v>
      </c>
      <c r="AM347" s="5">
        <v>3.6</v>
      </c>
      <c r="AN347" s="5">
        <v>0</v>
      </c>
      <c r="AO347" s="5">
        <v>1.6</v>
      </c>
      <c r="AP347" s="5">
        <v>20</v>
      </c>
      <c r="AQ347" s="5">
        <v>153</v>
      </c>
      <c r="AR347" s="5">
        <v>312</v>
      </c>
      <c r="AS347" s="5">
        <v>4.8000000000000001E-2</v>
      </c>
      <c r="AT347" s="5">
        <v>0.54</v>
      </c>
      <c r="AU347" s="5">
        <v>17</v>
      </c>
      <c r="AV347" s="5">
        <f>IFERROR(VLOOKUP(IFERROR(VLOOKUP(D347,Mapa_Similitud!$A$2:$B$2000,2,FALSE()),D347),Hoja1!$A$2:$K$1000,2,FALSE()),IFERROR(VLOOKUP(IFERROR(VLOOKUP(D347,Mapa_Similitud!$A$2:$B$2000,2,FALSE()),D347),Omega3_Referencia!$A$2:$E$100,3,FALSE()),0))</f>
        <v>0.25</v>
      </c>
      <c r="AW347" s="3" t="str">
        <f>IFERROR(VLOOKUP(IFERROR(VLOOKUP(D347,Mapa_Similitud!$A$2:$B$2000,2,FALSE()),D347),Hoja1!$A$2:$K$1000,3,FALSE()),IFERROR(VLOOKUP(IFERROR(VLOOKUP(D347,Mapa_Similitud!$A$2:$B$2000,2,FALSE()),D347),Omega3_Referencia!$A$2:$E$100,4,FALSE()),"N/A"))</f>
        <v>EPA/DHA</v>
      </c>
      <c r="AX347" s="5">
        <f>IFERROR(VLOOKUP(IFERROR(VLOOKUP(D347,Mapa_Similitud!$A$2:$B$2000,2,FALSE()),D347),Hoja1!$A$2:$K$1000,5,FALSE()),0)</f>
        <v>0.1</v>
      </c>
      <c r="AY347" s="5">
        <f>IFERROR(VLOOKUP(IFERROR(VLOOKUP(D347,Mapa_Similitud!$A$2:$B$2000,2,FALSE()),D347),Hoja1!$A$2:$K$1000,7,FALSE()),0)</f>
        <v>0</v>
      </c>
      <c r="AZ347" s="5">
        <f>IFERROR(VLOOKUP(IFERROR(VLOOKUP(D347,Mapa_Similitud!$A$2:$B$2000,2,FALSE()),D347),Hoja1!$A$2:$K$1000,9,FALSE()),0)</f>
        <v>0</v>
      </c>
      <c r="BA347" s="25">
        <f t="shared" si="145"/>
        <v>8.6178861788617889E-2</v>
      </c>
      <c r="BB347" s="25">
        <f t="shared" si="146"/>
        <v>0</v>
      </c>
      <c r="BC347" s="25">
        <f t="shared" si="147"/>
        <v>8.1300813008130079E-2</v>
      </c>
      <c r="BD347" s="25">
        <f t="shared" si="148"/>
        <v>2.9268292682926831E-2</v>
      </c>
      <c r="BE347" s="25">
        <f t="shared" si="149"/>
        <v>1.2439024390243902</v>
      </c>
      <c r="BF347" s="25">
        <f t="shared" si="150"/>
        <v>0.7</v>
      </c>
      <c r="BG347" s="25">
        <f t="shared" si="151"/>
        <v>2.5000000000000001E-2</v>
      </c>
      <c r="BH347" s="25">
        <f t="shared" si="152"/>
        <v>0.22222222222222221</v>
      </c>
      <c r="BI347" s="25">
        <f t="shared" si="153"/>
        <v>0.49038461538461536</v>
      </c>
      <c r="BJ347" s="25">
        <f t="shared" si="154"/>
        <v>0</v>
      </c>
      <c r="BK347" s="25">
        <f t="shared" si="155"/>
        <v>0</v>
      </c>
      <c r="BL347" s="25">
        <f t="shared" si="156"/>
        <v>0.65853658536585369</v>
      </c>
      <c r="BM347" s="25">
        <f t="shared" si="157"/>
        <v>0.16260162601626016</v>
      </c>
      <c r="BN347" s="18" t="str">
        <f t="shared" si="163"/>
        <v>Baja fuente de proteína</v>
      </c>
      <c r="BO347" s="18" t="str">
        <f t="shared" si="164"/>
        <v>Baja fuente de fibra</v>
      </c>
      <c r="BP347" s="18" t="str">
        <f t="shared" si="165"/>
        <v>Baja fuente de calcio</v>
      </c>
      <c r="BQ347" s="18" t="str">
        <f t="shared" si="166"/>
        <v>Alta fuente de hierro</v>
      </c>
      <c r="BR347" s="18" t="str">
        <f t="shared" si="167"/>
        <v>Alto en sodio</v>
      </c>
      <c r="BS347" s="6" t="str">
        <f t="shared" si="158"/>
        <v>Neutro</v>
      </c>
      <c r="BT347" s="6" t="str">
        <f t="shared" si="159"/>
        <v>Muy alto en grasas</v>
      </c>
      <c r="BU347" s="18" t="str">
        <f t="shared" si="168"/>
        <v>Equilibrio de líquidos ideal</v>
      </c>
      <c r="BV347" s="18" t="str">
        <f t="shared" si="169"/>
        <v>Baja fuente de magnesio</v>
      </c>
      <c r="BW347" s="18" t="str">
        <f t="shared" si="170"/>
        <v>Ligera fuente de Omega 3</v>
      </c>
      <c r="BX347" s="18" t="str">
        <f t="shared" si="171"/>
        <v>Contiene grasas trans</v>
      </c>
      <c r="BY347" s="18" t="str">
        <f t="shared" si="172"/>
        <v>Bajo poder antioxidante</v>
      </c>
      <c r="BZ347" s="6" t="str">
        <f t="shared" si="160"/>
        <v>Sin probióticos</v>
      </c>
      <c r="CA347" s="18" t="str">
        <f t="shared" si="173"/>
        <v>Moderadamente inflamatorio</v>
      </c>
      <c r="CB347" s="18" t="str">
        <f>IF(ISNUMBER(SEARCH("miel", D347)), "No irritante (Uso condicionado SII)", IF(OR(J347&gt;0, ISNUMBER(SEARCH("cacao", D347)), ISNUMBER(SEARCH("chocolate puro", D347))), "Altamente irritante", IF(OR(AND(O347&gt;15, BI347&gt;1), ISNUMBER(SEARCH("chocolate", D347))), "Moderadamente irritante", "No irritante")))</f>
        <v>No irritante</v>
      </c>
      <c r="CC347" s="6" t="str">
        <f t="shared" si="161"/>
        <v>Exceso relativo de Omega 6</v>
      </c>
    </row>
    <row r="348" spans="1:81" ht="15" customHeight="1" x14ac:dyDescent="0.3">
      <c r="A348" s="2">
        <f t="shared" si="162"/>
        <v>347</v>
      </c>
      <c r="B348" s="3" t="s">
        <v>391</v>
      </c>
      <c r="C348" s="3" t="s">
        <v>462</v>
      </c>
      <c r="D348" s="3" t="s">
        <v>486</v>
      </c>
      <c r="E348" s="3"/>
      <c r="F348" s="4">
        <v>2</v>
      </c>
      <c r="G348" s="5">
        <v>1</v>
      </c>
      <c r="H348" s="5">
        <v>133</v>
      </c>
      <c r="I348" s="5">
        <v>79.7</v>
      </c>
      <c r="J348" s="5">
        <v>0</v>
      </c>
      <c r="K348" s="5">
        <v>10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10.3</v>
      </c>
      <c r="R348" s="5">
        <v>2.4</v>
      </c>
      <c r="S348" s="5">
        <v>2.1</v>
      </c>
      <c r="T348" s="5">
        <v>1.3</v>
      </c>
      <c r="U348" s="5">
        <v>2100</v>
      </c>
      <c r="V348" s="5">
        <v>0</v>
      </c>
      <c r="W348" s="5">
        <v>0</v>
      </c>
      <c r="X348" s="5">
        <v>0</v>
      </c>
      <c r="Y348" s="5">
        <v>0</v>
      </c>
      <c r="Z348" s="5">
        <v>1.2</v>
      </c>
      <c r="AA348" s="5">
        <v>30</v>
      </c>
      <c r="AB348" s="5">
        <v>0.2</v>
      </c>
      <c r="AC348" s="5">
        <v>0.25</v>
      </c>
      <c r="AD348" s="5">
        <v>5.4</v>
      </c>
      <c r="AE348" s="5">
        <v>0.1</v>
      </c>
      <c r="AF348" s="5">
        <v>6</v>
      </c>
      <c r="AG348" s="5">
        <v>8</v>
      </c>
      <c r="AH348" s="5">
        <v>2.2999999999999998</v>
      </c>
      <c r="AI348" s="5">
        <v>0</v>
      </c>
      <c r="AJ348" s="5">
        <v>18</v>
      </c>
      <c r="AK348" s="5">
        <v>10</v>
      </c>
      <c r="AL348" s="5">
        <v>320</v>
      </c>
      <c r="AM348" s="5">
        <v>2.1</v>
      </c>
      <c r="AN348" s="5">
        <v>0</v>
      </c>
      <c r="AO348" s="5">
        <v>1.4</v>
      </c>
      <c r="AP348" s="5">
        <v>17</v>
      </c>
      <c r="AQ348" s="5">
        <v>125</v>
      </c>
      <c r="AR348" s="5">
        <v>240</v>
      </c>
      <c r="AS348" s="5">
        <v>4.3999999999999997E-2</v>
      </c>
      <c r="AT348" s="5">
        <v>0.24</v>
      </c>
      <c r="AU348" s="5">
        <v>9</v>
      </c>
      <c r="AV348" s="5">
        <f>IFERROR(VLOOKUP(IFERROR(VLOOKUP(D348,Mapa_Similitud!$A$2:$B$2000,2,FALSE()),D348),Hoja1!$A$2:$K$1000,2,FALSE()),IFERROR(VLOOKUP(IFERROR(VLOOKUP(D348,Mapa_Similitud!$A$2:$B$2000,2,FALSE()),D348),Omega3_Referencia!$A$2:$E$100,3,FALSE()),0))</f>
        <v>0.25</v>
      </c>
      <c r="AW348" s="3" t="str">
        <f>IFERROR(VLOOKUP(IFERROR(VLOOKUP(D348,Mapa_Similitud!$A$2:$B$2000,2,FALSE()),D348),Hoja1!$A$2:$K$1000,3,FALSE()),IFERROR(VLOOKUP(IFERROR(VLOOKUP(D348,Mapa_Similitud!$A$2:$B$2000,2,FALSE()),D348),Omega3_Referencia!$A$2:$E$100,4,FALSE()),"N/A"))</f>
        <v>EPA/DHA</v>
      </c>
      <c r="AX348" s="5">
        <f>IFERROR(VLOOKUP(IFERROR(VLOOKUP(D348,Mapa_Similitud!$A$2:$B$2000,2,FALSE()),D348),Hoja1!$A$2:$K$1000,5,FALSE()),0)</f>
        <v>0.1</v>
      </c>
      <c r="AY348" s="5">
        <f>IFERROR(VLOOKUP(IFERROR(VLOOKUP(D348,Mapa_Similitud!$A$2:$B$2000,2,FALSE()),D348),Hoja1!$A$2:$K$1000,7,FALSE()),0)</f>
        <v>0</v>
      </c>
      <c r="AZ348" s="5">
        <f>IFERROR(VLOOKUP(IFERROR(VLOOKUP(D348,Mapa_Similitud!$A$2:$B$2000,2,FALSE()),D348),Hoja1!$A$2:$K$1000,9,FALSE()),0)</f>
        <v>0</v>
      </c>
      <c r="BA348" s="25">
        <f t="shared" si="145"/>
        <v>7.5187969924812026E-2</v>
      </c>
      <c r="BB348" s="25">
        <f t="shared" si="146"/>
        <v>0</v>
      </c>
      <c r="BC348" s="25">
        <f t="shared" si="147"/>
        <v>7.5187969924812026E-2</v>
      </c>
      <c r="BD348" s="25">
        <f t="shared" si="148"/>
        <v>1.5789473684210527E-2</v>
      </c>
      <c r="BE348" s="25">
        <f t="shared" si="149"/>
        <v>0.93984962406015038</v>
      </c>
      <c r="BF348" s="25">
        <f t="shared" si="150"/>
        <v>0.54166666666666674</v>
      </c>
      <c r="BG348" s="25">
        <f t="shared" si="151"/>
        <v>3.125E-2</v>
      </c>
      <c r="BH348" s="25">
        <f t="shared" si="152"/>
        <v>0.23300970873786406</v>
      </c>
      <c r="BI348" s="25">
        <f t="shared" si="153"/>
        <v>0.52083333333333337</v>
      </c>
      <c r="BJ348" s="25">
        <f t="shared" si="154"/>
        <v>0</v>
      </c>
      <c r="BK348" s="25">
        <f t="shared" si="155"/>
        <v>0</v>
      </c>
      <c r="BL348" s="25">
        <f t="shared" si="156"/>
        <v>0.6969924812030075</v>
      </c>
      <c r="BM348" s="25">
        <f t="shared" si="157"/>
        <v>0.12781954887218044</v>
      </c>
      <c r="BN348" s="18" t="str">
        <f t="shared" si="163"/>
        <v>Baja fuente de proteína</v>
      </c>
      <c r="BO348" s="18" t="str">
        <f t="shared" si="164"/>
        <v>Baja fuente de fibra</v>
      </c>
      <c r="BP348" s="18" t="str">
        <f t="shared" si="165"/>
        <v>Baja fuente de calcio</v>
      </c>
      <c r="BQ348" s="18" t="str">
        <f t="shared" si="166"/>
        <v>Alta fuente de hierro</v>
      </c>
      <c r="BR348" s="18" t="str">
        <f t="shared" si="167"/>
        <v>Moderado en sodio</v>
      </c>
      <c r="BS348" s="6" t="str">
        <f t="shared" si="158"/>
        <v>Neutro</v>
      </c>
      <c r="BT348" s="6" t="str">
        <f t="shared" si="159"/>
        <v>Muy alto en grasas</v>
      </c>
      <c r="BU348" s="18" t="str">
        <f t="shared" si="168"/>
        <v>Riesgo moderado de retención</v>
      </c>
      <c r="BV348" s="18" t="str">
        <f t="shared" si="169"/>
        <v>Baja fuente de magnesio</v>
      </c>
      <c r="BW348" s="18" t="str">
        <f t="shared" si="170"/>
        <v>Ligera fuente de Omega 3</v>
      </c>
      <c r="BX348" s="18" t="str">
        <f t="shared" si="171"/>
        <v>Contiene grasas trans</v>
      </c>
      <c r="BY348" s="18" t="str">
        <f t="shared" si="172"/>
        <v>Bajo poder antioxidante</v>
      </c>
      <c r="BZ348" s="6" t="str">
        <f t="shared" si="160"/>
        <v>Sin probióticos</v>
      </c>
      <c r="CA348" s="18" t="str">
        <f t="shared" si="173"/>
        <v>Moderadamente inflamatorio</v>
      </c>
      <c r="CB348" s="18" t="str">
        <f>IF(ISNUMBER(SEARCH("miel", D348)), "No irritante (Uso condicionado SII)", IF(OR(J348&gt;0, ISNUMBER(SEARCH("cacao", D348)), ISNUMBER(SEARCH("chocolate puro", D348))), "Altamente irritante", IF(OR(AND(O348&gt;15, BI348&gt;1), ISNUMBER(SEARCH("chocolate", D348))), "Moderadamente irritante", "No irritante")))</f>
        <v>No irritante</v>
      </c>
      <c r="CC348" s="6" t="str">
        <f t="shared" si="161"/>
        <v>Exceso relativo de Omega 6</v>
      </c>
    </row>
    <row r="349" spans="1:81" ht="15" customHeight="1" x14ac:dyDescent="0.3">
      <c r="A349" s="2">
        <f t="shared" si="162"/>
        <v>348</v>
      </c>
      <c r="B349" s="3" t="s">
        <v>391</v>
      </c>
      <c r="C349" s="3" t="s">
        <v>462</v>
      </c>
      <c r="D349" s="3" t="s">
        <v>487</v>
      </c>
      <c r="E349" s="3"/>
      <c r="F349" s="4">
        <v>4</v>
      </c>
      <c r="G349" s="5">
        <v>1</v>
      </c>
      <c r="H349" s="5">
        <v>109</v>
      </c>
      <c r="I349" s="5">
        <v>82.3</v>
      </c>
      <c r="J349" s="5">
        <v>0</v>
      </c>
      <c r="K349" s="5">
        <v>10.1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7.6</v>
      </c>
      <c r="R349" s="5">
        <v>1.8</v>
      </c>
      <c r="S349" s="5">
        <v>1.5</v>
      </c>
      <c r="T349" s="5">
        <v>0.88</v>
      </c>
      <c r="U349" s="5">
        <v>2000</v>
      </c>
      <c r="V349" s="5">
        <v>7</v>
      </c>
      <c r="W349" s="5">
        <v>0</v>
      </c>
      <c r="X349" s="5">
        <v>0</v>
      </c>
      <c r="Y349" s="5">
        <v>0</v>
      </c>
      <c r="Z349" s="5">
        <v>1.2</v>
      </c>
      <c r="AA349" s="5">
        <v>30</v>
      </c>
      <c r="AB349" s="5">
        <v>0.16</v>
      </c>
      <c r="AC349" s="5">
        <v>0.26</v>
      </c>
      <c r="AD349" s="5">
        <v>6</v>
      </c>
      <c r="AE349" s="5">
        <v>0.16</v>
      </c>
      <c r="AF349" s="5">
        <v>13</v>
      </c>
      <c r="AG349" s="5">
        <v>5.7</v>
      </c>
      <c r="AH349" s="5">
        <v>2.2999999999999998</v>
      </c>
      <c r="AI349" s="5">
        <v>6.1</v>
      </c>
      <c r="AJ349" s="5">
        <v>23</v>
      </c>
      <c r="AK349" s="5">
        <v>12</v>
      </c>
      <c r="AL349" s="5">
        <v>350</v>
      </c>
      <c r="AM349" s="5">
        <v>2.5</v>
      </c>
      <c r="AN349" s="5">
        <v>0</v>
      </c>
      <c r="AO349" s="5">
        <v>1.3</v>
      </c>
      <c r="AP349" s="5">
        <v>15</v>
      </c>
      <c r="AQ349" s="5">
        <v>158</v>
      </c>
      <c r="AR349" s="5">
        <v>280</v>
      </c>
      <c r="AS349" s="5">
        <v>0.04</v>
      </c>
      <c r="AT349" s="5">
        <v>0.14000000000000001</v>
      </c>
      <c r="AU349" s="5">
        <v>10</v>
      </c>
      <c r="AV349" s="5">
        <f>IFERROR(VLOOKUP(IFERROR(VLOOKUP(D349,Mapa_Similitud!$A$2:$B$2000,2,FALSE()),D349),Hoja1!$A$2:$K$1000,2,FALSE()),IFERROR(VLOOKUP(IFERROR(VLOOKUP(D349,Mapa_Similitud!$A$2:$B$2000,2,FALSE()),D349),Omega3_Referencia!$A$2:$E$100,3,FALSE()),0))</f>
        <v>0.25</v>
      </c>
      <c r="AW349" s="3" t="str">
        <f>IFERROR(VLOOKUP(IFERROR(VLOOKUP(D349,Mapa_Similitud!$A$2:$B$2000,2,FALSE()),D349),Hoja1!$A$2:$K$1000,3,FALSE()),IFERROR(VLOOKUP(IFERROR(VLOOKUP(D349,Mapa_Similitud!$A$2:$B$2000,2,FALSE()),D349),Omega3_Referencia!$A$2:$E$100,4,FALSE()),"N/A"))</f>
        <v>EPA/DHA</v>
      </c>
      <c r="AX349" s="5">
        <f>IFERROR(VLOOKUP(IFERROR(VLOOKUP(D349,Mapa_Similitud!$A$2:$B$2000,2,FALSE()),D349),Hoja1!$A$2:$K$1000,5,FALSE()),0)</f>
        <v>0.1</v>
      </c>
      <c r="AY349" s="5">
        <f>IFERROR(VLOOKUP(IFERROR(VLOOKUP(D349,Mapa_Similitud!$A$2:$B$2000,2,FALSE()),D349),Hoja1!$A$2:$K$1000,7,FALSE()),0)</f>
        <v>0</v>
      </c>
      <c r="AZ349" s="5">
        <f>IFERROR(VLOOKUP(IFERROR(VLOOKUP(D349,Mapa_Similitud!$A$2:$B$2000,2,FALSE()),D349),Hoja1!$A$2:$K$1000,9,FALSE()),0)</f>
        <v>0</v>
      </c>
      <c r="BA349" s="25">
        <f t="shared" si="145"/>
        <v>9.2660550458715588E-2</v>
      </c>
      <c r="BB349" s="25">
        <f t="shared" si="146"/>
        <v>0</v>
      </c>
      <c r="BC349" s="25">
        <f t="shared" si="147"/>
        <v>0.11009174311926606</v>
      </c>
      <c r="BD349" s="25">
        <f t="shared" si="148"/>
        <v>2.2935779816513763E-2</v>
      </c>
      <c r="BE349" s="25">
        <f t="shared" si="149"/>
        <v>1.4495412844036697</v>
      </c>
      <c r="BF349" s="25">
        <f t="shared" si="150"/>
        <v>0.48888888888888887</v>
      </c>
      <c r="BG349" s="25">
        <f t="shared" si="151"/>
        <v>3.4285714285714287E-2</v>
      </c>
      <c r="BH349" s="25">
        <f t="shared" si="152"/>
        <v>0.23684210526315791</v>
      </c>
      <c r="BI349" s="25">
        <f t="shared" si="153"/>
        <v>0.56428571428571428</v>
      </c>
      <c r="BJ349" s="25">
        <f t="shared" si="154"/>
        <v>0</v>
      </c>
      <c r="BK349" s="25">
        <f t="shared" si="155"/>
        <v>0</v>
      </c>
      <c r="BL349" s="25">
        <f t="shared" si="156"/>
        <v>0.62752293577981644</v>
      </c>
      <c r="BM349" s="25">
        <f t="shared" si="157"/>
        <v>0.13761467889908258</v>
      </c>
      <c r="BN349" s="18" t="str">
        <f t="shared" si="163"/>
        <v>Baja fuente de proteína</v>
      </c>
      <c r="BO349" s="18" t="str">
        <f t="shared" si="164"/>
        <v>Baja fuente de fibra</v>
      </c>
      <c r="BP349" s="18" t="str">
        <f t="shared" si="165"/>
        <v>Baja fuente de calcio</v>
      </c>
      <c r="BQ349" s="18" t="str">
        <f t="shared" si="166"/>
        <v>Alta fuente de hierro</v>
      </c>
      <c r="BR349" s="18" t="str">
        <f t="shared" si="167"/>
        <v>Alto en sodio</v>
      </c>
      <c r="BS349" s="6" t="str">
        <f t="shared" si="158"/>
        <v>Proinflamatorio</v>
      </c>
      <c r="BT349" s="6" t="str">
        <f t="shared" si="159"/>
        <v>Muy alto en grasas</v>
      </c>
      <c r="BU349" s="18" t="str">
        <f t="shared" si="168"/>
        <v>Riesgo moderado de retención</v>
      </c>
      <c r="BV349" s="18" t="str">
        <f t="shared" si="169"/>
        <v>Baja fuente de magnesio</v>
      </c>
      <c r="BW349" s="18" t="str">
        <f t="shared" si="170"/>
        <v>Ligera fuente de Omega 3</v>
      </c>
      <c r="BX349" s="18" t="str">
        <f t="shared" si="171"/>
        <v>Contiene grasas trans</v>
      </c>
      <c r="BY349" s="18" t="str">
        <f t="shared" si="172"/>
        <v>Bajo poder antioxidante</v>
      </c>
      <c r="BZ349" s="6" t="str">
        <f t="shared" si="160"/>
        <v>Sin probióticos</v>
      </c>
      <c r="CA349" s="18" t="str">
        <f t="shared" si="173"/>
        <v>Moderadamente inflamatorio</v>
      </c>
      <c r="CB349" s="18" t="str">
        <f>IF(ISNUMBER(SEARCH("miel", D349)), "No irritante (Uso condicionado SII)", IF(OR(J349&gt;0, ISNUMBER(SEARCH("cacao", D349)), ISNUMBER(SEARCH("chocolate puro", D349))), "Altamente irritante", IF(OR(AND(O349&gt;15, BI349&gt;1), ISNUMBER(SEARCH("chocolate", D349))), "Moderadamente irritante", "No irritante")))</f>
        <v>No irritante</v>
      </c>
      <c r="CC349" s="6" t="str">
        <f t="shared" si="161"/>
        <v>Balance de omegas favorable</v>
      </c>
    </row>
    <row r="350" spans="1:81" ht="15" customHeight="1" x14ac:dyDescent="0.3">
      <c r="A350" s="2">
        <f t="shared" si="162"/>
        <v>349</v>
      </c>
      <c r="B350" s="3" t="s">
        <v>488</v>
      </c>
      <c r="C350" s="3" t="s">
        <v>489</v>
      </c>
      <c r="D350" s="3" t="s">
        <v>490</v>
      </c>
      <c r="E350" s="3"/>
      <c r="F350" s="4">
        <v>6</v>
      </c>
      <c r="G350" s="5">
        <v>0.25</v>
      </c>
      <c r="H350" s="5">
        <v>76.599999999999994</v>
      </c>
      <c r="I350" s="5">
        <v>82.1</v>
      </c>
      <c r="J350" s="5">
        <v>0</v>
      </c>
      <c r="K350" s="5">
        <v>15.4</v>
      </c>
      <c r="L350" s="5">
        <v>1.5</v>
      </c>
      <c r="M350" s="5">
        <v>0</v>
      </c>
      <c r="N350" s="5">
        <v>1.5</v>
      </c>
      <c r="O350" s="5">
        <v>0</v>
      </c>
      <c r="P350" s="5">
        <v>0</v>
      </c>
      <c r="Q350" s="5">
        <v>1</v>
      </c>
      <c r="R350" s="5">
        <v>0.3</v>
      </c>
      <c r="S350" s="5">
        <v>0.2</v>
      </c>
      <c r="T350" s="5">
        <v>0.2</v>
      </c>
      <c r="U350" s="5">
        <v>34</v>
      </c>
      <c r="V350" s="5">
        <v>90</v>
      </c>
      <c r="W350" s="5">
        <v>90</v>
      </c>
      <c r="X350" s="5">
        <v>0</v>
      </c>
      <c r="Y350" s="5">
        <v>0</v>
      </c>
      <c r="Z350" s="5">
        <v>0.4</v>
      </c>
      <c r="AA350" s="5">
        <v>0.1</v>
      </c>
      <c r="AB350" s="5">
        <v>0.03</v>
      </c>
      <c r="AC350" s="5">
        <v>0.21</v>
      </c>
      <c r="AD350" s="5">
        <v>4.2</v>
      </c>
      <c r="AE350" s="5">
        <v>0.14000000000000001</v>
      </c>
      <c r="AF350" s="5">
        <v>16</v>
      </c>
      <c r="AG350" s="5">
        <v>0</v>
      </c>
      <c r="AH350" s="5">
        <v>0.36</v>
      </c>
      <c r="AI350" s="5">
        <v>0</v>
      </c>
      <c r="AJ350" s="5">
        <v>0</v>
      </c>
      <c r="AK350" s="5">
        <v>46</v>
      </c>
      <c r="AL350" s="5">
        <v>169</v>
      </c>
      <c r="AM350" s="5">
        <v>14</v>
      </c>
      <c r="AN350" s="5">
        <v>27</v>
      </c>
      <c r="AO350" s="5">
        <v>1.2</v>
      </c>
      <c r="AP350" s="5">
        <v>51</v>
      </c>
      <c r="AQ350" s="5">
        <v>56</v>
      </c>
      <c r="AR350" s="5">
        <v>314</v>
      </c>
      <c r="AS350" s="5">
        <v>0.5</v>
      </c>
      <c r="AT350" s="5">
        <v>0.34</v>
      </c>
      <c r="AU350" s="5">
        <v>24.3</v>
      </c>
      <c r="AV350" s="5">
        <f>IFERROR(VLOOKUP(IFERROR(VLOOKUP(D350,Mapa_Similitud!$A$2:$B$2000,2,FALSE()),D350),Hoja1!$A$2:$K$1000,2,FALSE()),IFERROR(VLOOKUP(IFERROR(VLOOKUP(D350,Mapa_Similitud!$A$2:$B$2000,2,FALSE()),D350),Omega3_Referencia!$A$2:$E$100,3,FALSE()),0))</f>
        <v>0.18</v>
      </c>
      <c r="AW350" s="3" t="str">
        <f>IFERROR(VLOOKUP(IFERROR(VLOOKUP(D350,Mapa_Similitud!$A$2:$B$2000,2,FALSE()),D350),Hoja1!$A$2:$K$1000,3,FALSE()),IFERROR(VLOOKUP(IFERROR(VLOOKUP(D350,Mapa_Similitud!$A$2:$B$2000,2,FALSE()),D350),Omega3_Referencia!$A$2:$E$100,4,FALSE()),"N/A"))</f>
        <v>EPA/DHA</v>
      </c>
      <c r="AX350" s="5">
        <f>IFERROR(VLOOKUP(IFERROR(VLOOKUP(D350,Mapa_Similitud!$A$2:$B$2000,2,FALSE()),D350),Hoja1!$A$2:$K$1000,5,FALSE()),0)</f>
        <v>0</v>
      </c>
      <c r="AY350" s="5">
        <f>IFERROR(VLOOKUP(IFERROR(VLOOKUP(D350,Mapa_Similitud!$A$2:$B$2000,2,FALSE()),D350),Hoja1!$A$2:$K$1000,7,FALSE()),0)</f>
        <v>0</v>
      </c>
      <c r="AZ350" s="5">
        <f>IFERROR(VLOOKUP(IFERROR(VLOOKUP(D350,Mapa_Similitud!$A$2:$B$2000,2,FALSE()),D350),Hoja1!$A$2:$K$1000,9,FALSE()),0)</f>
        <v>0</v>
      </c>
      <c r="BA350" s="25">
        <f t="shared" si="145"/>
        <v>0.20104438642297653</v>
      </c>
      <c r="BB350" s="25">
        <f t="shared" si="146"/>
        <v>0</v>
      </c>
      <c r="BC350" s="25">
        <f t="shared" si="147"/>
        <v>0.60052219321148825</v>
      </c>
      <c r="BD350" s="25">
        <f t="shared" si="148"/>
        <v>0.18276762402088775</v>
      </c>
      <c r="BE350" s="25">
        <f t="shared" si="149"/>
        <v>0.73107049608355101</v>
      </c>
      <c r="BF350" s="25">
        <f t="shared" si="150"/>
        <v>0.66666666666666674</v>
      </c>
      <c r="BG350" s="25">
        <f t="shared" si="151"/>
        <v>0.27218934911242604</v>
      </c>
      <c r="BH350" s="25">
        <f t="shared" si="152"/>
        <v>0.3</v>
      </c>
      <c r="BI350" s="25">
        <f t="shared" si="153"/>
        <v>0.17834394904458598</v>
      </c>
      <c r="BJ350" s="25">
        <f t="shared" si="154"/>
        <v>1</v>
      </c>
      <c r="BK350" s="25">
        <f t="shared" si="155"/>
        <v>0</v>
      </c>
      <c r="BL350" s="25">
        <f t="shared" si="156"/>
        <v>0.1174934725848564</v>
      </c>
      <c r="BM350" s="25">
        <f t="shared" si="157"/>
        <v>0.66579634464751958</v>
      </c>
      <c r="BN350" s="18" t="str">
        <f t="shared" si="163"/>
        <v>Muy alta fuente de proteína</v>
      </c>
      <c r="BO350" s="18" t="str">
        <f t="shared" si="164"/>
        <v>Baja fuente de fibra</v>
      </c>
      <c r="BP350" s="18" t="str">
        <f t="shared" si="165"/>
        <v>Baja fuente de calcio</v>
      </c>
      <c r="BQ350" s="18" t="str">
        <f t="shared" si="166"/>
        <v>Alta fuente de hierro</v>
      </c>
      <c r="BR350" s="18" t="str">
        <f t="shared" si="167"/>
        <v>Moderado en sodio</v>
      </c>
      <c r="BS350" s="6" t="str">
        <f t="shared" si="158"/>
        <v>Neutro</v>
      </c>
      <c r="BT350" s="6" t="str">
        <f t="shared" si="159"/>
        <v>Bajo en grasas</v>
      </c>
      <c r="BU350" s="18" t="str">
        <f t="shared" si="168"/>
        <v>Equilibrio de líquidos ideal</v>
      </c>
      <c r="BV350" s="18" t="str">
        <f t="shared" si="169"/>
        <v>Alta fuente de magnesio</v>
      </c>
      <c r="BW350" s="18" t="str">
        <f t="shared" si="170"/>
        <v>Ligera fuente de Omega 3</v>
      </c>
      <c r="BX350" s="18" t="str">
        <f t="shared" si="171"/>
        <v>Libre de grasas trans</v>
      </c>
      <c r="BY350" s="18" t="str">
        <f t="shared" si="172"/>
        <v>Bajo poder antioxidante</v>
      </c>
      <c r="BZ350" s="6" t="str">
        <f t="shared" si="160"/>
        <v>Sin probióticos</v>
      </c>
      <c r="CA350" s="18" t="str">
        <f t="shared" si="173"/>
        <v>Poco inflamatorio</v>
      </c>
      <c r="CB350" s="18" t="str">
        <f>IF(ISNUMBER(SEARCH("miel", D350)), "No irritante (Uso condicionado SII)", IF(OR(J350&gt;0, ISNUMBER(SEARCH("cacao", D350)), ISNUMBER(SEARCH("chocolate puro", D350))), "Altamente irritante", IF(OR(AND(O350&gt;15, BI350&gt;1), ISNUMBER(SEARCH("chocolate", D350))), "Moderadamente irritante", "No irritante")))</f>
        <v>No irritante</v>
      </c>
      <c r="CC350" s="6" t="str">
        <f t="shared" si="161"/>
        <v>Balance de omegas favorable</v>
      </c>
    </row>
    <row r="351" spans="1:81" ht="15" customHeight="1" x14ac:dyDescent="0.3">
      <c r="A351" s="2">
        <f t="shared" si="162"/>
        <v>350</v>
      </c>
      <c r="B351" s="3" t="s">
        <v>488</v>
      </c>
      <c r="C351" s="3" t="s">
        <v>489</v>
      </c>
      <c r="D351" s="3" t="s">
        <v>491</v>
      </c>
      <c r="E351" s="3"/>
      <c r="F351" s="4">
        <v>3.5</v>
      </c>
      <c r="G351" s="5">
        <v>0.2</v>
      </c>
      <c r="H351" s="5">
        <v>82.6</v>
      </c>
      <c r="I351" s="5">
        <v>80.599999999999994</v>
      </c>
      <c r="J351" s="5">
        <v>0</v>
      </c>
      <c r="K351" s="5">
        <v>16.899999999999999</v>
      </c>
      <c r="L351" s="5">
        <v>1.5</v>
      </c>
      <c r="M351" s="5">
        <v>0</v>
      </c>
      <c r="N351" s="5">
        <v>1.5</v>
      </c>
      <c r="O351" s="5">
        <v>0</v>
      </c>
      <c r="P351" s="5">
        <v>0</v>
      </c>
      <c r="Q351" s="5">
        <v>1</v>
      </c>
      <c r="R351" s="5">
        <v>0.3</v>
      </c>
      <c r="S351" s="5">
        <v>0.2</v>
      </c>
      <c r="T351" s="5">
        <v>0.2</v>
      </c>
      <c r="U351" s="5">
        <v>34</v>
      </c>
      <c r="V351" s="5">
        <v>0</v>
      </c>
      <c r="W351" s="5">
        <v>0</v>
      </c>
      <c r="X351" s="5">
        <v>0</v>
      </c>
      <c r="Y351" s="5">
        <v>0</v>
      </c>
      <c r="Z351" s="5">
        <v>0.4</v>
      </c>
      <c r="AA351" s="5">
        <v>0.1</v>
      </c>
      <c r="AB351" s="5">
        <v>0.03</v>
      </c>
      <c r="AC351" s="5">
        <v>0.08</v>
      </c>
      <c r="AD351" s="5">
        <v>4.2</v>
      </c>
      <c r="AE351" s="5">
        <v>0.1</v>
      </c>
      <c r="AF351" s="5">
        <v>17</v>
      </c>
      <c r="AG351" s="5">
        <v>0</v>
      </c>
      <c r="AH351" s="5">
        <v>0.36</v>
      </c>
      <c r="AI351" s="5">
        <v>0</v>
      </c>
      <c r="AJ351" s="5">
        <v>0</v>
      </c>
      <c r="AK351" s="5">
        <v>46</v>
      </c>
      <c r="AL351" s="5">
        <v>169</v>
      </c>
      <c r="AM351" s="5">
        <v>14</v>
      </c>
      <c r="AN351" s="5">
        <v>27</v>
      </c>
      <c r="AO351" s="5">
        <v>1.2</v>
      </c>
      <c r="AP351" s="5">
        <v>51</v>
      </c>
      <c r="AQ351" s="5">
        <v>56</v>
      </c>
      <c r="AR351" s="5">
        <v>314</v>
      </c>
      <c r="AS351" s="5">
        <v>0.5</v>
      </c>
      <c r="AT351" s="5">
        <v>0.34</v>
      </c>
      <c r="AU351" s="5">
        <v>24.3</v>
      </c>
      <c r="AV351" s="5">
        <f>IFERROR(VLOOKUP(IFERROR(VLOOKUP(D351,Mapa_Similitud!$A$2:$B$2000,2,FALSE()),D351),Hoja1!$A$2:$K$1000,2,FALSE()),IFERROR(VLOOKUP(IFERROR(VLOOKUP(D351,Mapa_Similitud!$A$2:$B$2000,2,FALSE()),D351),Omega3_Referencia!$A$2:$E$100,3,FALSE()),0))</f>
        <v>0.18</v>
      </c>
      <c r="AW351" s="3" t="str">
        <f>IFERROR(VLOOKUP(IFERROR(VLOOKUP(D351,Mapa_Similitud!$A$2:$B$2000,2,FALSE()),D351),Hoja1!$A$2:$K$1000,3,FALSE()),IFERROR(VLOOKUP(IFERROR(VLOOKUP(D351,Mapa_Similitud!$A$2:$B$2000,2,FALSE()),D351),Omega3_Referencia!$A$2:$E$100,4,FALSE()),"N/A"))</f>
        <v>EPA/DHA</v>
      </c>
      <c r="AX351" s="5">
        <f>IFERROR(VLOOKUP(IFERROR(VLOOKUP(D351,Mapa_Similitud!$A$2:$B$2000,2,FALSE()),D351),Hoja1!$A$2:$K$1000,5,FALSE()),0)</f>
        <v>0</v>
      </c>
      <c r="AY351" s="5">
        <f>IFERROR(VLOOKUP(IFERROR(VLOOKUP(D351,Mapa_Similitud!$A$2:$B$2000,2,FALSE()),D351),Hoja1!$A$2:$K$1000,7,FALSE()),0)</f>
        <v>0</v>
      </c>
      <c r="AZ351" s="5">
        <f>IFERROR(VLOOKUP(IFERROR(VLOOKUP(D351,Mapa_Similitud!$A$2:$B$2000,2,FALSE()),D351),Hoja1!$A$2:$K$1000,9,FALSE()),0)</f>
        <v>0</v>
      </c>
      <c r="BA351" s="25">
        <f t="shared" si="145"/>
        <v>0.20460048426150121</v>
      </c>
      <c r="BB351" s="25">
        <f t="shared" si="146"/>
        <v>0</v>
      </c>
      <c r="BC351" s="25">
        <f t="shared" si="147"/>
        <v>0.55690072639225185</v>
      </c>
      <c r="BD351" s="25">
        <f t="shared" si="148"/>
        <v>0.16949152542372883</v>
      </c>
      <c r="BE351" s="25">
        <f t="shared" si="149"/>
        <v>0.67796610169491534</v>
      </c>
      <c r="BF351" s="25">
        <f t="shared" si="150"/>
        <v>0.66666666666666674</v>
      </c>
      <c r="BG351" s="25">
        <f t="shared" si="151"/>
        <v>0.27218934911242604</v>
      </c>
      <c r="BH351" s="25">
        <f t="shared" si="152"/>
        <v>0.3</v>
      </c>
      <c r="BI351" s="25">
        <f t="shared" si="153"/>
        <v>0.17834394904458598</v>
      </c>
      <c r="BJ351" s="25">
        <f t="shared" si="154"/>
        <v>1</v>
      </c>
      <c r="BK351" s="25">
        <f t="shared" si="155"/>
        <v>0</v>
      </c>
      <c r="BL351" s="25">
        <f t="shared" si="156"/>
        <v>0.10895883777239711</v>
      </c>
      <c r="BM351" s="25">
        <f t="shared" si="157"/>
        <v>0.61743341404358354</v>
      </c>
      <c r="BN351" s="18" t="str">
        <f t="shared" si="163"/>
        <v>Muy alta fuente de proteína</v>
      </c>
      <c r="BO351" s="18" t="str">
        <f t="shared" si="164"/>
        <v>Baja fuente de fibra</v>
      </c>
      <c r="BP351" s="18" t="str">
        <f t="shared" si="165"/>
        <v>Baja fuente de calcio</v>
      </c>
      <c r="BQ351" s="18" t="str">
        <f t="shared" si="166"/>
        <v>Alta fuente de hierro</v>
      </c>
      <c r="BR351" s="18" t="str">
        <f t="shared" si="167"/>
        <v>Moderado en sodio</v>
      </c>
      <c r="BS351" s="6" t="str">
        <f t="shared" si="158"/>
        <v>Neutro</v>
      </c>
      <c r="BT351" s="6" t="str">
        <f t="shared" si="159"/>
        <v>Bajo en grasas</v>
      </c>
      <c r="BU351" s="18" t="str">
        <f t="shared" si="168"/>
        <v>Equilibrio de líquidos ideal</v>
      </c>
      <c r="BV351" s="18" t="str">
        <f t="shared" si="169"/>
        <v>Alta fuente de magnesio</v>
      </c>
      <c r="BW351" s="18" t="str">
        <f t="shared" si="170"/>
        <v>Ligera fuente de Omega 3</v>
      </c>
      <c r="BX351" s="18" t="str">
        <f t="shared" si="171"/>
        <v>Libre de grasas trans</v>
      </c>
      <c r="BY351" s="18" t="str">
        <f t="shared" si="172"/>
        <v>Bajo poder antioxidante</v>
      </c>
      <c r="BZ351" s="6" t="str">
        <f t="shared" si="160"/>
        <v>Sin probióticos</v>
      </c>
      <c r="CA351" s="18" t="str">
        <f t="shared" si="173"/>
        <v>Poco inflamatorio</v>
      </c>
      <c r="CB351" s="18" t="str">
        <f>IF(ISNUMBER(SEARCH("miel", D351)), "No irritante (Uso condicionado SII)", IF(OR(J351&gt;0, ISNUMBER(SEARCH("cacao", D351)), ISNUMBER(SEARCH("chocolate puro", D351))), "Altamente irritante", IF(OR(AND(O351&gt;15, BI351&gt;1), ISNUMBER(SEARCH("chocolate", D351))), "Moderadamente irritante", "No irritante")))</f>
        <v>No irritante</v>
      </c>
      <c r="CC351" s="6" t="str">
        <f t="shared" si="161"/>
        <v>Balance de omegas favorable</v>
      </c>
    </row>
    <row r="352" spans="1:81" ht="15" customHeight="1" x14ac:dyDescent="0.3">
      <c r="A352" s="2">
        <f t="shared" si="162"/>
        <v>351</v>
      </c>
      <c r="B352" s="3" t="s">
        <v>488</v>
      </c>
      <c r="C352" s="3" t="s">
        <v>489</v>
      </c>
      <c r="D352" s="3" t="s">
        <v>492</v>
      </c>
      <c r="E352" s="3"/>
      <c r="F352" s="4">
        <v>2</v>
      </c>
      <c r="G352" s="5">
        <v>0.3</v>
      </c>
      <c r="H352" s="5">
        <v>83.5</v>
      </c>
      <c r="I352" s="5">
        <v>79.400000000000006</v>
      </c>
      <c r="J352" s="5">
        <v>0</v>
      </c>
      <c r="K352" s="5">
        <v>15.9</v>
      </c>
      <c r="L352" s="5">
        <v>0.7</v>
      </c>
      <c r="M352" s="5">
        <v>0</v>
      </c>
      <c r="N352" s="5">
        <v>0.7</v>
      </c>
      <c r="O352" s="5">
        <v>0</v>
      </c>
      <c r="P352" s="5">
        <v>0</v>
      </c>
      <c r="Q352" s="5">
        <v>1.9</v>
      </c>
      <c r="R352" s="5">
        <v>0.24</v>
      </c>
      <c r="S352" s="5">
        <v>0.45</v>
      </c>
      <c r="T352" s="5">
        <v>0.68</v>
      </c>
      <c r="U352" s="5">
        <v>89</v>
      </c>
      <c r="V352" s="5">
        <v>1</v>
      </c>
      <c r="W352" s="5">
        <v>1</v>
      </c>
      <c r="X352" s="5">
        <v>0</v>
      </c>
      <c r="Y352" s="5">
        <v>0</v>
      </c>
      <c r="Z352" s="5">
        <v>1.5</v>
      </c>
      <c r="AA352" s="5">
        <v>0.04</v>
      </c>
      <c r="AB352" s="5">
        <v>0.13</v>
      </c>
      <c r="AC352" s="5">
        <v>8.7999999999999995E-2</v>
      </c>
      <c r="AD352" s="5">
        <v>3.4</v>
      </c>
      <c r="AE352" s="5">
        <v>0.06</v>
      </c>
      <c r="AF352" s="5">
        <v>16</v>
      </c>
      <c r="AG352" s="5">
        <v>0.95</v>
      </c>
      <c r="AH352" s="5">
        <v>2.4</v>
      </c>
      <c r="AI352" s="5">
        <v>4.5</v>
      </c>
      <c r="AJ352" s="5">
        <v>3</v>
      </c>
      <c r="AK352" s="5">
        <v>61</v>
      </c>
      <c r="AL352" s="5">
        <v>234</v>
      </c>
      <c r="AM352" s="5">
        <v>1</v>
      </c>
      <c r="AN352" s="5">
        <v>100</v>
      </c>
      <c r="AO352" s="5">
        <v>1.6</v>
      </c>
      <c r="AP352" s="5">
        <v>24</v>
      </c>
      <c r="AQ352" s="5">
        <v>270</v>
      </c>
      <c r="AR352" s="5">
        <v>220</v>
      </c>
      <c r="AS352" s="5">
        <v>3.4000000000000002E-2</v>
      </c>
      <c r="AT352" s="5">
        <v>0.7</v>
      </c>
      <c r="AU352" s="5">
        <v>130</v>
      </c>
      <c r="AV352" s="5">
        <f>IFERROR(VLOOKUP(IFERROR(VLOOKUP(D352,Mapa_Similitud!$A$2:$B$2000,2,FALSE()),D352),Hoja1!$A$2:$K$1000,2,FALSE()),IFERROR(VLOOKUP(IFERROR(VLOOKUP(D352,Mapa_Similitud!$A$2:$B$2000,2,FALSE()),D352),Omega3_Referencia!$A$2:$E$100,3,FALSE()),0))</f>
        <v>7.0000000000000007E-2</v>
      </c>
      <c r="AW352" s="3" t="str">
        <f>IFERROR(VLOOKUP(IFERROR(VLOOKUP(D352,Mapa_Similitud!$A$2:$B$2000,2,FALSE()),D352),Hoja1!$A$2:$K$1000,3,FALSE()),IFERROR(VLOOKUP(IFERROR(VLOOKUP(D352,Mapa_Similitud!$A$2:$B$2000,2,FALSE()),D352),Omega3_Referencia!$A$2:$E$100,4,FALSE()),"N/A"))</f>
        <v>EPA/DHA</v>
      </c>
      <c r="AX352" s="5">
        <f>IFERROR(VLOOKUP(IFERROR(VLOOKUP(D352,Mapa_Similitud!$A$2:$B$2000,2,FALSE()),D352),Hoja1!$A$2:$K$1000,5,FALSE()),0)</f>
        <v>0</v>
      </c>
      <c r="AY352" s="5">
        <f>IFERROR(VLOOKUP(IFERROR(VLOOKUP(D352,Mapa_Similitud!$A$2:$B$2000,2,FALSE()),D352),Hoja1!$A$2:$K$1000,7,FALSE()),0)</f>
        <v>0</v>
      </c>
      <c r="AZ352" s="5">
        <f>IFERROR(VLOOKUP(IFERROR(VLOOKUP(D352,Mapa_Similitud!$A$2:$B$2000,2,FALSE()),D352),Hoja1!$A$2:$K$1000,9,FALSE()),0)</f>
        <v>0</v>
      </c>
      <c r="BA352" s="25">
        <f t="shared" si="145"/>
        <v>0.19041916167664671</v>
      </c>
      <c r="BB352" s="25">
        <f t="shared" si="146"/>
        <v>0</v>
      </c>
      <c r="BC352" s="25">
        <f t="shared" si="147"/>
        <v>0.73053892215568861</v>
      </c>
      <c r="BD352" s="25">
        <f t="shared" si="148"/>
        <v>1.1976047904191617E-2</v>
      </c>
      <c r="BE352" s="25">
        <f t="shared" si="149"/>
        <v>3.2335329341317367</v>
      </c>
      <c r="BF352" s="25">
        <f t="shared" si="150"/>
        <v>2.8333333333333335</v>
      </c>
      <c r="BG352" s="25">
        <f t="shared" si="151"/>
        <v>0.2606837606837607</v>
      </c>
      <c r="BH352" s="25">
        <f t="shared" si="152"/>
        <v>0.12631578947368421</v>
      </c>
      <c r="BI352" s="25">
        <f t="shared" si="153"/>
        <v>1.2272727272727273</v>
      </c>
      <c r="BJ352" s="25">
        <f t="shared" si="154"/>
        <v>1</v>
      </c>
      <c r="BK352" s="25">
        <f t="shared" si="155"/>
        <v>0</v>
      </c>
      <c r="BL352" s="25">
        <f t="shared" si="156"/>
        <v>0.20479041916167662</v>
      </c>
      <c r="BM352" s="25">
        <f t="shared" si="157"/>
        <v>0.28742514970059879</v>
      </c>
      <c r="BN352" s="18" t="str">
        <f t="shared" si="163"/>
        <v>Alta fuente de proteína</v>
      </c>
      <c r="BO352" s="18" t="str">
        <f t="shared" si="164"/>
        <v>Baja fuente de fibra</v>
      </c>
      <c r="BP352" s="18" t="str">
        <f t="shared" si="165"/>
        <v>Baja fuente de calcio</v>
      </c>
      <c r="BQ352" s="18" t="str">
        <f t="shared" si="166"/>
        <v>Media fuente de hierro</v>
      </c>
      <c r="BR352" s="18" t="str">
        <f t="shared" si="167"/>
        <v>Muy alto en sodio</v>
      </c>
      <c r="BS352" s="6" t="str">
        <f t="shared" si="158"/>
        <v>Altamente antiinflamatorio</v>
      </c>
      <c r="BT352" s="6" t="str">
        <f t="shared" si="159"/>
        <v>Moderado en grasas</v>
      </c>
      <c r="BU352" s="18" t="str">
        <f t="shared" si="168"/>
        <v>Alto riesgo de retención de líquidos</v>
      </c>
      <c r="BV352" s="18" t="str">
        <f t="shared" si="169"/>
        <v>Media fuente de magnesio</v>
      </c>
      <c r="BW352" s="18" t="str">
        <f t="shared" si="170"/>
        <v>Sin aporte de Omega 3</v>
      </c>
      <c r="BX352" s="18" t="str">
        <f t="shared" si="171"/>
        <v>Libre de grasas trans</v>
      </c>
      <c r="BY352" s="18" t="str">
        <f t="shared" si="172"/>
        <v>Bajo poder antioxidante</v>
      </c>
      <c r="BZ352" s="6" t="str">
        <f t="shared" si="160"/>
        <v>Sin probióticos</v>
      </c>
      <c r="CA352" s="18" t="str">
        <f t="shared" si="173"/>
        <v>Poco inflamatorio</v>
      </c>
      <c r="CB352" s="18" t="str">
        <f>IF(ISNUMBER(SEARCH("miel", D352)), "No irritante (Uso condicionado SII)", IF(OR(J352&gt;0, ISNUMBER(SEARCH("cacao", D352)), ISNUMBER(SEARCH("chocolate puro", D352))), "Altamente irritante", IF(OR(AND(O352&gt;15, BI352&gt;1), ISNUMBER(SEARCH("chocolate", D352))), "Moderadamente irritante", "No irritante")))</f>
        <v>No irritante</v>
      </c>
      <c r="CC352" s="6" t="str">
        <f t="shared" si="161"/>
        <v>Exceso relativo de Omega 6</v>
      </c>
    </row>
    <row r="353" spans="1:81" ht="15" customHeight="1" x14ac:dyDescent="0.3">
      <c r="A353" s="2">
        <f t="shared" si="162"/>
        <v>352</v>
      </c>
      <c r="B353" s="3" t="s">
        <v>488</v>
      </c>
      <c r="C353" s="3" t="s">
        <v>489</v>
      </c>
      <c r="D353" s="3" t="s">
        <v>493</v>
      </c>
      <c r="E353" s="3"/>
      <c r="F353" s="4">
        <v>8</v>
      </c>
      <c r="G353" s="5">
        <v>0.7</v>
      </c>
      <c r="H353" s="5">
        <v>80.599999999999994</v>
      </c>
      <c r="I353" s="5">
        <v>81.7</v>
      </c>
      <c r="J353" s="5">
        <v>0</v>
      </c>
      <c r="K353" s="5">
        <v>16.3</v>
      </c>
      <c r="L353" s="5">
        <v>0.7</v>
      </c>
      <c r="M353" s="5">
        <v>0</v>
      </c>
      <c r="N353" s="5">
        <v>0.7</v>
      </c>
      <c r="O353" s="5">
        <v>0</v>
      </c>
      <c r="P353" s="5">
        <v>0</v>
      </c>
      <c r="Q353" s="5">
        <v>1.4</v>
      </c>
      <c r="R353" s="5">
        <v>0.41</v>
      </c>
      <c r="S353" s="5">
        <v>0.1</v>
      </c>
      <c r="T353" s="5">
        <v>0.5</v>
      </c>
      <c r="U353" s="5">
        <v>168</v>
      </c>
      <c r="V353" s="5">
        <v>77</v>
      </c>
      <c r="W353" s="5">
        <v>77</v>
      </c>
      <c r="X353" s="5">
        <v>0</v>
      </c>
      <c r="Y353" s="5">
        <v>0</v>
      </c>
      <c r="Z353" s="5">
        <v>2.7</v>
      </c>
      <c r="AA353" s="5">
        <v>7.0000000000000007E-2</v>
      </c>
      <c r="AB353" s="5">
        <v>7.0000000000000007E-2</v>
      </c>
      <c r="AC353" s="5">
        <v>0.15</v>
      </c>
      <c r="AD353" s="5">
        <v>7</v>
      </c>
      <c r="AE353" s="5">
        <v>0.03</v>
      </c>
      <c r="AF353" s="5">
        <v>5.0999999999999996</v>
      </c>
      <c r="AG353" s="5">
        <v>1.3</v>
      </c>
      <c r="AH353" s="5">
        <v>0.5</v>
      </c>
      <c r="AI353" s="5">
        <v>0</v>
      </c>
      <c r="AJ353" s="5">
        <v>0</v>
      </c>
      <c r="AK353" s="5">
        <v>144</v>
      </c>
      <c r="AL353" s="5">
        <v>190</v>
      </c>
      <c r="AM353" s="5">
        <v>0.32</v>
      </c>
      <c r="AN353" s="5">
        <v>64</v>
      </c>
      <c r="AO353" s="5">
        <v>1.1000000000000001</v>
      </c>
      <c r="AP353" s="5">
        <v>37.799999999999997</v>
      </c>
      <c r="AQ353" s="5">
        <v>110</v>
      </c>
      <c r="AR353" s="5">
        <v>280</v>
      </c>
      <c r="AS353" s="5">
        <v>3.5000000000000003E-2</v>
      </c>
      <c r="AT353" s="5">
        <v>0.59</v>
      </c>
      <c r="AU353" s="5">
        <v>44.8</v>
      </c>
      <c r="AV353" s="5">
        <f>IFERROR(VLOOKUP(IFERROR(VLOOKUP(D353,Mapa_Similitud!$A$2:$B$2000,2,FALSE()),D353),Hoja1!$A$2:$K$1000,2,FALSE()),IFERROR(VLOOKUP(IFERROR(VLOOKUP(D353,Mapa_Similitud!$A$2:$B$2000,2,FALSE()),D353),Omega3_Referencia!$A$2:$E$100,3,FALSE()),0))</f>
        <v>0.35</v>
      </c>
      <c r="AW353" s="3" t="str">
        <f>IFERROR(VLOOKUP(IFERROR(VLOOKUP(D353,Mapa_Similitud!$A$2:$B$2000,2,FALSE()),D353),Hoja1!$A$2:$K$1000,3,FALSE()),IFERROR(VLOOKUP(IFERROR(VLOOKUP(D353,Mapa_Similitud!$A$2:$B$2000,2,FALSE()),D353),Omega3_Referencia!$A$2:$E$100,4,FALSE()),"N/A"))</f>
        <v>EPA/DHA</v>
      </c>
      <c r="AX353" s="5">
        <f>IFERROR(VLOOKUP(IFERROR(VLOOKUP(D353,Mapa_Similitud!$A$2:$B$2000,2,FALSE()),D353),Hoja1!$A$2:$K$1000,5,FALSE()),0)</f>
        <v>0</v>
      </c>
      <c r="AY353" s="5">
        <f>IFERROR(VLOOKUP(IFERROR(VLOOKUP(D353,Mapa_Similitud!$A$2:$B$2000,2,FALSE()),D353),Hoja1!$A$2:$K$1000,7,FALSE()),0)</f>
        <v>0</v>
      </c>
      <c r="AZ353" s="5">
        <f>IFERROR(VLOOKUP(IFERROR(VLOOKUP(D353,Mapa_Similitud!$A$2:$B$2000,2,FALSE()),D353),Hoja1!$A$2:$K$1000,9,FALSE()),0)</f>
        <v>0</v>
      </c>
      <c r="BA353" s="25">
        <f t="shared" si="145"/>
        <v>0.20223325062034742</v>
      </c>
      <c r="BB353" s="25">
        <f t="shared" si="146"/>
        <v>0</v>
      </c>
      <c r="BC353" s="25">
        <f t="shared" si="147"/>
        <v>1.7866004962779158</v>
      </c>
      <c r="BD353" s="25">
        <f t="shared" si="148"/>
        <v>3.9702233250620347E-3</v>
      </c>
      <c r="BE353" s="25">
        <f t="shared" si="149"/>
        <v>1.3647642679900744</v>
      </c>
      <c r="BF353" s="25">
        <f t="shared" si="150"/>
        <v>1.2195121951219512</v>
      </c>
      <c r="BG353" s="25">
        <f t="shared" si="151"/>
        <v>0.75789473684210529</v>
      </c>
      <c r="BH353" s="25">
        <f t="shared" si="152"/>
        <v>0.29285714285714287</v>
      </c>
      <c r="BI353" s="25">
        <f t="shared" si="153"/>
        <v>0.39285714285714285</v>
      </c>
      <c r="BJ353" s="25">
        <f t="shared" si="154"/>
        <v>1</v>
      </c>
      <c r="BK353" s="25">
        <f t="shared" si="155"/>
        <v>0</v>
      </c>
      <c r="BL353" s="25">
        <f t="shared" si="156"/>
        <v>0.15632754342431762</v>
      </c>
      <c r="BM353" s="25">
        <f t="shared" si="157"/>
        <v>0.46898263027295284</v>
      </c>
      <c r="BN353" s="18" t="str">
        <f t="shared" si="163"/>
        <v>Muy alta fuente de proteína</v>
      </c>
      <c r="BO353" s="18" t="str">
        <f t="shared" si="164"/>
        <v>Baja fuente de fibra</v>
      </c>
      <c r="BP353" s="18" t="str">
        <f t="shared" si="165"/>
        <v>Alta fuente de calcio</v>
      </c>
      <c r="BQ353" s="18" t="str">
        <f t="shared" si="166"/>
        <v>Baja fuente de hierro</v>
      </c>
      <c r="BR353" s="18" t="str">
        <f t="shared" si="167"/>
        <v>Alto en sodio</v>
      </c>
      <c r="BS353" s="6" t="str">
        <f t="shared" si="158"/>
        <v>Ligeramente antiinflamatorio</v>
      </c>
      <c r="BT353" s="6" t="str">
        <f t="shared" si="159"/>
        <v>Bajo en grasas</v>
      </c>
      <c r="BU353" s="18" t="str">
        <f t="shared" si="168"/>
        <v>Equilibrio de líquidos ideal</v>
      </c>
      <c r="BV353" s="18" t="str">
        <f t="shared" si="169"/>
        <v>Media fuente de magnesio</v>
      </c>
      <c r="BW353" s="18" t="str">
        <f t="shared" si="170"/>
        <v>Ligera fuente de Omega 3</v>
      </c>
      <c r="BX353" s="18" t="str">
        <f t="shared" si="171"/>
        <v>Libre de grasas trans</v>
      </c>
      <c r="BY353" s="18" t="str">
        <f t="shared" si="172"/>
        <v>Bajo poder antioxidante</v>
      </c>
      <c r="BZ353" s="6" t="str">
        <f t="shared" si="160"/>
        <v>Sin probióticos</v>
      </c>
      <c r="CA353" s="18" t="str">
        <f t="shared" si="173"/>
        <v>Poco inflamatorio</v>
      </c>
      <c r="CB353" s="18" t="str">
        <f>IF(ISNUMBER(SEARCH("miel", D353)), "No irritante (Uso condicionado SII)", IF(OR(J353&gt;0, ISNUMBER(SEARCH("cacao", D353)), ISNUMBER(SEARCH("chocolate puro", D353))), "Altamente irritante", IF(OR(AND(O353&gt;15, BI353&gt;1), ISNUMBER(SEARCH("chocolate", D353))), "Moderadamente irritante", "No irritante")))</f>
        <v>No irritante</v>
      </c>
      <c r="CC353" s="6" t="str">
        <f t="shared" si="161"/>
        <v>Balance de omegas favorable</v>
      </c>
    </row>
    <row r="354" spans="1:81" ht="15" customHeight="1" x14ac:dyDescent="0.3">
      <c r="A354" s="2">
        <f t="shared" si="162"/>
        <v>353</v>
      </c>
      <c r="B354" s="3" t="s">
        <v>488</v>
      </c>
      <c r="C354" s="3" t="s">
        <v>489</v>
      </c>
      <c r="D354" s="3" t="s">
        <v>494</v>
      </c>
      <c r="E354" s="3"/>
      <c r="F354" s="4">
        <v>10</v>
      </c>
      <c r="G354" s="5">
        <v>0.44</v>
      </c>
      <c r="H354" s="5">
        <v>124</v>
      </c>
      <c r="I354" s="5">
        <v>75.400000000000006</v>
      </c>
      <c r="J354" s="5">
        <v>0</v>
      </c>
      <c r="K354" s="5">
        <v>19.5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5.0999999999999996</v>
      </c>
      <c r="R354" s="5">
        <v>0.69</v>
      </c>
      <c r="S354" s="5">
        <v>1.1000000000000001</v>
      </c>
      <c r="T354" s="5">
        <v>2.2000000000000002</v>
      </c>
      <c r="U354" s="5">
        <v>100</v>
      </c>
      <c r="V354" s="5">
        <v>31</v>
      </c>
      <c r="W354" s="5">
        <v>31</v>
      </c>
      <c r="X354" s="5">
        <v>0</v>
      </c>
      <c r="Y354" s="5">
        <v>0</v>
      </c>
      <c r="Z354" s="5">
        <v>2.2999999999999998</v>
      </c>
      <c r="AA354" s="5">
        <v>0.04</v>
      </c>
      <c r="AB354" s="5">
        <v>0.1</v>
      </c>
      <c r="AC354" s="5">
        <v>0.15</v>
      </c>
      <c r="AD354" s="5">
        <v>6.3</v>
      </c>
      <c r="AE354" s="5">
        <v>0.3</v>
      </c>
      <c r="AF354" s="5">
        <v>20</v>
      </c>
      <c r="AG354" s="5">
        <v>0</v>
      </c>
      <c r="AH354" s="5">
        <v>0.35</v>
      </c>
      <c r="AI354" s="5">
        <v>0</v>
      </c>
      <c r="AJ354" s="5">
        <v>0</v>
      </c>
      <c r="AK354" s="5">
        <v>30</v>
      </c>
      <c r="AL354" s="5">
        <v>160</v>
      </c>
      <c r="AM354" s="5">
        <v>1.3</v>
      </c>
      <c r="AN354" s="5">
        <v>40</v>
      </c>
      <c r="AO354" s="5">
        <v>3.8</v>
      </c>
      <c r="AP354" s="5">
        <v>48</v>
      </c>
      <c r="AQ354" s="5">
        <v>370</v>
      </c>
      <c r="AR354" s="5">
        <v>270</v>
      </c>
      <c r="AS354" s="5">
        <v>0.15</v>
      </c>
      <c r="AT354" s="5">
        <v>0.66</v>
      </c>
      <c r="AU354" s="5">
        <v>37.4</v>
      </c>
      <c r="AV354" s="5">
        <f>IFERROR(VLOOKUP(IFERROR(VLOOKUP(D354,Mapa_Similitud!$A$2:$B$2000,2,FALSE()),D354),Hoja1!$A$2:$K$1000,2,FALSE()),IFERROR(VLOOKUP(IFERROR(VLOOKUP(D354,Mapa_Similitud!$A$2:$B$2000,2,FALSE()),D354),Omega3_Referencia!$A$2:$E$100,3,FALSE()),0))</f>
        <v>0.25</v>
      </c>
      <c r="AW354" s="3" t="str">
        <f>IFERROR(VLOOKUP(IFERROR(VLOOKUP(D354,Mapa_Similitud!$A$2:$B$2000,2,FALSE()),D354),Hoja1!$A$2:$K$1000,3,FALSE()),IFERROR(VLOOKUP(IFERROR(VLOOKUP(D354,Mapa_Similitud!$A$2:$B$2000,2,FALSE()),D354),Omega3_Referencia!$A$2:$E$100,4,FALSE()),"N/A"))</f>
        <v>EPA/DHA</v>
      </c>
      <c r="AX354" s="5">
        <f>IFERROR(VLOOKUP(IFERROR(VLOOKUP(D354,Mapa_Similitud!$A$2:$B$2000,2,FALSE()),D354),Hoja1!$A$2:$K$1000,5,FALSE()),0)</f>
        <v>0</v>
      </c>
      <c r="AY354" s="5">
        <f>IFERROR(VLOOKUP(IFERROR(VLOOKUP(D354,Mapa_Similitud!$A$2:$B$2000,2,FALSE()),D354),Hoja1!$A$2:$K$1000,7,FALSE()),0)</f>
        <v>0</v>
      </c>
      <c r="AZ354" s="5">
        <f>IFERROR(VLOOKUP(IFERROR(VLOOKUP(D354,Mapa_Similitud!$A$2:$B$2000,2,FALSE()),D354),Hoja1!$A$2:$K$1000,9,FALSE()),0)</f>
        <v>0</v>
      </c>
      <c r="BA354" s="25">
        <f t="shared" si="145"/>
        <v>0.15725806451612903</v>
      </c>
      <c r="BB354" s="25">
        <f t="shared" si="146"/>
        <v>0</v>
      </c>
      <c r="BC354" s="25">
        <f t="shared" si="147"/>
        <v>0.24193548387096775</v>
      </c>
      <c r="BD354" s="25">
        <f t="shared" si="148"/>
        <v>1.0483870967741936E-2</v>
      </c>
      <c r="BE354" s="25">
        <f t="shared" si="149"/>
        <v>2.9838709677419355</v>
      </c>
      <c r="BF354" s="25">
        <f t="shared" si="150"/>
        <v>3.1884057971014497</v>
      </c>
      <c r="BG354" s="25">
        <f t="shared" si="151"/>
        <v>0.1875</v>
      </c>
      <c r="BH354" s="25">
        <f t="shared" si="152"/>
        <v>0.13529411764705881</v>
      </c>
      <c r="BI354" s="25">
        <f t="shared" si="153"/>
        <v>1.3703703703703705</v>
      </c>
      <c r="BJ354" s="25">
        <f t="shared" si="154"/>
        <v>0</v>
      </c>
      <c r="BK354" s="25">
        <f t="shared" si="155"/>
        <v>0</v>
      </c>
      <c r="BL354" s="25">
        <f t="shared" si="156"/>
        <v>0.37016129032258066</v>
      </c>
      <c r="BM354" s="25">
        <f t="shared" si="157"/>
        <v>0.38709677419354838</v>
      </c>
      <c r="BN354" s="18" t="str">
        <f t="shared" si="163"/>
        <v>Alta fuente de proteína</v>
      </c>
      <c r="BO354" s="18" t="str">
        <f t="shared" si="164"/>
        <v>Baja fuente de fibra</v>
      </c>
      <c r="BP354" s="18" t="str">
        <f t="shared" si="165"/>
        <v>Baja fuente de calcio</v>
      </c>
      <c r="BQ354" s="18" t="str">
        <f t="shared" si="166"/>
        <v>Media fuente de hierro</v>
      </c>
      <c r="BR354" s="18" t="str">
        <f t="shared" si="167"/>
        <v>Muy alto en sodio</v>
      </c>
      <c r="BS354" s="6" t="str">
        <f t="shared" si="158"/>
        <v>Altamente antiinflamatorio</v>
      </c>
      <c r="BT354" s="6" t="str">
        <f t="shared" si="159"/>
        <v>Alto en grasas</v>
      </c>
      <c r="BU354" s="18" t="str">
        <f t="shared" si="168"/>
        <v>Alto riesgo de retención de líquidos</v>
      </c>
      <c r="BV354" s="18" t="str">
        <f t="shared" si="169"/>
        <v>Media fuente de magnesio</v>
      </c>
      <c r="BW354" s="18" t="str">
        <f t="shared" si="170"/>
        <v>Ligera fuente de Omega 3</v>
      </c>
      <c r="BX354" s="18" t="str">
        <f t="shared" si="171"/>
        <v>Libre de grasas trans</v>
      </c>
      <c r="BY354" s="18" t="str">
        <f t="shared" si="172"/>
        <v>Bajo poder antioxidante</v>
      </c>
      <c r="BZ354" s="6" t="str">
        <f t="shared" si="160"/>
        <v>Sin probióticos</v>
      </c>
      <c r="CA354" s="18" t="str">
        <f t="shared" si="173"/>
        <v>Poco inflamatorio</v>
      </c>
      <c r="CB354" s="18" t="str">
        <f>IF(ISNUMBER(SEARCH("miel", D354)), "No irritante (Uso condicionado SII)", IF(OR(J354&gt;0, ISNUMBER(SEARCH("cacao", D354)), ISNUMBER(SEARCH("chocolate puro", D354))), "Altamente irritante", IF(OR(AND(O354&gt;15, BI354&gt;1), ISNUMBER(SEARCH("chocolate", D354))), "Moderadamente irritante", "No irritante")))</f>
        <v>No irritante</v>
      </c>
      <c r="CC354" s="6" t="str">
        <f t="shared" si="161"/>
        <v>Exceso relativo de Omega 6</v>
      </c>
    </row>
    <row r="355" spans="1:81" ht="15" customHeight="1" x14ac:dyDescent="0.3">
      <c r="A355" s="2">
        <f t="shared" si="162"/>
        <v>354</v>
      </c>
      <c r="B355" s="3" t="s">
        <v>488</v>
      </c>
      <c r="C355" s="3" t="s">
        <v>489</v>
      </c>
      <c r="D355" s="3" t="s">
        <v>495</v>
      </c>
      <c r="E355" s="3"/>
      <c r="F355" s="4">
        <v>4</v>
      </c>
      <c r="G355" s="5">
        <v>0.44</v>
      </c>
      <c r="H355" s="5">
        <v>127</v>
      </c>
      <c r="I355" s="5">
        <v>74.7</v>
      </c>
      <c r="J355" s="5">
        <v>0</v>
      </c>
      <c r="K355" s="5">
        <v>20.100000000000001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5.2</v>
      </c>
      <c r="R355" s="5">
        <v>0.71</v>
      </c>
      <c r="S355" s="5">
        <v>1.2</v>
      </c>
      <c r="T355" s="5">
        <v>2.2000000000000002</v>
      </c>
      <c r="U355" s="5">
        <v>100</v>
      </c>
      <c r="V355" s="5">
        <v>52</v>
      </c>
      <c r="W355" s="5">
        <v>52</v>
      </c>
      <c r="X355" s="5">
        <v>0</v>
      </c>
      <c r="Y355" s="5">
        <v>0</v>
      </c>
      <c r="Z355" s="5">
        <v>2.2999999999999998</v>
      </c>
      <c r="AA355" s="5">
        <v>0.05</v>
      </c>
      <c r="AB355" s="5">
        <v>0.1</v>
      </c>
      <c r="AC355" s="5">
        <v>0.15</v>
      </c>
      <c r="AD355" s="5">
        <v>6.1</v>
      </c>
      <c r="AE355" s="5">
        <v>0.35</v>
      </c>
      <c r="AF355" s="5">
        <v>20</v>
      </c>
      <c r="AG355" s="5">
        <v>0</v>
      </c>
      <c r="AH355" s="5">
        <v>0.35</v>
      </c>
      <c r="AI355" s="5">
        <v>0</v>
      </c>
      <c r="AJ355" s="5">
        <v>0</v>
      </c>
      <c r="AK355" s="5">
        <v>29</v>
      </c>
      <c r="AL355" s="5">
        <v>160</v>
      </c>
      <c r="AM355" s="5">
        <v>1.3</v>
      </c>
      <c r="AN355" s="5">
        <v>40</v>
      </c>
      <c r="AO355" s="5">
        <v>5.5</v>
      </c>
      <c r="AP355" s="5">
        <v>48</v>
      </c>
      <c r="AQ355" s="5">
        <v>370</v>
      </c>
      <c r="AR355" s="5">
        <v>270</v>
      </c>
      <c r="AS355" s="5">
        <v>0.15</v>
      </c>
      <c r="AT355" s="5">
        <v>0.66</v>
      </c>
      <c r="AU355" s="5">
        <v>37.4</v>
      </c>
      <c r="AV355" s="5">
        <f>IFERROR(VLOOKUP(IFERROR(VLOOKUP(D355,Mapa_Similitud!$A$2:$B$2000,2,FALSE()),D355),Hoja1!$A$2:$K$1000,2,FALSE()),IFERROR(VLOOKUP(IFERROR(VLOOKUP(D355,Mapa_Similitud!$A$2:$B$2000,2,FALSE()),D355),Omega3_Referencia!$A$2:$E$100,3,FALSE()),0))</f>
        <v>0.25</v>
      </c>
      <c r="AW355" s="3" t="str">
        <f>IFERROR(VLOOKUP(IFERROR(VLOOKUP(D355,Mapa_Similitud!$A$2:$B$2000,2,FALSE()),D355),Hoja1!$A$2:$K$1000,3,FALSE()),IFERROR(VLOOKUP(IFERROR(VLOOKUP(D355,Mapa_Similitud!$A$2:$B$2000,2,FALSE()),D355),Omega3_Referencia!$A$2:$E$100,4,FALSE()),"N/A"))</f>
        <v>EPA/DHA</v>
      </c>
      <c r="AX355" s="5">
        <f>IFERROR(VLOOKUP(IFERROR(VLOOKUP(D355,Mapa_Similitud!$A$2:$B$2000,2,FALSE()),D355),Hoja1!$A$2:$K$1000,5,FALSE()),0)</f>
        <v>0</v>
      </c>
      <c r="AY355" s="5">
        <f>IFERROR(VLOOKUP(IFERROR(VLOOKUP(D355,Mapa_Similitud!$A$2:$B$2000,2,FALSE()),D355),Hoja1!$A$2:$K$1000,7,FALSE()),0)</f>
        <v>0</v>
      </c>
      <c r="AZ355" s="5">
        <f>IFERROR(VLOOKUP(IFERROR(VLOOKUP(D355,Mapa_Similitud!$A$2:$B$2000,2,FALSE()),D355),Hoja1!$A$2:$K$1000,9,FALSE()),0)</f>
        <v>0</v>
      </c>
      <c r="BA355" s="25">
        <f t="shared" si="145"/>
        <v>0.15826771653543309</v>
      </c>
      <c r="BB355" s="25">
        <f t="shared" si="146"/>
        <v>0</v>
      </c>
      <c r="BC355" s="25">
        <f t="shared" si="147"/>
        <v>0.2283464566929134</v>
      </c>
      <c r="BD355" s="25">
        <f t="shared" si="148"/>
        <v>1.0236220472440945E-2</v>
      </c>
      <c r="BE355" s="25">
        <f t="shared" si="149"/>
        <v>2.9133858267716537</v>
      </c>
      <c r="BF355" s="25">
        <f t="shared" si="150"/>
        <v>3.098591549295775</v>
      </c>
      <c r="BG355" s="25">
        <f t="shared" si="151"/>
        <v>0.18124999999999999</v>
      </c>
      <c r="BH355" s="25">
        <f t="shared" si="152"/>
        <v>0.13653846153846153</v>
      </c>
      <c r="BI355" s="25">
        <f t="shared" si="153"/>
        <v>1.3703703703703705</v>
      </c>
      <c r="BJ355" s="25">
        <f t="shared" si="154"/>
        <v>0</v>
      </c>
      <c r="BK355" s="25">
        <f t="shared" si="155"/>
        <v>0</v>
      </c>
      <c r="BL355" s="25">
        <f t="shared" si="156"/>
        <v>0.36850393700787404</v>
      </c>
      <c r="BM355" s="25">
        <f t="shared" si="157"/>
        <v>0.37795275590551181</v>
      </c>
      <c r="BN355" s="18" t="str">
        <f t="shared" si="163"/>
        <v>Alta fuente de proteína</v>
      </c>
      <c r="BO355" s="18" t="str">
        <f t="shared" si="164"/>
        <v>Baja fuente de fibra</v>
      </c>
      <c r="BP355" s="18" t="str">
        <f t="shared" si="165"/>
        <v>Baja fuente de calcio</v>
      </c>
      <c r="BQ355" s="18" t="str">
        <f t="shared" si="166"/>
        <v>Media fuente de hierro</v>
      </c>
      <c r="BR355" s="18" t="str">
        <f t="shared" si="167"/>
        <v>Muy alto en sodio</v>
      </c>
      <c r="BS355" s="6" t="str">
        <f t="shared" si="158"/>
        <v>Altamente antiinflamatorio</v>
      </c>
      <c r="BT355" s="6" t="str">
        <f t="shared" si="159"/>
        <v>Alto en grasas</v>
      </c>
      <c r="BU355" s="18" t="str">
        <f t="shared" si="168"/>
        <v>Alto riesgo de retención de líquidos</v>
      </c>
      <c r="BV355" s="18" t="str">
        <f t="shared" si="169"/>
        <v>Media fuente de magnesio</v>
      </c>
      <c r="BW355" s="18" t="str">
        <f t="shared" si="170"/>
        <v>Ligera fuente de Omega 3</v>
      </c>
      <c r="BX355" s="18" t="str">
        <f t="shared" si="171"/>
        <v>Libre de grasas trans</v>
      </c>
      <c r="BY355" s="18" t="str">
        <f t="shared" si="172"/>
        <v>Bajo poder antioxidante</v>
      </c>
      <c r="BZ355" s="6" t="str">
        <f t="shared" si="160"/>
        <v>Sin probióticos</v>
      </c>
      <c r="CA355" s="18" t="str">
        <f t="shared" si="173"/>
        <v>Poco inflamatorio</v>
      </c>
      <c r="CB355" s="18" t="str">
        <f>IF(ISNUMBER(SEARCH("miel", D355)), "No irritante (Uso condicionado SII)", IF(OR(J355&gt;0, ISNUMBER(SEARCH("cacao", D355)), ISNUMBER(SEARCH("chocolate puro", D355))), "Altamente irritante", IF(OR(AND(O355&gt;15, BI355&gt;1), ISNUMBER(SEARCH("chocolate", D355))), "Moderadamente irritante", "No irritante")))</f>
        <v>No irritante</v>
      </c>
      <c r="CC355" s="6" t="str">
        <f t="shared" si="161"/>
        <v>Exceso relativo de Omega 6</v>
      </c>
    </row>
    <row r="356" spans="1:81" ht="15" customHeight="1" x14ac:dyDescent="0.3">
      <c r="A356" s="2">
        <f t="shared" si="162"/>
        <v>355</v>
      </c>
      <c r="B356" s="3" t="s">
        <v>488</v>
      </c>
      <c r="C356" s="3" t="s">
        <v>489</v>
      </c>
      <c r="D356" s="3" t="s">
        <v>496</v>
      </c>
      <c r="E356" s="3"/>
      <c r="F356" s="4">
        <v>3</v>
      </c>
      <c r="G356" s="5">
        <v>0.7</v>
      </c>
      <c r="H356" s="5">
        <v>80.599999999999994</v>
      </c>
      <c r="I356" s="5">
        <v>81.7</v>
      </c>
      <c r="J356" s="5">
        <v>0</v>
      </c>
      <c r="K356" s="5">
        <v>16.3</v>
      </c>
      <c r="L356" s="5">
        <v>0.7</v>
      </c>
      <c r="M356" s="5">
        <v>0</v>
      </c>
      <c r="N356" s="5">
        <v>0</v>
      </c>
      <c r="O356" s="5">
        <v>0</v>
      </c>
      <c r="P356" s="5">
        <v>0</v>
      </c>
      <c r="Q356" s="5">
        <v>1.4</v>
      </c>
      <c r="R356" s="5">
        <v>0.41</v>
      </c>
      <c r="S356" s="5">
        <v>0.1</v>
      </c>
      <c r="T356" s="5">
        <v>0.5</v>
      </c>
      <c r="U356" s="5">
        <v>168</v>
      </c>
      <c r="V356" s="5">
        <v>77</v>
      </c>
      <c r="W356" s="5">
        <v>10</v>
      </c>
      <c r="X356" s="5">
        <v>0</v>
      </c>
      <c r="Y356" s="5">
        <v>0</v>
      </c>
      <c r="Z356" s="5">
        <v>2.7</v>
      </c>
      <c r="AA356" s="5">
        <v>0</v>
      </c>
      <c r="AB356" s="5">
        <v>7.0000000000000007E-2</v>
      </c>
      <c r="AC356" s="5">
        <v>0.15</v>
      </c>
      <c r="AD356" s="5">
        <v>7</v>
      </c>
      <c r="AE356" s="5">
        <v>0.03</v>
      </c>
      <c r="AF356" s="5">
        <v>0</v>
      </c>
      <c r="AG356" s="5">
        <v>1.3</v>
      </c>
      <c r="AH356" s="5">
        <v>0</v>
      </c>
      <c r="AI356" s="5">
        <v>0</v>
      </c>
      <c r="AJ356" s="5">
        <v>0</v>
      </c>
      <c r="AK356" s="5">
        <v>144</v>
      </c>
      <c r="AL356" s="5">
        <v>190</v>
      </c>
      <c r="AM356" s="5">
        <v>0.32</v>
      </c>
      <c r="AN356" s="5">
        <v>64</v>
      </c>
      <c r="AO356" s="5">
        <v>1.1000000000000001</v>
      </c>
      <c r="AP356" s="5">
        <v>37.799999999999997</v>
      </c>
      <c r="AQ356" s="5">
        <v>110</v>
      </c>
      <c r="AR356" s="5">
        <v>280</v>
      </c>
      <c r="AS356" s="5">
        <v>0</v>
      </c>
      <c r="AT356" s="5">
        <v>0</v>
      </c>
      <c r="AU356" s="5">
        <v>44.8</v>
      </c>
      <c r="AV356" s="5">
        <f>IFERROR(VLOOKUP(IFERROR(VLOOKUP(D356,Mapa_Similitud!$A$2:$B$2000,2,FALSE()),D356),Hoja1!$A$2:$K$1000,2,FALSE()),IFERROR(VLOOKUP(IFERROR(VLOOKUP(D356,Mapa_Similitud!$A$2:$B$2000,2,FALSE()),D356),Omega3_Referencia!$A$2:$E$100,3,FALSE()),0))</f>
        <v>0.3</v>
      </c>
      <c r="AW356" s="3" t="str">
        <f>IFERROR(VLOOKUP(IFERROR(VLOOKUP(D356,Mapa_Similitud!$A$2:$B$2000,2,FALSE()),D356),Hoja1!$A$2:$K$1000,3,FALSE()),IFERROR(VLOOKUP(IFERROR(VLOOKUP(D356,Mapa_Similitud!$A$2:$B$2000,2,FALSE()),D356),Omega3_Referencia!$A$2:$E$100,4,FALSE()),"N/A"))</f>
        <v>EPA/DHA</v>
      </c>
      <c r="AX356" s="5">
        <f>IFERROR(VLOOKUP(IFERROR(VLOOKUP(D356,Mapa_Similitud!$A$2:$B$2000,2,FALSE()),D356),Hoja1!$A$2:$K$1000,5,FALSE()),0)</f>
        <v>0</v>
      </c>
      <c r="AY356" s="5">
        <f>IFERROR(VLOOKUP(IFERROR(VLOOKUP(D356,Mapa_Similitud!$A$2:$B$2000,2,FALSE()),D356),Hoja1!$A$2:$K$1000,7,FALSE()),0)</f>
        <v>0</v>
      </c>
      <c r="AZ356" s="5">
        <f>IFERROR(VLOOKUP(IFERROR(VLOOKUP(D356,Mapa_Similitud!$A$2:$B$2000,2,FALSE()),D356),Hoja1!$A$2:$K$1000,9,FALSE()),0)</f>
        <v>0</v>
      </c>
      <c r="BA356" s="25">
        <f t="shared" si="145"/>
        <v>0.20223325062034742</v>
      </c>
      <c r="BB356" s="25">
        <f t="shared" si="146"/>
        <v>0</v>
      </c>
      <c r="BC356" s="25">
        <f t="shared" si="147"/>
        <v>1.7866004962779158</v>
      </c>
      <c r="BD356" s="25">
        <f t="shared" si="148"/>
        <v>3.9702233250620347E-3</v>
      </c>
      <c r="BE356" s="25">
        <f t="shared" si="149"/>
        <v>1.3647642679900744</v>
      </c>
      <c r="BF356" s="25">
        <f t="shared" si="150"/>
        <v>1.2195121951219512</v>
      </c>
      <c r="BG356" s="25">
        <f t="shared" si="151"/>
        <v>0.75789473684210529</v>
      </c>
      <c r="BH356" s="25">
        <f t="shared" si="152"/>
        <v>0.29285714285714287</v>
      </c>
      <c r="BI356" s="25">
        <f t="shared" si="153"/>
        <v>0.39285714285714285</v>
      </c>
      <c r="BJ356" s="25">
        <f t="shared" si="154"/>
        <v>0</v>
      </c>
      <c r="BK356" s="25">
        <f t="shared" si="155"/>
        <v>0</v>
      </c>
      <c r="BL356" s="25">
        <f t="shared" si="156"/>
        <v>0.15632754342431762</v>
      </c>
      <c r="BM356" s="25">
        <f t="shared" si="157"/>
        <v>0.46898263027295284</v>
      </c>
      <c r="BN356" s="18" t="str">
        <f t="shared" si="163"/>
        <v>Muy alta fuente de proteína</v>
      </c>
      <c r="BO356" s="18" t="str">
        <f t="shared" si="164"/>
        <v>Baja fuente de fibra</v>
      </c>
      <c r="BP356" s="18" t="str">
        <f t="shared" si="165"/>
        <v>Alta fuente de calcio</v>
      </c>
      <c r="BQ356" s="18" t="str">
        <f t="shared" si="166"/>
        <v>Baja fuente de hierro</v>
      </c>
      <c r="BR356" s="18" t="str">
        <f t="shared" si="167"/>
        <v>Alto en sodio</v>
      </c>
      <c r="BS356" s="6" t="str">
        <f t="shared" si="158"/>
        <v>Ligeramente antiinflamatorio</v>
      </c>
      <c r="BT356" s="6" t="str">
        <f t="shared" si="159"/>
        <v>Bajo en grasas</v>
      </c>
      <c r="BU356" s="18" t="str">
        <f t="shared" si="168"/>
        <v>Equilibrio de líquidos ideal</v>
      </c>
      <c r="BV356" s="18" t="str">
        <f t="shared" si="169"/>
        <v>Media fuente de magnesio</v>
      </c>
      <c r="BW356" s="18" t="str">
        <f t="shared" si="170"/>
        <v>Ligera fuente de Omega 3</v>
      </c>
      <c r="BX356" s="18" t="str">
        <f t="shared" si="171"/>
        <v>Libre de grasas trans</v>
      </c>
      <c r="BY356" s="18" t="str">
        <f t="shared" si="172"/>
        <v>Bajo poder antioxidante</v>
      </c>
      <c r="BZ356" s="6" t="str">
        <f t="shared" si="160"/>
        <v>Sin probióticos</v>
      </c>
      <c r="CA356" s="18" t="str">
        <f t="shared" si="173"/>
        <v>Poco inflamatorio</v>
      </c>
      <c r="CB356" s="18" t="str">
        <f>IF(ISNUMBER(SEARCH("miel", D356)), "No irritante (Uso condicionado SII)", IF(OR(J356&gt;0, ISNUMBER(SEARCH("cacao", D356)), ISNUMBER(SEARCH("chocolate puro", D356))), "Altamente irritante", IF(OR(AND(O356&gt;15, BI356&gt;1), ISNUMBER(SEARCH("chocolate", D356))), "Moderadamente irritante", "No irritante")))</f>
        <v>No irritante</v>
      </c>
      <c r="CC356" s="6" t="str">
        <f t="shared" si="161"/>
        <v>Balance de omegas favorable</v>
      </c>
    </row>
    <row r="357" spans="1:81" ht="15" customHeight="1" x14ac:dyDescent="0.3">
      <c r="A357" s="2">
        <f t="shared" si="162"/>
        <v>356</v>
      </c>
      <c r="B357" s="3" t="s">
        <v>488</v>
      </c>
      <c r="C357" s="3" t="s">
        <v>489</v>
      </c>
      <c r="D357" s="3" t="s">
        <v>497</v>
      </c>
      <c r="E357" s="3"/>
      <c r="F357" s="4">
        <v>2.5</v>
      </c>
      <c r="G357" s="5">
        <v>0.5</v>
      </c>
      <c r="H357" s="5">
        <v>85.4</v>
      </c>
      <c r="I357" s="5">
        <v>80.400000000000006</v>
      </c>
      <c r="J357" s="5">
        <v>0</v>
      </c>
      <c r="K357" s="5">
        <v>17.7</v>
      </c>
      <c r="L357" s="5">
        <v>0.5</v>
      </c>
      <c r="M357" s="5">
        <v>0</v>
      </c>
      <c r="N357" s="5">
        <v>0.5</v>
      </c>
      <c r="O357" s="5">
        <v>0</v>
      </c>
      <c r="P357" s="5">
        <v>0</v>
      </c>
      <c r="Q357" s="5">
        <v>1.4</v>
      </c>
      <c r="R357" s="5">
        <v>0.22</v>
      </c>
      <c r="S357" s="5">
        <v>0.22</v>
      </c>
      <c r="T357" s="5">
        <v>0.5</v>
      </c>
      <c r="U357" s="5">
        <v>105</v>
      </c>
      <c r="V357" s="5">
        <v>16</v>
      </c>
      <c r="W357" s="5">
        <v>16</v>
      </c>
      <c r="X357" s="5">
        <v>0</v>
      </c>
      <c r="Y357" s="5">
        <v>0</v>
      </c>
      <c r="Z357" s="5">
        <v>1.5</v>
      </c>
      <c r="AA357" s="5">
        <v>0.5</v>
      </c>
      <c r="AB357" s="5">
        <v>0.08</v>
      </c>
      <c r="AC357" s="5">
        <v>0.05</v>
      </c>
      <c r="AD357" s="5">
        <v>27</v>
      </c>
      <c r="AE357" s="5">
        <v>0.1</v>
      </c>
      <c r="AF357" s="5">
        <v>17</v>
      </c>
      <c r="AG357" s="5">
        <v>1</v>
      </c>
      <c r="AH357" s="5">
        <v>2.4</v>
      </c>
      <c r="AI357" s="5">
        <v>0</v>
      </c>
      <c r="AJ357" s="5">
        <v>0</v>
      </c>
      <c r="AK357" s="5">
        <v>100</v>
      </c>
      <c r="AL357" s="5">
        <v>300</v>
      </c>
      <c r="AM357" s="5">
        <v>1</v>
      </c>
      <c r="AN357" s="5">
        <v>30</v>
      </c>
      <c r="AO357" s="5">
        <v>0.8</v>
      </c>
      <c r="AP357" s="5">
        <v>30</v>
      </c>
      <c r="AQ357" s="5">
        <v>400</v>
      </c>
      <c r="AR357" s="5">
        <v>400</v>
      </c>
      <c r="AS357" s="5">
        <v>0.03</v>
      </c>
      <c r="AT357" s="5">
        <v>0.7</v>
      </c>
      <c r="AU357" s="5">
        <v>130</v>
      </c>
      <c r="AV357" s="5">
        <f>IFERROR(VLOOKUP(IFERROR(VLOOKUP(D357,Mapa_Similitud!$A$2:$B$2000,2,FALSE()),D357),Hoja1!$A$2:$K$1000,2,FALSE()),IFERROR(VLOOKUP(IFERROR(VLOOKUP(D357,Mapa_Similitud!$A$2:$B$2000,2,FALSE()),D357),Omega3_Referencia!$A$2:$E$100,3,FALSE()),0))</f>
        <v>0.3</v>
      </c>
      <c r="AW357" s="3" t="str">
        <f>IFERROR(VLOOKUP(IFERROR(VLOOKUP(D357,Mapa_Similitud!$A$2:$B$2000,2,FALSE()),D357),Hoja1!$A$2:$K$1000,3,FALSE()),IFERROR(VLOOKUP(IFERROR(VLOOKUP(D357,Mapa_Similitud!$A$2:$B$2000,2,FALSE()),D357),Omega3_Referencia!$A$2:$E$100,4,FALSE()),"N/A"))</f>
        <v>EPA/DHA</v>
      </c>
      <c r="AX357" s="5">
        <f>IFERROR(VLOOKUP(IFERROR(VLOOKUP(D357,Mapa_Similitud!$A$2:$B$2000,2,FALSE()),D357),Hoja1!$A$2:$K$1000,5,FALSE()),0)</f>
        <v>0</v>
      </c>
      <c r="AY357" s="5">
        <f>IFERROR(VLOOKUP(IFERROR(VLOOKUP(D357,Mapa_Similitud!$A$2:$B$2000,2,FALSE()),D357),Hoja1!$A$2:$K$1000,7,FALSE()),0)</f>
        <v>0</v>
      </c>
      <c r="AZ357" s="5">
        <f>IFERROR(VLOOKUP(IFERROR(VLOOKUP(D357,Mapa_Similitud!$A$2:$B$2000,2,FALSE()),D357),Hoja1!$A$2:$K$1000,9,FALSE()),0)</f>
        <v>0</v>
      </c>
      <c r="BA357" s="25">
        <f t="shared" si="145"/>
        <v>0.20725995316159249</v>
      </c>
      <c r="BB357" s="25">
        <f t="shared" si="146"/>
        <v>0</v>
      </c>
      <c r="BC357" s="25">
        <f t="shared" si="147"/>
        <v>1.1709601873536299</v>
      </c>
      <c r="BD357" s="25">
        <f t="shared" si="148"/>
        <v>1.1709601873536299E-2</v>
      </c>
      <c r="BE357" s="25">
        <f t="shared" si="149"/>
        <v>4.6838407494145198</v>
      </c>
      <c r="BF357" s="25">
        <f t="shared" si="150"/>
        <v>2.2727272727272729</v>
      </c>
      <c r="BG357" s="25">
        <f t="shared" si="151"/>
        <v>0.33333333333333331</v>
      </c>
      <c r="BH357" s="25">
        <f t="shared" si="152"/>
        <v>0.15714285714285717</v>
      </c>
      <c r="BI357" s="25">
        <f t="shared" si="153"/>
        <v>1</v>
      </c>
      <c r="BJ357" s="25">
        <f t="shared" si="154"/>
        <v>1</v>
      </c>
      <c r="BK357" s="25">
        <f t="shared" si="155"/>
        <v>0</v>
      </c>
      <c r="BL357" s="25">
        <f t="shared" si="156"/>
        <v>0.14754098360655737</v>
      </c>
      <c r="BM357" s="25">
        <f t="shared" si="157"/>
        <v>0.35128805620608899</v>
      </c>
      <c r="BN357" s="18" t="str">
        <f t="shared" si="163"/>
        <v>Muy alta fuente de proteína</v>
      </c>
      <c r="BO357" s="18" t="str">
        <f t="shared" si="164"/>
        <v>Baja fuente de fibra</v>
      </c>
      <c r="BP357" s="18" t="str">
        <f t="shared" si="165"/>
        <v>Media fuente de calcio</v>
      </c>
      <c r="BQ357" s="18" t="str">
        <f t="shared" si="166"/>
        <v>Media fuente de hierro</v>
      </c>
      <c r="BR357" s="18" t="str">
        <f t="shared" si="167"/>
        <v>Muy alto en sodio</v>
      </c>
      <c r="BS357" s="6" t="str">
        <f t="shared" si="158"/>
        <v>Altamente antiinflamatorio</v>
      </c>
      <c r="BT357" s="6" t="str">
        <f t="shared" si="159"/>
        <v>Bajo en grasas</v>
      </c>
      <c r="BU357" s="18" t="str">
        <f t="shared" si="168"/>
        <v>Riesgo moderado de retención</v>
      </c>
      <c r="BV357" s="18" t="str">
        <f t="shared" si="169"/>
        <v>Media fuente de magnesio</v>
      </c>
      <c r="BW357" s="18" t="str">
        <f t="shared" si="170"/>
        <v>Ligera fuente de Omega 3</v>
      </c>
      <c r="BX357" s="18" t="str">
        <f t="shared" si="171"/>
        <v>Libre de grasas trans</v>
      </c>
      <c r="BY357" s="18" t="str">
        <f t="shared" si="172"/>
        <v>Bajo poder antioxidante</v>
      </c>
      <c r="BZ357" s="6" t="str">
        <f t="shared" si="160"/>
        <v>Sin probióticos</v>
      </c>
      <c r="CA357" s="18" t="str">
        <f t="shared" si="173"/>
        <v>Poco inflamatorio</v>
      </c>
      <c r="CB357" s="18" t="str">
        <f>IF(ISNUMBER(SEARCH("miel", D357)), "No irritante (Uso condicionado SII)", IF(OR(J357&gt;0, ISNUMBER(SEARCH("cacao", D357)), ISNUMBER(SEARCH("chocolate puro", D357))), "Altamente irritante", IF(OR(AND(O357&gt;15, BI357&gt;1), ISNUMBER(SEARCH("chocolate", D357))), "Moderadamente irritante", "No irritante")))</f>
        <v>No irritante</v>
      </c>
      <c r="CC357" s="6" t="str">
        <f t="shared" si="161"/>
        <v>Balance de omegas favorable</v>
      </c>
    </row>
    <row r="358" spans="1:81" ht="15" customHeight="1" x14ac:dyDescent="0.3">
      <c r="A358" s="2">
        <f t="shared" si="162"/>
        <v>357</v>
      </c>
      <c r="B358" s="3" t="s">
        <v>488</v>
      </c>
      <c r="C358" s="3" t="s">
        <v>489</v>
      </c>
      <c r="D358" s="3" t="s">
        <v>498</v>
      </c>
      <c r="E358" s="3"/>
      <c r="F358" s="4">
        <v>2</v>
      </c>
      <c r="G358" s="5">
        <v>0.4</v>
      </c>
      <c r="H358" s="5">
        <v>94.2</v>
      </c>
      <c r="I358" s="5">
        <v>78.7</v>
      </c>
      <c r="J358" s="5">
        <v>0</v>
      </c>
      <c r="K358" s="5">
        <v>18</v>
      </c>
      <c r="L358" s="5">
        <v>1.5</v>
      </c>
      <c r="M358" s="5">
        <v>0</v>
      </c>
      <c r="N358" s="5">
        <v>1.5</v>
      </c>
      <c r="O358" s="5">
        <v>0</v>
      </c>
      <c r="P358" s="5">
        <v>0</v>
      </c>
      <c r="Q358" s="5">
        <v>1.8</v>
      </c>
      <c r="R358" s="5">
        <v>0.33</v>
      </c>
      <c r="S358" s="5">
        <v>0.46</v>
      </c>
      <c r="T358" s="5">
        <v>0.66</v>
      </c>
      <c r="U358" s="5">
        <v>185</v>
      </c>
      <c r="V358" s="5">
        <v>54</v>
      </c>
      <c r="W358" s="5">
        <v>54</v>
      </c>
      <c r="X358" s="5">
        <v>0</v>
      </c>
      <c r="Y358" s="5">
        <v>0.01</v>
      </c>
      <c r="Z358" s="5">
        <v>1.5</v>
      </c>
      <c r="AA358" s="5">
        <v>0.04</v>
      </c>
      <c r="AB358" s="5">
        <v>0.02</v>
      </c>
      <c r="AC358" s="5">
        <v>0.02</v>
      </c>
      <c r="AD358" s="5">
        <v>3.2</v>
      </c>
      <c r="AE358" s="5">
        <v>0.06</v>
      </c>
      <c r="AF358" s="5">
        <v>5</v>
      </c>
      <c r="AG358" s="5">
        <v>1.9</v>
      </c>
      <c r="AH358" s="5">
        <v>0.28000000000000003</v>
      </c>
      <c r="AI358" s="5">
        <v>0</v>
      </c>
      <c r="AJ358" s="5">
        <v>0</v>
      </c>
      <c r="AK358" s="5">
        <v>115</v>
      </c>
      <c r="AL358" s="5">
        <v>215</v>
      </c>
      <c r="AM358" s="5">
        <v>3.3</v>
      </c>
      <c r="AN358" s="5">
        <v>90</v>
      </c>
      <c r="AO358" s="5">
        <v>1.1000000000000001</v>
      </c>
      <c r="AP358" s="5">
        <v>69</v>
      </c>
      <c r="AQ358" s="5">
        <v>305</v>
      </c>
      <c r="AR358" s="5">
        <v>221</v>
      </c>
      <c r="AS358" s="5">
        <v>0.01</v>
      </c>
      <c r="AT358" s="5">
        <v>0.1</v>
      </c>
      <c r="AU358" s="5">
        <v>24.3</v>
      </c>
      <c r="AV358" s="5">
        <f>IFERROR(VLOOKUP(IFERROR(VLOOKUP(D358,Mapa_Similitud!$A$2:$B$2000,2,FALSE()),D358),Hoja1!$A$2:$K$1000,2,FALSE()),IFERROR(VLOOKUP(IFERROR(VLOOKUP(D358,Mapa_Similitud!$A$2:$B$2000,2,FALSE()),D358),Omega3_Referencia!$A$2:$E$100,3,FALSE()),0))</f>
        <v>0.3</v>
      </c>
      <c r="AW358" s="3" t="str">
        <f>IFERROR(VLOOKUP(IFERROR(VLOOKUP(D358,Mapa_Similitud!$A$2:$B$2000,2,FALSE()),D358),Hoja1!$A$2:$K$1000,3,FALSE()),IFERROR(VLOOKUP(IFERROR(VLOOKUP(D358,Mapa_Similitud!$A$2:$B$2000,2,FALSE()),D358),Omega3_Referencia!$A$2:$E$100,4,FALSE()),"N/A"))</f>
        <v>EPA/DHA</v>
      </c>
      <c r="AX358" s="5">
        <f>IFERROR(VLOOKUP(IFERROR(VLOOKUP(D358,Mapa_Similitud!$A$2:$B$2000,2,FALSE()),D358),Hoja1!$A$2:$K$1000,5,FALSE()),0)</f>
        <v>0</v>
      </c>
      <c r="AY358" s="5">
        <f>IFERROR(VLOOKUP(IFERROR(VLOOKUP(D358,Mapa_Similitud!$A$2:$B$2000,2,FALSE()),D358),Hoja1!$A$2:$K$1000,7,FALSE()),0)</f>
        <v>0</v>
      </c>
      <c r="AZ358" s="5">
        <f>IFERROR(VLOOKUP(IFERROR(VLOOKUP(D358,Mapa_Similitud!$A$2:$B$2000,2,FALSE()),D358),Hoja1!$A$2:$K$1000,9,FALSE()),0)</f>
        <v>0</v>
      </c>
      <c r="BA358" s="25">
        <f t="shared" si="145"/>
        <v>0.19108280254777069</v>
      </c>
      <c r="BB358" s="25">
        <f t="shared" si="146"/>
        <v>0</v>
      </c>
      <c r="BC358" s="25">
        <f t="shared" si="147"/>
        <v>1.2208067940552016</v>
      </c>
      <c r="BD358" s="25">
        <f t="shared" si="148"/>
        <v>3.5031847133757961E-2</v>
      </c>
      <c r="BE358" s="25">
        <f t="shared" si="149"/>
        <v>3.2377919320594479</v>
      </c>
      <c r="BF358" s="25">
        <f t="shared" si="150"/>
        <v>2</v>
      </c>
      <c r="BG358" s="25">
        <f t="shared" si="151"/>
        <v>0.53488372093023251</v>
      </c>
      <c r="BH358" s="25">
        <f t="shared" si="152"/>
        <v>0.18333333333333335</v>
      </c>
      <c r="BI358" s="25">
        <f t="shared" si="153"/>
        <v>1.3800904977375565</v>
      </c>
      <c r="BJ358" s="25">
        <f t="shared" si="154"/>
        <v>1</v>
      </c>
      <c r="BK358" s="25">
        <f t="shared" si="155"/>
        <v>0</v>
      </c>
      <c r="BL358" s="25">
        <f t="shared" si="156"/>
        <v>0.17197452229299362</v>
      </c>
      <c r="BM358" s="25">
        <f t="shared" si="157"/>
        <v>0.73248407643312097</v>
      </c>
      <c r="BN358" s="18" t="str">
        <f t="shared" si="163"/>
        <v>Alta fuente de proteína</v>
      </c>
      <c r="BO358" s="18" t="str">
        <f t="shared" si="164"/>
        <v>Baja fuente de fibra</v>
      </c>
      <c r="BP358" s="18" t="str">
        <f t="shared" si="165"/>
        <v>Media fuente de calcio</v>
      </c>
      <c r="BQ358" s="18" t="str">
        <f t="shared" si="166"/>
        <v>Alta fuente de hierro</v>
      </c>
      <c r="BR358" s="18" t="str">
        <f t="shared" si="167"/>
        <v>Muy alto en sodio</v>
      </c>
      <c r="BS358" s="6" t="str">
        <f t="shared" si="158"/>
        <v>Ligeramente antiinflamatorio</v>
      </c>
      <c r="BT358" s="6" t="str">
        <f t="shared" si="159"/>
        <v>Bajo en grasas</v>
      </c>
      <c r="BU358" s="18" t="str">
        <f t="shared" si="168"/>
        <v>Alto riesgo de retención de líquidos</v>
      </c>
      <c r="BV358" s="18" t="str">
        <f t="shared" si="169"/>
        <v>Alta fuente de magnesio</v>
      </c>
      <c r="BW358" s="18" t="str">
        <f t="shared" si="170"/>
        <v>Ligera fuente de Omega 3</v>
      </c>
      <c r="BX358" s="18" t="str">
        <f t="shared" si="171"/>
        <v>Libre de grasas trans</v>
      </c>
      <c r="BY358" s="18" t="str">
        <f t="shared" si="172"/>
        <v>Bajo poder antioxidante</v>
      </c>
      <c r="BZ358" s="6" t="str">
        <f t="shared" si="160"/>
        <v>Sin probióticos</v>
      </c>
      <c r="CA358" s="18" t="str">
        <f t="shared" si="173"/>
        <v>Poco inflamatorio</v>
      </c>
      <c r="CB358" s="18" t="str">
        <f>IF(ISNUMBER(SEARCH("miel", D358)), "No irritante (Uso condicionado SII)", IF(OR(J358&gt;0, ISNUMBER(SEARCH("cacao", D358)), ISNUMBER(SEARCH("chocolate puro", D358))), "Altamente irritante", IF(OR(AND(O358&gt;15, BI358&gt;1), ISNUMBER(SEARCH("chocolate", D358))), "Moderadamente irritante", "No irritante")))</f>
        <v>No irritante</v>
      </c>
      <c r="CC358" s="6" t="str">
        <f t="shared" si="161"/>
        <v>Balance de omegas favorable</v>
      </c>
    </row>
    <row r="359" spans="1:81" ht="15" customHeight="1" x14ac:dyDescent="0.3">
      <c r="A359" s="2">
        <f t="shared" si="162"/>
        <v>358</v>
      </c>
      <c r="B359" s="3" t="s">
        <v>488</v>
      </c>
      <c r="C359" s="3" t="s">
        <v>489</v>
      </c>
      <c r="D359" s="3" t="s">
        <v>499</v>
      </c>
      <c r="E359" s="3"/>
      <c r="F359" s="4">
        <v>25</v>
      </c>
      <c r="G359" s="5">
        <v>0.47</v>
      </c>
      <c r="H359" s="5">
        <v>83.9</v>
      </c>
      <c r="I359" s="5">
        <v>80.400000000000006</v>
      </c>
      <c r="J359" s="5">
        <v>0</v>
      </c>
      <c r="K359" s="5">
        <v>17.2</v>
      </c>
      <c r="L359" s="5">
        <v>1.3</v>
      </c>
      <c r="M359" s="5">
        <v>0</v>
      </c>
      <c r="N359" s="5">
        <v>1.3</v>
      </c>
      <c r="O359" s="5">
        <v>0</v>
      </c>
      <c r="P359" s="5">
        <v>0</v>
      </c>
      <c r="Q359" s="5">
        <v>1.1000000000000001</v>
      </c>
      <c r="R359" s="5">
        <v>0.13</v>
      </c>
      <c r="S359" s="5">
        <v>0.13</v>
      </c>
      <c r="T359" s="5">
        <v>0.55000000000000004</v>
      </c>
      <c r="U359" s="5">
        <v>140</v>
      </c>
      <c r="V359" s="5">
        <v>25</v>
      </c>
      <c r="W359" s="5">
        <v>25</v>
      </c>
      <c r="X359" s="5">
        <v>0</v>
      </c>
      <c r="Y359" s="5">
        <v>0</v>
      </c>
      <c r="Z359" s="5">
        <v>1.5</v>
      </c>
      <c r="AA359" s="5">
        <v>0.04</v>
      </c>
      <c r="AB359" s="5">
        <v>0.15</v>
      </c>
      <c r="AC359" s="5">
        <v>0.08</v>
      </c>
      <c r="AD359" s="5">
        <v>4.4000000000000004</v>
      </c>
      <c r="AE359" s="5">
        <v>0.06</v>
      </c>
      <c r="AF359" s="5">
        <v>2</v>
      </c>
      <c r="AG359" s="5">
        <v>1.9</v>
      </c>
      <c r="AH359" s="5">
        <v>0.35</v>
      </c>
      <c r="AI359" s="5">
        <v>0</v>
      </c>
      <c r="AJ359" s="5">
        <v>0</v>
      </c>
      <c r="AK359" s="5">
        <v>68</v>
      </c>
      <c r="AL359" s="5">
        <v>215</v>
      </c>
      <c r="AM359" s="5">
        <v>1.3</v>
      </c>
      <c r="AN359" s="5">
        <v>100</v>
      </c>
      <c r="AO359" s="5">
        <v>5.7</v>
      </c>
      <c r="AP359" s="5">
        <v>40</v>
      </c>
      <c r="AQ359" s="5">
        <v>182</v>
      </c>
      <c r="AR359" s="5">
        <v>180</v>
      </c>
      <c r="AS359" s="5">
        <v>1.4999999999999999E-2</v>
      </c>
      <c r="AT359" s="5">
        <v>0.38</v>
      </c>
      <c r="AU359" s="5">
        <v>99</v>
      </c>
      <c r="AV359" s="5">
        <f>IFERROR(VLOOKUP(IFERROR(VLOOKUP(D359,Mapa_Similitud!$A$2:$B$2000,2,FALSE()),D359),Hoja1!$A$2:$K$1000,2,FALSE()),IFERROR(VLOOKUP(IFERROR(VLOOKUP(D359,Mapa_Similitud!$A$2:$B$2000,2,FALSE()),D359),Omega3_Referencia!$A$2:$E$100,3,FALSE()),0))</f>
        <v>7.0000000000000007E-2</v>
      </c>
      <c r="AW359" s="3" t="str">
        <f>IFERROR(VLOOKUP(IFERROR(VLOOKUP(D359,Mapa_Similitud!$A$2:$B$2000,2,FALSE()),D359),Hoja1!$A$2:$K$1000,3,FALSE()),IFERROR(VLOOKUP(IFERROR(VLOOKUP(D359,Mapa_Similitud!$A$2:$B$2000,2,FALSE()),D359),Omega3_Referencia!$A$2:$E$100,4,FALSE()),"N/A"))</f>
        <v>EPA/DHA</v>
      </c>
      <c r="AX359" s="5">
        <f>IFERROR(VLOOKUP(IFERROR(VLOOKUP(D359,Mapa_Similitud!$A$2:$B$2000,2,FALSE()),D359),Hoja1!$A$2:$K$1000,5,FALSE()),0)</f>
        <v>0</v>
      </c>
      <c r="AY359" s="5">
        <f>IFERROR(VLOOKUP(IFERROR(VLOOKUP(D359,Mapa_Similitud!$A$2:$B$2000,2,FALSE()),D359),Hoja1!$A$2:$K$1000,7,FALSE()),0)</f>
        <v>0</v>
      </c>
      <c r="AZ359" s="5">
        <f>IFERROR(VLOOKUP(IFERROR(VLOOKUP(D359,Mapa_Similitud!$A$2:$B$2000,2,FALSE()),D359),Hoja1!$A$2:$K$1000,9,FALSE()),0)</f>
        <v>0</v>
      </c>
      <c r="BA359" s="25">
        <f t="shared" si="145"/>
        <v>0.20500595947556613</v>
      </c>
      <c r="BB359" s="25">
        <f t="shared" si="146"/>
        <v>0</v>
      </c>
      <c r="BC359" s="25">
        <f t="shared" si="147"/>
        <v>0.81048867699642424</v>
      </c>
      <c r="BD359" s="25">
        <f t="shared" si="148"/>
        <v>1.5494636471990465E-2</v>
      </c>
      <c r="BE359" s="25">
        <f t="shared" si="149"/>
        <v>2.1692491060786647</v>
      </c>
      <c r="BF359" s="25">
        <f t="shared" si="150"/>
        <v>4.2307692307692308</v>
      </c>
      <c r="BG359" s="25">
        <f t="shared" si="151"/>
        <v>0.31627906976744186</v>
      </c>
      <c r="BH359" s="25">
        <f t="shared" si="152"/>
        <v>0.11818181818181818</v>
      </c>
      <c r="BI359" s="25">
        <f t="shared" si="153"/>
        <v>1.0111111111111111</v>
      </c>
      <c r="BJ359" s="25">
        <f t="shared" si="154"/>
        <v>1</v>
      </c>
      <c r="BK359" s="25">
        <f t="shared" si="155"/>
        <v>0</v>
      </c>
      <c r="BL359" s="25">
        <f t="shared" si="156"/>
        <v>0.11799761620977353</v>
      </c>
      <c r="BM359" s="25">
        <f t="shared" si="157"/>
        <v>0.47675804529201427</v>
      </c>
      <c r="BN359" s="18" t="str">
        <f t="shared" si="163"/>
        <v>Muy alta fuente de proteína</v>
      </c>
      <c r="BO359" s="18" t="str">
        <f t="shared" si="164"/>
        <v>Baja fuente de fibra</v>
      </c>
      <c r="BP359" s="18" t="str">
        <f t="shared" si="165"/>
        <v>Media fuente de calcio</v>
      </c>
      <c r="BQ359" s="18" t="str">
        <f t="shared" si="166"/>
        <v>Alta fuente de hierro</v>
      </c>
      <c r="BR359" s="18" t="str">
        <f t="shared" si="167"/>
        <v>Muy alto en sodio</v>
      </c>
      <c r="BS359" s="6" t="str">
        <f t="shared" si="158"/>
        <v>Altamente antiinflamatorio</v>
      </c>
      <c r="BT359" s="6" t="str">
        <f t="shared" si="159"/>
        <v>Bajo en grasas</v>
      </c>
      <c r="BU359" s="18" t="str">
        <f t="shared" si="168"/>
        <v>Alto riesgo de retención de líquidos</v>
      </c>
      <c r="BV359" s="18" t="str">
        <f t="shared" si="169"/>
        <v>Media fuente de magnesio</v>
      </c>
      <c r="BW359" s="18" t="str">
        <f t="shared" si="170"/>
        <v>Sin aporte de Omega 3</v>
      </c>
      <c r="BX359" s="18" t="str">
        <f t="shared" si="171"/>
        <v>Libre de grasas trans</v>
      </c>
      <c r="BY359" s="18" t="str">
        <f t="shared" si="172"/>
        <v>Bajo poder antioxidante</v>
      </c>
      <c r="BZ359" s="6" t="str">
        <f t="shared" si="160"/>
        <v>Sin probióticos</v>
      </c>
      <c r="CA359" s="18" t="str">
        <f t="shared" si="173"/>
        <v>Poco inflamatorio</v>
      </c>
      <c r="CB359" s="18" t="str">
        <f>IF(ISNUMBER(SEARCH("miel", D359)), "No irritante (Uso condicionado SII)", IF(OR(J359&gt;0, ISNUMBER(SEARCH("cacao", D359)), ISNUMBER(SEARCH("chocolate puro", D359))), "Altamente irritante", IF(OR(AND(O359&gt;15, BI359&gt;1), ISNUMBER(SEARCH("chocolate", D359))), "Moderadamente irritante", "No irritante")))</f>
        <v>No irritante</v>
      </c>
      <c r="CC359" s="6" t="str">
        <f t="shared" si="161"/>
        <v>Exceso relativo de Omega 6</v>
      </c>
    </row>
    <row r="360" spans="1:81" ht="15" customHeight="1" x14ac:dyDescent="0.3">
      <c r="A360" s="2">
        <f t="shared" si="162"/>
        <v>359</v>
      </c>
      <c r="B360" s="3" t="s">
        <v>488</v>
      </c>
      <c r="C360" s="3" t="s">
        <v>489</v>
      </c>
      <c r="D360" s="3" t="s">
        <v>500</v>
      </c>
      <c r="E360" s="3"/>
      <c r="F360" s="4">
        <v>15</v>
      </c>
      <c r="G360" s="5">
        <v>0.4</v>
      </c>
      <c r="H360" s="5">
        <v>110</v>
      </c>
      <c r="I360" s="5">
        <v>73.400000000000006</v>
      </c>
      <c r="J360" s="5">
        <v>0</v>
      </c>
      <c r="K360" s="5">
        <v>24.3</v>
      </c>
      <c r="L360" s="5">
        <v>1.5</v>
      </c>
      <c r="M360" s="5">
        <v>0</v>
      </c>
      <c r="N360" s="5">
        <v>1.5</v>
      </c>
      <c r="O360" s="5">
        <v>0</v>
      </c>
      <c r="P360" s="5">
        <v>0</v>
      </c>
      <c r="Q360" s="5">
        <v>0.8</v>
      </c>
      <c r="R360" s="5">
        <v>0.2</v>
      </c>
      <c r="S360" s="5">
        <v>0.1</v>
      </c>
      <c r="T360" s="5">
        <v>0.22</v>
      </c>
      <c r="U360" s="5">
        <v>185</v>
      </c>
      <c r="V360" s="5">
        <v>0</v>
      </c>
      <c r="W360" s="5">
        <v>0</v>
      </c>
      <c r="X360" s="5">
        <v>0</v>
      </c>
      <c r="Y360" s="5">
        <v>0.01</v>
      </c>
      <c r="Z360" s="5">
        <v>1.5</v>
      </c>
      <c r="AA360" s="5">
        <v>0.04</v>
      </c>
      <c r="AB360" s="5">
        <v>0.02</v>
      </c>
      <c r="AC360" s="5">
        <v>0.02</v>
      </c>
      <c r="AD360" s="5">
        <v>3.2</v>
      </c>
      <c r="AE360" s="5">
        <v>0.06</v>
      </c>
      <c r="AF360" s="5">
        <v>2</v>
      </c>
      <c r="AG360" s="5">
        <v>1.9</v>
      </c>
      <c r="AH360" s="5">
        <v>0.28000000000000003</v>
      </c>
      <c r="AI360" s="5">
        <v>0</v>
      </c>
      <c r="AJ360" s="5">
        <v>0</v>
      </c>
      <c r="AK360" s="5">
        <v>115</v>
      </c>
      <c r="AL360" s="5">
        <v>215</v>
      </c>
      <c r="AM360" s="5">
        <v>3.3</v>
      </c>
      <c r="AN360" s="5">
        <v>90</v>
      </c>
      <c r="AO360" s="5">
        <v>1.1000000000000001</v>
      </c>
      <c r="AP360" s="5">
        <v>69</v>
      </c>
      <c r="AQ360" s="5">
        <v>305</v>
      </c>
      <c r="AR360" s="5">
        <v>221</v>
      </c>
      <c r="AS360" s="5">
        <v>0.01</v>
      </c>
      <c r="AT360" s="5">
        <v>0.1</v>
      </c>
      <c r="AU360" s="5">
        <v>24.3</v>
      </c>
      <c r="AV360" s="5">
        <f>IFERROR(VLOOKUP(IFERROR(VLOOKUP(D360,Mapa_Similitud!$A$2:$B$2000,2,FALSE()),D360),Hoja1!$A$2:$K$1000,2,FALSE()),IFERROR(VLOOKUP(IFERROR(VLOOKUP(D360,Mapa_Similitud!$A$2:$B$2000,2,FALSE()),D360),Omega3_Referencia!$A$2:$E$100,3,FALSE()),0))</f>
        <v>0.3</v>
      </c>
      <c r="AW360" s="3" t="str">
        <f>IFERROR(VLOOKUP(IFERROR(VLOOKUP(D360,Mapa_Similitud!$A$2:$B$2000,2,FALSE()),D360),Hoja1!$A$2:$K$1000,3,FALSE()),IFERROR(VLOOKUP(IFERROR(VLOOKUP(D360,Mapa_Similitud!$A$2:$B$2000,2,FALSE()),D360),Omega3_Referencia!$A$2:$E$100,4,FALSE()),"N/A"))</f>
        <v>EPA/DHA</v>
      </c>
      <c r="AX360" s="5">
        <f>IFERROR(VLOOKUP(IFERROR(VLOOKUP(D360,Mapa_Similitud!$A$2:$B$2000,2,FALSE()),D360),Hoja1!$A$2:$K$1000,5,FALSE()),0)</f>
        <v>0</v>
      </c>
      <c r="AY360" s="5">
        <f>IFERROR(VLOOKUP(IFERROR(VLOOKUP(D360,Mapa_Similitud!$A$2:$B$2000,2,FALSE()),D360),Hoja1!$A$2:$K$1000,7,FALSE()),0)</f>
        <v>0</v>
      </c>
      <c r="AZ360" s="5">
        <f>IFERROR(VLOOKUP(IFERROR(VLOOKUP(D360,Mapa_Similitud!$A$2:$B$2000,2,FALSE()),D360),Hoja1!$A$2:$K$1000,9,FALSE()),0)</f>
        <v>0</v>
      </c>
      <c r="BA360" s="25">
        <f t="shared" si="145"/>
        <v>0.22090909090909092</v>
      </c>
      <c r="BB360" s="25">
        <f t="shared" si="146"/>
        <v>0</v>
      </c>
      <c r="BC360" s="25">
        <f t="shared" si="147"/>
        <v>1.0454545454545454</v>
      </c>
      <c r="BD360" s="25">
        <f t="shared" si="148"/>
        <v>0.03</v>
      </c>
      <c r="BE360" s="25">
        <f t="shared" si="149"/>
        <v>2.7727272727272729</v>
      </c>
      <c r="BF360" s="25">
        <f t="shared" si="150"/>
        <v>1.0999999999999999</v>
      </c>
      <c r="BG360" s="25">
        <f t="shared" si="151"/>
        <v>0.53488372093023251</v>
      </c>
      <c r="BH360" s="25">
        <f t="shared" si="152"/>
        <v>0.25</v>
      </c>
      <c r="BI360" s="25">
        <f t="shared" si="153"/>
        <v>1.3800904977375565</v>
      </c>
      <c r="BJ360" s="25">
        <f t="shared" si="154"/>
        <v>1</v>
      </c>
      <c r="BK360" s="25">
        <f t="shared" si="155"/>
        <v>0</v>
      </c>
      <c r="BL360" s="25">
        <f t="shared" si="156"/>
        <v>6.545454545454546E-2</v>
      </c>
      <c r="BM360" s="25">
        <f t="shared" si="157"/>
        <v>0.62727272727272732</v>
      </c>
      <c r="BN360" s="18" t="str">
        <f t="shared" si="163"/>
        <v>Muy alta fuente de proteína</v>
      </c>
      <c r="BO360" s="18" t="str">
        <f t="shared" si="164"/>
        <v>Baja fuente de fibra</v>
      </c>
      <c r="BP360" s="18" t="str">
        <f t="shared" si="165"/>
        <v>Media fuente de calcio</v>
      </c>
      <c r="BQ360" s="18" t="str">
        <f t="shared" si="166"/>
        <v>Alta fuente de hierro</v>
      </c>
      <c r="BR360" s="18" t="str">
        <f t="shared" si="167"/>
        <v>Muy alto en sodio</v>
      </c>
      <c r="BS360" s="6" t="str">
        <f t="shared" si="158"/>
        <v>Ligeramente antiinflamatorio</v>
      </c>
      <c r="BT360" s="6" t="str">
        <f t="shared" si="159"/>
        <v>Bajo en grasas</v>
      </c>
      <c r="BU360" s="18" t="str">
        <f t="shared" si="168"/>
        <v>Alto riesgo de retención de líquidos</v>
      </c>
      <c r="BV360" s="18" t="str">
        <f t="shared" si="169"/>
        <v>Alta fuente de magnesio</v>
      </c>
      <c r="BW360" s="18" t="str">
        <f t="shared" si="170"/>
        <v>Ligera fuente de Omega 3</v>
      </c>
      <c r="BX360" s="18" t="str">
        <f t="shared" si="171"/>
        <v>Libre de grasas trans</v>
      </c>
      <c r="BY360" s="18" t="str">
        <f t="shared" si="172"/>
        <v>Bajo poder antioxidante</v>
      </c>
      <c r="BZ360" s="6" t="str">
        <f t="shared" si="160"/>
        <v>Sin probióticos</v>
      </c>
      <c r="CA360" s="18" t="str">
        <f t="shared" si="173"/>
        <v>Poco inflamatorio</v>
      </c>
      <c r="CB360" s="18" t="str">
        <f>IF(ISNUMBER(SEARCH("miel", D360)), "No irritante (Uso condicionado SII)", IF(OR(J360&gt;0, ISNUMBER(SEARCH("cacao", D360)), ISNUMBER(SEARCH("chocolate puro", D360))), "Altamente irritante", IF(OR(AND(O360&gt;15, BI360&gt;1), ISNUMBER(SEARCH("chocolate", D360))), "Moderadamente irritante", "No irritante")))</f>
        <v>No irritante</v>
      </c>
      <c r="CC360" s="6" t="str">
        <f t="shared" si="161"/>
        <v>Balance de omegas favorable</v>
      </c>
    </row>
    <row r="361" spans="1:81" ht="15" customHeight="1" x14ac:dyDescent="0.3">
      <c r="A361" s="2">
        <f t="shared" si="162"/>
        <v>360</v>
      </c>
      <c r="B361" s="3" t="s">
        <v>488</v>
      </c>
      <c r="C361" s="3" t="s">
        <v>489</v>
      </c>
      <c r="D361" s="3" t="s">
        <v>501</v>
      </c>
      <c r="E361" s="3"/>
      <c r="F361" s="4">
        <v>5</v>
      </c>
      <c r="G361" s="5">
        <v>0.25</v>
      </c>
      <c r="H361" s="5">
        <v>72.400000000000006</v>
      </c>
      <c r="I361" s="5">
        <v>84.4</v>
      </c>
      <c r="J361" s="5">
        <v>0</v>
      </c>
      <c r="K361" s="5">
        <v>10.199999999999999</v>
      </c>
      <c r="L361" s="5">
        <v>3.4</v>
      </c>
      <c r="M361" s="5">
        <v>0</v>
      </c>
      <c r="N361" s="5">
        <v>3.4</v>
      </c>
      <c r="O361" s="5">
        <v>0</v>
      </c>
      <c r="P361" s="5">
        <v>0</v>
      </c>
      <c r="Q361" s="5">
        <v>2</v>
      </c>
      <c r="R361" s="5">
        <v>0.59</v>
      </c>
      <c r="S361" s="5">
        <v>0.27</v>
      </c>
      <c r="T361" s="5">
        <v>0.53</v>
      </c>
      <c r="U361" s="5">
        <v>126</v>
      </c>
      <c r="V361" s="5">
        <v>48</v>
      </c>
      <c r="W361" s="5">
        <v>48</v>
      </c>
      <c r="X361" s="5">
        <v>0</v>
      </c>
      <c r="Y361" s="5">
        <v>0</v>
      </c>
      <c r="Z361" s="5">
        <v>0.75</v>
      </c>
      <c r="AA361" s="5">
        <v>0.1</v>
      </c>
      <c r="AB361" s="5">
        <v>0.16</v>
      </c>
      <c r="AC361" s="5">
        <v>0.22</v>
      </c>
      <c r="AD361" s="5">
        <v>3</v>
      </c>
      <c r="AE361" s="5">
        <v>7.5999999999999998E-2</v>
      </c>
      <c r="AF361" s="5">
        <v>33</v>
      </c>
      <c r="AG361" s="5">
        <v>8</v>
      </c>
      <c r="AH361" s="5">
        <v>0.5</v>
      </c>
      <c r="AI361" s="5">
        <v>0</v>
      </c>
      <c r="AJ361" s="5">
        <v>3.2</v>
      </c>
      <c r="AK361" s="5">
        <v>80</v>
      </c>
      <c r="AL361" s="5">
        <v>200</v>
      </c>
      <c r="AM361" s="5">
        <v>4.2</v>
      </c>
      <c r="AN361" s="5">
        <v>105</v>
      </c>
      <c r="AO361" s="5">
        <v>1.8</v>
      </c>
      <c r="AP361" s="5">
        <v>32</v>
      </c>
      <c r="AQ361" s="5">
        <v>296</v>
      </c>
      <c r="AR361" s="5">
        <v>282</v>
      </c>
      <c r="AS361" s="5">
        <v>2.2999999999999998</v>
      </c>
      <c r="AT361" s="5">
        <v>0.18</v>
      </c>
      <c r="AU361" s="5">
        <v>56</v>
      </c>
      <c r="AV361" s="5">
        <f>IFERROR(VLOOKUP(IFERROR(VLOOKUP(D361,Mapa_Similitud!$A$2:$B$2000,2,FALSE()),D361),Hoja1!$A$2:$K$1000,2,FALSE()),IFERROR(VLOOKUP(IFERROR(VLOOKUP(D361,Mapa_Similitud!$A$2:$B$2000,2,FALSE()),D361),Omega3_Referencia!$A$2:$E$100,3,FALSE()),0))</f>
        <v>0.45</v>
      </c>
      <c r="AW361" s="3" t="str">
        <f>IFERROR(VLOOKUP(IFERROR(VLOOKUP(D361,Mapa_Similitud!$A$2:$B$2000,2,FALSE()),D361),Hoja1!$A$2:$K$1000,3,FALSE()),IFERROR(VLOOKUP(IFERROR(VLOOKUP(D361,Mapa_Similitud!$A$2:$B$2000,2,FALSE()),D361),Omega3_Referencia!$A$2:$E$100,4,FALSE()),"N/A"))</f>
        <v>EPA/DHA</v>
      </c>
      <c r="AX361" s="5">
        <f>IFERROR(VLOOKUP(IFERROR(VLOOKUP(D361,Mapa_Similitud!$A$2:$B$2000,2,FALSE()),D361),Hoja1!$A$2:$K$1000,5,FALSE()),0)</f>
        <v>0</v>
      </c>
      <c r="AY361" s="5">
        <f>IFERROR(VLOOKUP(IFERROR(VLOOKUP(D361,Mapa_Similitud!$A$2:$B$2000,2,FALSE()),D361),Hoja1!$A$2:$K$1000,7,FALSE()),0)</f>
        <v>0</v>
      </c>
      <c r="AZ361" s="5">
        <f>IFERROR(VLOOKUP(IFERROR(VLOOKUP(D361,Mapa_Similitud!$A$2:$B$2000,2,FALSE()),D361),Hoja1!$A$2:$K$1000,9,FALSE()),0)</f>
        <v>0</v>
      </c>
      <c r="BA361" s="25">
        <f t="shared" si="145"/>
        <v>0.14088397790055246</v>
      </c>
      <c r="BB361" s="25">
        <f t="shared" si="146"/>
        <v>0</v>
      </c>
      <c r="BC361" s="25">
        <f t="shared" si="147"/>
        <v>1.1049723756906076</v>
      </c>
      <c r="BD361" s="25">
        <f t="shared" si="148"/>
        <v>5.8011049723756904E-2</v>
      </c>
      <c r="BE361" s="25">
        <f t="shared" si="149"/>
        <v>4.0883977900552484</v>
      </c>
      <c r="BF361" s="25">
        <f t="shared" si="150"/>
        <v>0.89830508474576276</v>
      </c>
      <c r="BG361" s="25">
        <f t="shared" si="151"/>
        <v>0.4</v>
      </c>
      <c r="BH361" s="25">
        <f t="shared" si="152"/>
        <v>0.29499999999999998</v>
      </c>
      <c r="BI361" s="25">
        <f t="shared" si="153"/>
        <v>1.0496453900709219</v>
      </c>
      <c r="BJ361" s="25">
        <f t="shared" si="154"/>
        <v>1</v>
      </c>
      <c r="BK361" s="25">
        <f t="shared" si="155"/>
        <v>0</v>
      </c>
      <c r="BL361" s="25">
        <f t="shared" si="156"/>
        <v>0.24861878453038672</v>
      </c>
      <c r="BM361" s="25">
        <f t="shared" si="157"/>
        <v>0.44198895027624308</v>
      </c>
      <c r="BN361" s="18" t="str">
        <f t="shared" si="163"/>
        <v>Media fuente de proteína</v>
      </c>
      <c r="BO361" s="18" t="str">
        <f t="shared" si="164"/>
        <v>Baja fuente de fibra</v>
      </c>
      <c r="BP361" s="18" t="str">
        <f t="shared" si="165"/>
        <v>Media fuente de calcio</v>
      </c>
      <c r="BQ361" s="18" t="str">
        <f t="shared" si="166"/>
        <v>Alta fuente de hierro</v>
      </c>
      <c r="BR361" s="18" t="str">
        <f t="shared" si="167"/>
        <v>Muy alto en sodio</v>
      </c>
      <c r="BS361" s="6" t="str">
        <f t="shared" si="158"/>
        <v>Neutro</v>
      </c>
      <c r="BT361" s="6" t="str">
        <f t="shared" si="159"/>
        <v>Moderado en grasas</v>
      </c>
      <c r="BU361" s="18" t="str">
        <f t="shared" si="168"/>
        <v>Alto riesgo de retención de líquidos</v>
      </c>
      <c r="BV361" s="18" t="str">
        <f t="shared" si="169"/>
        <v>Media fuente de magnesio</v>
      </c>
      <c r="BW361" s="18" t="str">
        <f t="shared" si="170"/>
        <v>Ligera fuente de Omega 3</v>
      </c>
      <c r="BX361" s="18" t="str">
        <f t="shared" si="171"/>
        <v>Libre de grasas trans</v>
      </c>
      <c r="BY361" s="18" t="str">
        <f t="shared" si="172"/>
        <v>Bajo poder antioxidante</v>
      </c>
      <c r="BZ361" s="6" t="str">
        <f t="shared" si="160"/>
        <v>Sin probióticos</v>
      </c>
      <c r="CA361" s="18" t="str">
        <f t="shared" si="173"/>
        <v>Poco inflamatorio</v>
      </c>
      <c r="CB361" s="18" t="str">
        <f>IF(ISNUMBER(SEARCH("miel", D361)), "No irritante (Uso condicionado SII)", IF(OR(J361&gt;0, ISNUMBER(SEARCH("cacao", D361)), ISNUMBER(SEARCH("chocolate puro", D361))), "Altamente irritante", IF(OR(AND(O361&gt;15, BI361&gt;1), ISNUMBER(SEARCH("chocolate", D361))), "Moderadamente irritante", "No irritante")))</f>
        <v>No irritante</v>
      </c>
      <c r="CC361" s="6" t="str">
        <f t="shared" si="161"/>
        <v>Balance de omegas favorable</v>
      </c>
    </row>
    <row r="362" spans="1:81" ht="15" customHeight="1" x14ac:dyDescent="0.3">
      <c r="A362" s="2">
        <f t="shared" si="162"/>
        <v>361</v>
      </c>
      <c r="B362" s="3" t="s">
        <v>488</v>
      </c>
      <c r="C362" s="3" t="s">
        <v>489</v>
      </c>
      <c r="D362" s="3" t="s">
        <v>502</v>
      </c>
      <c r="E362" s="3"/>
      <c r="F362" s="4">
        <v>15</v>
      </c>
      <c r="G362" s="5">
        <v>0.15</v>
      </c>
      <c r="H362" s="5">
        <v>66</v>
      </c>
      <c r="I362" s="5">
        <v>85</v>
      </c>
      <c r="J362" s="5">
        <v>0</v>
      </c>
      <c r="K362" s="5">
        <v>9</v>
      </c>
      <c r="L362" s="5">
        <v>4.8</v>
      </c>
      <c r="M362" s="5">
        <v>0</v>
      </c>
      <c r="N362" s="5">
        <v>4.8</v>
      </c>
      <c r="O362" s="5">
        <v>0</v>
      </c>
      <c r="P362" s="5">
        <v>0</v>
      </c>
      <c r="Q362" s="5">
        <v>1.2</v>
      </c>
      <c r="R362" s="5">
        <v>0.42</v>
      </c>
      <c r="S362" s="5">
        <v>0.13</v>
      </c>
      <c r="T362" s="5">
        <v>0.28000000000000003</v>
      </c>
      <c r="U362" s="5">
        <v>123</v>
      </c>
      <c r="V362" s="5">
        <v>90</v>
      </c>
      <c r="W362" s="5">
        <v>90</v>
      </c>
      <c r="X362" s="5">
        <v>0</v>
      </c>
      <c r="Y362" s="5">
        <v>0.54</v>
      </c>
      <c r="Z362" s="5">
        <v>0.85</v>
      </c>
      <c r="AA362" s="5">
        <v>0.1</v>
      </c>
      <c r="AB362" s="5">
        <v>0.16</v>
      </c>
      <c r="AC362" s="5">
        <v>0.2</v>
      </c>
      <c r="AD362" s="5">
        <v>3</v>
      </c>
      <c r="AE362" s="5">
        <v>0.22</v>
      </c>
      <c r="AF362" s="5">
        <v>7</v>
      </c>
      <c r="AG362" s="5">
        <v>15</v>
      </c>
      <c r="AH362" s="5">
        <v>0.32</v>
      </c>
      <c r="AI362" s="5">
        <v>10</v>
      </c>
      <c r="AJ362" s="5">
        <v>0</v>
      </c>
      <c r="AK362" s="5">
        <v>130</v>
      </c>
      <c r="AL362" s="5">
        <v>157</v>
      </c>
      <c r="AM362" s="5">
        <v>3.1</v>
      </c>
      <c r="AN362" s="5">
        <v>58</v>
      </c>
      <c r="AO362" s="5">
        <v>22</v>
      </c>
      <c r="AP362" s="5">
        <v>32</v>
      </c>
      <c r="AQ362" s="5">
        <v>160</v>
      </c>
      <c r="AR362" s="5">
        <v>184</v>
      </c>
      <c r="AS362" s="5">
        <v>0.14000000000000001</v>
      </c>
      <c r="AT362" s="5">
        <v>0.92</v>
      </c>
      <c r="AU362" s="5">
        <v>28</v>
      </c>
      <c r="AV362" s="5">
        <f>IFERROR(VLOOKUP(IFERROR(VLOOKUP(D362,Mapa_Similitud!$A$2:$B$2000,2,FALSE()),D362),Hoja1!$A$2:$K$1000,2,FALSE()),IFERROR(VLOOKUP(IFERROR(VLOOKUP(D362,Mapa_Similitud!$A$2:$B$2000,2,FALSE()),D362),Omega3_Referencia!$A$2:$E$100,3,FALSE()),0))</f>
        <v>0.45</v>
      </c>
      <c r="AW362" s="3" t="str">
        <f>IFERROR(VLOOKUP(IFERROR(VLOOKUP(D362,Mapa_Similitud!$A$2:$B$2000,2,FALSE()),D362),Hoja1!$A$2:$K$1000,3,FALSE()),IFERROR(VLOOKUP(IFERROR(VLOOKUP(D362,Mapa_Similitud!$A$2:$B$2000,2,FALSE()),D362),Omega3_Referencia!$A$2:$E$100,4,FALSE()),"N/A"))</f>
        <v>EPA/DHA</v>
      </c>
      <c r="AX362" s="5">
        <f>IFERROR(VLOOKUP(IFERROR(VLOOKUP(D362,Mapa_Similitud!$A$2:$B$2000,2,FALSE()),D362),Hoja1!$A$2:$K$1000,5,FALSE()),0)</f>
        <v>0</v>
      </c>
      <c r="AY362" s="5">
        <f>IFERROR(VLOOKUP(IFERROR(VLOOKUP(D362,Mapa_Similitud!$A$2:$B$2000,2,FALSE()),D362),Hoja1!$A$2:$K$1000,7,FALSE()),0)</f>
        <v>0</v>
      </c>
      <c r="AZ362" s="5">
        <f>IFERROR(VLOOKUP(IFERROR(VLOOKUP(D362,Mapa_Similitud!$A$2:$B$2000,2,FALSE()),D362),Hoja1!$A$2:$K$1000,9,FALSE()),0)</f>
        <v>0</v>
      </c>
      <c r="BA362" s="25">
        <f t="shared" si="145"/>
        <v>0.13636363636363635</v>
      </c>
      <c r="BB362" s="25">
        <f t="shared" si="146"/>
        <v>0</v>
      </c>
      <c r="BC362" s="25">
        <f t="shared" si="147"/>
        <v>1.9696969696969697</v>
      </c>
      <c r="BD362" s="25">
        <f t="shared" si="148"/>
        <v>4.6969696969696974E-2</v>
      </c>
      <c r="BE362" s="25">
        <f t="shared" si="149"/>
        <v>2.4242424242424243</v>
      </c>
      <c r="BF362" s="25">
        <f t="shared" si="150"/>
        <v>0.66666666666666674</v>
      </c>
      <c r="BG362" s="25">
        <f t="shared" si="151"/>
        <v>0.82802547770700641</v>
      </c>
      <c r="BH362" s="25">
        <f t="shared" si="152"/>
        <v>0.35</v>
      </c>
      <c r="BI362" s="25">
        <f t="shared" si="153"/>
        <v>0.86956521739130432</v>
      </c>
      <c r="BJ362" s="25">
        <f t="shared" si="154"/>
        <v>1</v>
      </c>
      <c r="BK362" s="25">
        <f t="shared" si="155"/>
        <v>0</v>
      </c>
      <c r="BL362" s="25">
        <f t="shared" si="156"/>
        <v>0.16363636363636361</v>
      </c>
      <c r="BM362" s="25">
        <f t="shared" si="157"/>
        <v>0.48484848484848486</v>
      </c>
      <c r="BN362" s="18" t="str">
        <f t="shared" si="163"/>
        <v>Media fuente de proteína</v>
      </c>
      <c r="BO362" s="18" t="str">
        <f t="shared" si="164"/>
        <v>Baja fuente de fibra</v>
      </c>
      <c r="BP362" s="18" t="str">
        <f t="shared" si="165"/>
        <v>Alta fuente de calcio</v>
      </c>
      <c r="BQ362" s="18" t="str">
        <f t="shared" si="166"/>
        <v>Alta fuente de hierro</v>
      </c>
      <c r="BR362" s="18" t="str">
        <f t="shared" si="167"/>
        <v>Muy alto en sodio</v>
      </c>
      <c r="BS362" s="6" t="str">
        <f t="shared" si="158"/>
        <v>Neutro</v>
      </c>
      <c r="BT362" s="6" t="str">
        <f t="shared" si="159"/>
        <v>Bajo en grasas</v>
      </c>
      <c r="BU362" s="18" t="str">
        <f t="shared" si="168"/>
        <v>Riesgo moderado de retención</v>
      </c>
      <c r="BV362" s="18" t="str">
        <f t="shared" si="169"/>
        <v>Media fuente de magnesio</v>
      </c>
      <c r="BW362" s="18" t="str">
        <f t="shared" si="170"/>
        <v>Ligera fuente de Omega 3</v>
      </c>
      <c r="BX362" s="18" t="str">
        <f t="shared" si="171"/>
        <v>Libre de grasas trans</v>
      </c>
      <c r="BY362" s="18" t="str">
        <f t="shared" si="172"/>
        <v>Bajo poder antioxidante</v>
      </c>
      <c r="BZ362" s="6" t="str">
        <f t="shared" si="160"/>
        <v>Sin probióticos</v>
      </c>
      <c r="CA362" s="18" t="str">
        <f t="shared" si="173"/>
        <v>Poco inflamatorio</v>
      </c>
      <c r="CB362" s="18" t="str">
        <f>IF(ISNUMBER(SEARCH("miel", D362)), "No irritante (Uso condicionado SII)", IF(OR(J362&gt;0, ISNUMBER(SEARCH("cacao", D362)), ISNUMBER(SEARCH("chocolate puro", D362))), "Altamente irritante", IF(OR(AND(O362&gt;15, BI362&gt;1), ISNUMBER(SEARCH("chocolate", D362))), "Moderadamente irritante", "No irritante")))</f>
        <v>No irritante</v>
      </c>
      <c r="CC362" s="6" t="str">
        <f t="shared" si="161"/>
        <v>Balance de omegas favorable</v>
      </c>
    </row>
    <row r="363" spans="1:81" ht="15" customHeight="1" x14ac:dyDescent="0.3">
      <c r="A363" s="2">
        <f t="shared" si="162"/>
        <v>362</v>
      </c>
      <c r="B363" s="3" t="s">
        <v>488</v>
      </c>
      <c r="C363" s="3" t="s">
        <v>489</v>
      </c>
      <c r="D363" s="3" t="s">
        <v>503</v>
      </c>
      <c r="E363" s="3"/>
      <c r="F363" s="4">
        <v>15</v>
      </c>
      <c r="G363" s="5">
        <v>0.79</v>
      </c>
      <c r="H363" s="5">
        <v>89.8</v>
      </c>
      <c r="I363" s="5">
        <v>79.3</v>
      </c>
      <c r="J363" s="5">
        <v>0</v>
      </c>
      <c r="K363" s="5">
        <v>17.899999999999999</v>
      </c>
      <c r="L363" s="5">
        <v>1.4</v>
      </c>
      <c r="M363" s="5">
        <v>0</v>
      </c>
      <c r="N363" s="5">
        <v>1.4</v>
      </c>
      <c r="O363" s="5">
        <v>0</v>
      </c>
      <c r="P363" s="5">
        <v>0</v>
      </c>
      <c r="Q363" s="5">
        <v>1.4</v>
      </c>
      <c r="R363" s="5">
        <v>0.3</v>
      </c>
      <c r="S363" s="5">
        <v>0.2</v>
      </c>
      <c r="T363" s="5">
        <v>0.5</v>
      </c>
      <c r="U363" s="5">
        <v>48</v>
      </c>
      <c r="V363" s="5">
        <v>45</v>
      </c>
      <c r="W363" s="5">
        <v>45</v>
      </c>
      <c r="X363" s="5">
        <v>0</v>
      </c>
      <c r="Y363" s="5">
        <v>0</v>
      </c>
      <c r="Z363" s="5">
        <v>2.1</v>
      </c>
      <c r="AA363" s="5">
        <v>7.0000000000000007E-2</v>
      </c>
      <c r="AB363" s="5">
        <v>7.0000000000000007E-2</v>
      </c>
      <c r="AC363" s="5">
        <v>0.04</v>
      </c>
      <c r="AD363" s="5">
        <v>6.8</v>
      </c>
      <c r="AE363" s="5">
        <v>0.36</v>
      </c>
      <c r="AF363" s="5">
        <v>13</v>
      </c>
      <c r="AG363" s="5">
        <v>3</v>
      </c>
      <c r="AH363" s="5">
        <v>0.5</v>
      </c>
      <c r="AI363" s="5">
        <v>0</v>
      </c>
      <c r="AJ363" s="5">
        <v>0</v>
      </c>
      <c r="AK363" s="5">
        <v>144</v>
      </c>
      <c r="AL363" s="5">
        <v>170</v>
      </c>
      <c r="AM363" s="5">
        <v>1.2</v>
      </c>
      <c r="AN363" s="5">
        <v>64</v>
      </c>
      <c r="AO363" s="5">
        <v>1.7</v>
      </c>
      <c r="AP363" s="5">
        <v>28</v>
      </c>
      <c r="AQ363" s="5">
        <v>363</v>
      </c>
      <c r="AR363" s="5">
        <v>230</v>
      </c>
      <c r="AS363" s="5">
        <v>0.02</v>
      </c>
      <c r="AT363" s="5">
        <v>0.43</v>
      </c>
      <c r="AU363" s="5">
        <v>44.8</v>
      </c>
      <c r="AV363" s="5">
        <f>IFERROR(VLOOKUP(IFERROR(VLOOKUP(D363,Mapa_Similitud!$A$2:$B$2000,2,FALSE()),D363),Hoja1!$A$2:$K$1000,2,FALSE()),IFERROR(VLOOKUP(IFERROR(VLOOKUP(D363,Mapa_Similitud!$A$2:$B$2000,2,FALSE()),D363),Omega3_Referencia!$A$2:$E$100,3,FALSE()),0))</f>
        <v>0.35</v>
      </c>
      <c r="AW363" s="3" t="str">
        <f>IFERROR(VLOOKUP(IFERROR(VLOOKUP(D363,Mapa_Similitud!$A$2:$B$2000,2,FALSE()),D363),Hoja1!$A$2:$K$1000,3,FALSE()),IFERROR(VLOOKUP(IFERROR(VLOOKUP(D363,Mapa_Similitud!$A$2:$B$2000,2,FALSE()),D363),Omega3_Referencia!$A$2:$E$100,4,FALSE()),"N/A"))</f>
        <v>EPA/DHA</v>
      </c>
      <c r="AX363" s="5">
        <f>IFERROR(VLOOKUP(IFERROR(VLOOKUP(D363,Mapa_Similitud!$A$2:$B$2000,2,FALSE()),D363),Hoja1!$A$2:$K$1000,5,FALSE()),0)</f>
        <v>0</v>
      </c>
      <c r="AY363" s="5">
        <f>IFERROR(VLOOKUP(IFERROR(VLOOKUP(D363,Mapa_Similitud!$A$2:$B$2000,2,FALSE()),D363),Hoja1!$A$2:$K$1000,7,FALSE()),0)</f>
        <v>0</v>
      </c>
      <c r="AZ363" s="5">
        <f>IFERROR(VLOOKUP(IFERROR(VLOOKUP(D363,Mapa_Similitud!$A$2:$B$2000,2,FALSE()),D363),Hoja1!$A$2:$K$1000,9,FALSE()),0)</f>
        <v>0</v>
      </c>
      <c r="BA363" s="25">
        <f t="shared" si="145"/>
        <v>0.19933184855233851</v>
      </c>
      <c r="BB363" s="25">
        <f t="shared" si="146"/>
        <v>0</v>
      </c>
      <c r="BC363" s="25">
        <f t="shared" si="147"/>
        <v>1.603563474387528</v>
      </c>
      <c r="BD363" s="25">
        <f t="shared" si="148"/>
        <v>1.3363028953229399E-2</v>
      </c>
      <c r="BE363" s="25">
        <f t="shared" si="149"/>
        <v>4.0423162583518932</v>
      </c>
      <c r="BF363" s="25">
        <f t="shared" si="150"/>
        <v>1.6666666666666667</v>
      </c>
      <c r="BG363" s="25">
        <f t="shared" si="151"/>
        <v>0.84705882352941175</v>
      </c>
      <c r="BH363" s="25">
        <f t="shared" si="152"/>
        <v>0.2142857142857143</v>
      </c>
      <c r="BI363" s="25">
        <f t="shared" si="153"/>
        <v>1.5782608695652174</v>
      </c>
      <c r="BJ363" s="25">
        <f t="shared" si="154"/>
        <v>1</v>
      </c>
      <c r="BK363" s="25">
        <f t="shared" si="155"/>
        <v>0</v>
      </c>
      <c r="BL363" s="25">
        <f t="shared" si="156"/>
        <v>0.14031180400890869</v>
      </c>
      <c r="BM363" s="25">
        <f t="shared" si="157"/>
        <v>0.31180400890868598</v>
      </c>
      <c r="BN363" s="18" t="str">
        <f t="shared" si="163"/>
        <v>Alta fuente de proteína</v>
      </c>
      <c r="BO363" s="18" t="str">
        <f t="shared" si="164"/>
        <v>Baja fuente de fibra</v>
      </c>
      <c r="BP363" s="18" t="str">
        <f t="shared" si="165"/>
        <v>Alta fuente de calcio</v>
      </c>
      <c r="BQ363" s="18" t="str">
        <f t="shared" si="166"/>
        <v>Media fuente de hierro</v>
      </c>
      <c r="BR363" s="18" t="str">
        <f t="shared" si="167"/>
        <v>Muy alto en sodio</v>
      </c>
      <c r="BS363" s="6" t="str">
        <f t="shared" si="158"/>
        <v>Ligeramente antiinflamatorio</v>
      </c>
      <c r="BT363" s="6" t="str">
        <f t="shared" si="159"/>
        <v>Bajo en grasas</v>
      </c>
      <c r="BU363" s="18" t="str">
        <f t="shared" si="168"/>
        <v>Alto riesgo de retención de líquidos</v>
      </c>
      <c r="BV363" s="18" t="str">
        <f t="shared" si="169"/>
        <v>Media fuente de magnesio</v>
      </c>
      <c r="BW363" s="18" t="str">
        <f t="shared" si="170"/>
        <v>Ligera fuente de Omega 3</v>
      </c>
      <c r="BX363" s="18" t="str">
        <f t="shared" si="171"/>
        <v>Libre de grasas trans</v>
      </c>
      <c r="BY363" s="18" t="str">
        <f t="shared" si="172"/>
        <v>Bajo poder antioxidante</v>
      </c>
      <c r="BZ363" s="6" t="str">
        <f t="shared" si="160"/>
        <v>Sin probióticos</v>
      </c>
      <c r="CA363" s="18" t="str">
        <f t="shared" si="173"/>
        <v>Poco inflamatorio</v>
      </c>
      <c r="CB363" s="18" t="str">
        <f>IF(ISNUMBER(SEARCH("miel", D363)), "No irritante (Uso condicionado SII)", IF(OR(J363&gt;0, ISNUMBER(SEARCH("cacao", D363)), ISNUMBER(SEARCH("chocolate puro", D363))), "Altamente irritante", IF(OR(AND(O363&gt;15, BI363&gt;1), ISNUMBER(SEARCH("chocolate", D363))), "Moderadamente irritante", "No irritante")))</f>
        <v>No irritante</v>
      </c>
      <c r="CC363" s="6" t="str">
        <f t="shared" si="161"/>
        <v>Balance de omegas favorable</v>
      </c>
    </row>
    <row r="364" spans="1:81" ht="15" customHeight="1" x14ac:dyDescent="0.3">
      <c r="A364" s="2">
        <f t="shared" si="162"/>
        <v>363</v>
      </c>
      <c r="B364" s="3" t="s">
        <v>488</v>
      </c>
      <c r="C364" s="3" t="s">
        <v>504</v>
      </c>
      <c r="D364" s="3" t="s">
        <v>505</v>
      </c>
      <c r="E364" s="3"/>
      <c r="F364" s="4">
        <v>8</v>
      </c>
      <c r="G364" s="5">
        <v>0.67</v>
      </c>
      <c r="H364" s="5">
        <v>281</v>
      </c>
      <c r="I364" s="5">
        <v>60.5</v>
      </c>
      <c r="J364" s="5">
        <v>0</v>
      </c>
      <c r="K364" s="5">
        <v>15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24.5</v>
      </c>
      <c r="R364" s="5">
        <v>5.7</v>
      </c>
      <c r="S364" s="5">
        <v>9.5</v>
      </c>
      <c r="T364" s="5">
        <v>3.2</v>
      </c>
      <c r="U364" s="5">
        <v>164</v>
      </c>
      <c r="V364" s="5">
        <v>980</v>
      </c>
      <c r="W364" s="5">
        <v>980</v>
      </c>
      <c r="X364" s="5">
        <v>0</v>
      </c>
      <c r="Y364" s="5">
        <v>20</v>
      </c>
      <c r="Z364" s="5">
        <v>4.0999999999999996</v>
      </c>
      <c r="AA364" s="5">
        <v>0.02</v>
      </c>
      <c r="AB364" s="5">
        <v>0.18</v>
      </c>
      <c r="AC364" s="5">
        <v>0.32</v>
      </c>
      <c r="AD364" s="5">
        <v>4.5999999999999996</v>
      </c>
      <c r="AE364" s="5">
        <v>0.28000000000000003</v>
      </c>
      <c r="AF364" s="5">
        <v>13</v>
      </c>
      <c r="AG364" s="5">
        <v>1</v>
      </c>
      <c r="AH364" s="5">
        <v>0.24</v>
      </c>
      <c r="AI364" s="5">
        <v>0</v>
      </c>
      <c r="AJ364" s="5">
        <v>1.8</v>
      </c>
      <c r="AK364" s="5">
        <v>17</v>
      </c>
      <c r="AL364" s="5">
        <v>334</v>
      </c>
      <c r="AM364" s="5">
        <v>0.87</v>
      </c>
      <c r="AN364" s="5">
        <v>4</v>
      </c>
      <c r="AO364" s="5">
        <v>2</v>
      </c>
      <c r="AP364" s="5">
        <v>24</v>
      </c>
      <c r="AQ364" s="5">
        <v>65</v>
      </c>
      <c r="AR364" s="5">
        <v>259</v>
      </c>
      <c r="AS364" s="5">
        <v>2.5000000000000001E-2</v>
      </c>
      <c r="AT364" s="5">
        <v>8.6999999999999994E-2</v>
      </c>
      <c r="AU364" s="5">
        <v>30</v>
      </c>
      <c r="AV364" s="5">
        <f>IFERROR(VLOOKUP(IFERROR(VLOOKUP(D364,Mapa_Similitud!$A$2:$B$2000,2,FALSE()),D364),Hoja1!$A$2:$K$1000,2,FALSE()),IFERROR(VLOOKUP(IFERROR(VLOOKUP(D364,Mapa_Similitud!$A$2:$B$2000,2,FALSE()),D364),Omega3_Referencia!$A$2:$E$100,3,FALSE()),0))</f>
        <v>1.1000000000000001</v>
      </c>
      <c r="AW364" s="3" t="str">
        <f>IFERROR(VLOOKUP(IFERROR(VLOOKUP(D364,Mapa_Similitud!$A$2:$B$2000,2,FALSE()),D364),Hoja1!$A$2:$K$1000,3,FALSE()),IFERROR(VLOOKUP(IFERROR(VLOOKUP(D364,Mapa_Similitud!$A$2:$B$2000,2,FALSE()),D364),Omega3_Referencia!$A$2:$E$100,4,FALSE()),"N/A"))</f>
        <v>EPA/DHA</v>
      </c>
      <c r="AX364" s="5">
        <f>IFERROR(VLOOKUP(IFERROR(VLOOKUP(D364,Mapa_Similitud!$A$2:$B$2000,2,FALSE()),D364),Hoja1!$A$2:$K$1000,5,FALSE()),0)</f>
        <v>0</v>
      </c>
      <c r="AY364" s="5">
        <f>IFERROR(VLOOKUP(IFERROR(VLOOKUP(D364,Mapa_Similitud!$A$2:$B$2000,2,FALSE()),D364),Hoja1!$A$2:$K$1000,7,FALSE()),0)</f>
        <v>0</v>
      </c>
      <c r="AZ364" s="5">
        <f>IFERROR(VLOOKUP(IFERROR(VLOOKUP(D364,Mapa_Similitud!$A$2:$B$2000,2,FALSE()),D364),Hoja1!$A$2:$K$1000,9,FALSE()),0)</f>
        <v>0</v>
      </c>
      <c r="BA364" s="25">
        <f t="shared" si="145"/>
        <v>5.3380782918149468E-2</v>
      </c>
      <c r="BB364" s="25">
        <f t="shared" si="146"/>
        <v>0</v>
      </c>
      <c r="BC364" s="25">
        <f t="shared" si="147"/>
        <v>6.0498220640569395E-2</v>
      </c>
      <c r="BD364" s="25">
        <f t="shared" si="148"/>
        <v>3.0960854092526692E-3</v>
      </c>
      <c r="BE364" s="25">
        <f t="shared" si="149"/>
        <v>0.23131672597864769</v>
      </c>
      <c r="BF364" s="25">
        <f t="shared" si="150"/>
        <v>0.56140350877192979</v>
      </c>
      <c r="BG364" s="25">
        <f t="shared" si="151"/>
        <v>5.089820359281437E-2</v>
      </c>
      <c r="BH364" s="25">
        <f t="shared" si="152"/>
        <v>0.23265306122448981</v>
      </c>
      <c r="BI364" s="25">
        <f t="shared" si="153"/>
        <v>0.25096525096525096</v>
      </c>
      <c r="BJ364" s="25">
        <f t="shared" si="154"/>
        <v>0</v>
      </c>
      <c r="BK364" s="25">
        <f t="shared" si="155"/>
        <v>0</v>
      </c>
      <c r="BL364" s="25">
        <f t="shared" si="156"/>
        <v>0.78469750889679712</v>
      </c>
      <c r="BM364" s="25">
        <f t="shared" si="157"/>
        <v>8.5409252669039148E-2</v>
      </c>
      <c r="BN364" s="18" t="str">
        <f t="shared" si="163"/>
        <v>Baja fuente de proteína</v>
      </c>
      <c r="BO364" s="18" t="str">
        <f t="shared" si="164"/>
        <v>Baja fuente de fibra</v>
      </c>
      <c r="BP364" s="18" t="str">
        <f t="shared" si="165"/>
        <v>Baja fuente de calcio</v>
      </c>
      <c r="BQ364" s="18" t="str">
        <f t="shared" si="166"/>
        <v>Baja fuente de hierro</v>
      </c>
      <c r="BR364" s="18" t="str">
        <f t="shared" si="167"/>
        <v>Bajo en sodio</v>
      </c>
      <c r="BS364" s="6" t="str">
        <f t="shared" si="158"/>
        <v>Neutro</v>
      </c>
      <c r="BT364" s="6" t="str">
        <f t="shared" si="159"/>
        <v>Muy alto en grasas</v>
      </c>
      <c r="BU364" s="18" t="str">
        <f t="shared" si="168"/>
        <v>Equilibrio de líquidos ideal</v>
      </c>
      <c r="BV364" s="18" t="str">
        <f t="shared" si="169"/>
        <v>Baja fuente de magnesio</v>
      </c>
      <c r="BW364" s="18" t="str">
        <f t="shared" si="170"/>
        <v>Alta fuente de Omega 3</v>
      </c>
      <c r="BX364" s="18" t="str">
        <f t="shared" si="171"/>
        <v>Libre de grasas trans</v>
      </c>
      <c r="BY364" s="18" t="str">
        <f t="shared" si="172"/>
        <v>Bajo poder antioxidante</v>
      </c>
      <c r="BZ364" s="6" t="str">
        <f t="shared" si="160"/>
        <v>Sin probióticos</v>
      </c>
      <c r="CA364" s="18" t="str">
        <f t="shared" si="173"/>
        <v>Antiinflamatorio</v>
      </c>
      <c r="CB364" s="18" t="str">
        <f>IF(ISNUMBER(SEARCH("miel", D364)), "No irritante (Uso condicionado SII)", IF(OR(J364&gt;0, ISNUMBER(SEARCH("cacao", D364)), ISNUMBER(SEARCH("chocolate puro", D364))), "Altamente irritante", IF(OR(AND(O364&gt;15, BI364&gt;1), ISNUMBER(SEARCH("chocolate", D364))), "Moderadamente irritante", "No irritante")))</f>
        <v>No irritante</v>
      </c>
      <c r="CC364" s="6" t="str">
        <f t="shared" si="161"/>
        <v>Balance de omegas favorable</v>
      </c>
    </row>
    <row r="365" spans="1:81" ht="15" customHeight="1" x14ac:dyDescent="0.3">
      <c r="A365" s="2">
        <f t="shared" si="162"/>
        <v>364</v>
      </c>
      <c r="B365" s="3" t="s">
        <v>488</v>
      </c>
      <c r="C365" s="3" t="s">
        <v>504</v>
      </c>
      <c r="D365" s="3" t="s">
        <v>506</v>
      </c>
      <c r="E365" s="3"/>
      <c r="F365" s="4">
        <v>3.5</v>
      </c>
      <c r="G365" s="5">
        <v>1</v>
      </c>
      <c r="H365" s="5">
        <v>205</v>
      </c>
      <c r="I365" s="5">
        <v>68.2</v>
      </c>
      <c r="J365" s="5">
        <v>0</v>
      </c>
      <c r="K365" s="5">
        <v>16.3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15.5</v>
      </c>
      <c r="R365" s="5">
        <v>3.2</v>
      </c>
      <c r="S365" s="5">
        <v>9.9</v>
      </c>
      <c r="T365" s="5">
        <v>1.5</v>
      </c>
      <c r="U365" s="5">
        <v>50</v>
      </c>
      <c r="V365" s="5">
        <v>1043</v>
      </c>
      <c r="W365" s="5">
        <v>1043</v>
      </c>
      <c r="X365" s="5">
        <v>0</v>
      </c>
      <c r="Y365" s="5">
        <v>110</v>
      </c>
      <c r="Z365" s="5">
        <v>5.6</v>
      </c>
      <c r="AA365" s="5">
        <v>0.02</v>
      </c>
      <c r="AB365" s="5">
        <v>0.17</v>
      </c>
      <c r="AC365" s="5">
        <v>0.32</v>
      </c>
      <c r="AD365" s="5">
        <v>8.5</v>
      </c>
      <c r="AE365" s="5">
        <v>0.3</v>
      </c>
      <c r="AF365" s="5">
        <v>13</v>
      </c>
      <c r="AG365" s="5">
        <v>1</v>
      </c>
      <c r="AH365" s="5">
        <v>0.24</v>
      </c>
      <c r="AI365" s="5">
        <v>0</v>
      </c>
      <c r="AJ365" s="5">
        <v>0</v>
      </c>
      <c r="AK365" s="5">
        <v>30</v>
      </c>
      <c r="AL365" s="5">
        <v>170</v>
      </c>
      <c r="AM365" s="5">
        <v>1</v>
      </c>
      <c r="AN365" s="5">
        <v>10</v>
      </c>
      <c r="AO365" s="5">
        <v>1.8</v>
      </c>
      <c r="AP365" s="5">
        <v>19</v>
      </c>
      <c r="AQ365" s="5">
        <v>90</v>
      </c>
      <c r="AR365" s="5">
        <v>270</v>
      </c>
      <c r="AS365" s="5">
        <v>0.03</v>
      </c>
      <c r="AT365" s="5">
        <v>0.09</v>
      </c>
      <c r="AU365" s="5">
        <v>30</v>
      </c>
      <c r="AV365" s="5">
        <f>IFERROR(VLOOKUP(IFERROR(VLOOKUP(D365,Mapa_Similitud!$A$2:$B$2000,2,FALSE()),D365),Hoja1!$A$2:$K$1000,2,FALSE()),IFERROR(VLOOKUP(IFERROR(VLOOKUP(D365,Mapa_Similitud!$A$2:$B$2000,2,FALSE()),D365),Omega3_Referencia!$A$2:$E$100,3,FALSE()),0))</f>
        <v>1.1000000000000001</v>
      </c>
      <c r="AW365" s="3" t="str">
        <f>IFERROR(VLOOKUP(IFERROR(VLOOKUP(D365,Mapa_Similitud!$A$2:$B$2000,2,FALSE()),D365),Hoja1!$A$2:$K$1000,3,FALSE()),IFERROR(VLOOKUP(IFERROR(VLOOKUP(D365,Mapa_Similitud!$A$2:$B$2000,2,FALSE()),D365),Omega3_Referencia!$A$2:$E$100,4,FALSE()),"N/A"))</f>
        <v>EPA/DHA</v>
      </c>
      <c r="AX365" s="5">
        <f>IFERROR(VLOOKUP(IFERROR(VLOOKUP(D365,Mapa_Similitud!$A$2:$B$2000,2,FALSE()),D365),Hoja1!$A$2:$K$1000,5,FALSE()),0)</f>
        <v>0</v>
      </c>
      <c r="AY365" s="5">
        <f>IFERROR(VLOOKUP(IFERROR(VLOOKUP(D365,Mapa_Similitud!$A$2:$B$2000,2,FALSE()),D365),Hoja1!$A$2:$K$1000,7,FALSE()),0)</f>
        <v>0</v>
      </c>
      <c r="AZ365" s="5">
        <f>IFERROR(VLOOKUP(IFERROR(VLOOKUP(D365,Mapa_Similitud!$A$2:$B$2000,2,FALSE()),D365),Hoja1!$A$2:$K$1000,9,FALSE()),0)</f>
        <v>0</v>
      </c>
      <c r="BA365" s="25">
        <f t="shared" si="145"/>
        <v>7.9512195121951221E-2</v>
      </c>
      <c r="BB365" s="25">
        <f t="shared" si="146"/>
        <v>0</v>
      </c>
      <c r="BC365" s="25">
        <f t="shared" si="147"/>
        <v>0.14634146341463414</v>
      </c>
      <c r="BD365" s="25">
        <f t="shared" si="148"/>
        <v>4.8780487804878049E-3</v>
      </c>
      <c r="BE365" s="25">
        <f t="shared" si="149"/>
        <v>0.43902439024390244</v>
      </c>
      <c r="BF365" s="25">
        <f t="shared" si="150"/>
        <v>0.46875</v>
      </c>
      <c r="BG365" s="25">
        <f t="shared" si="151"/>
        <v>0.17647058823529413</v>
      </c>
      <c r="BH365" s="25">
        <f t="shared" si="152"/>
        <v>0.20645161290322581</v>
      </c>
      <c r="BI365" s="25">
        <f t="shared" si="153"/>
        <v>0.33333333333333331</v>
      </c>
      <c r="BJ365" s="25">
        <f t="shared" si="154"/>
        <v>0</v>
      </c>
      <c r="BK365" s="25">
        <f t="shared" si="155"/>
        <v>0</v>
      </c>
      <c r="BL365" s="25">
        <f t="shared" si="156"/>
        <v>0.68048780487804883</v>
      </c>
      <c r="BM365" s="25">
        <f t="shared" si="157"/>
        <v>9.2682926829268292E-2</v>
      </c>
      <c r="BN365" s="18" t="str">
        <f t="shared" si="163"/>
        <v>Baja fuente de proteína</v>
      </c>
      <c r="BO365" s="18" t="str">
        <f t="shared" si="164"/>
        <v>Baja fuente de fibra</v>
      </c>
      <c r="BP365" s="18" t="str">
        <f t="shared" si="165"/>
        <v>Baja fuente de calcio</v>
      </c>
      <c r="BQ365" s="18" t="str">
        <f t="shared" si="166"/>
        <v>Baja fuente de hierro</v>
      </c>
      <c r="BR365" s="18" t="str">
        <f t="shared" si="167"/>
        <v>Bajo en sodio</v>
      </c>
      <c r="BS365" s="6" t="str">
        <f t="shared" si="158"/>
        <v>Proinflamatorio</v>
      </c>
      <c r="BT365" s="6" t="str">
        <f t="shared" si="159"/>
        <v>Muy alto en grasas</v>
      </c>
      <c r="BU365" s="18" t="str">
        <f t="shared" si="168"/>
        <v>Equilibrio de líquidos ideal</v>
      </c>
      <c r="BV365" s="18" t="str">
        <f t="shared" si="169"/>
        <v>Baja fuente de magnesio</v>
      </c>
      <c r="BW365" s="18" t="str">
        <f t="shared" si="170"/>
        <v>Alta fuente de Omega 3</v>
      </c>
      <c r="BX365" s="18" t="str">
        <f t="shared" si="171"/>
        <v>Libre de grasas trans</v>
      </c>
      <c r="BY365" s="18" t="str">
        <f t="shared" si="172"/>
        <v>Bajo poder antioxidante</v>
      </c>
      <c r="BZ365" s="6" t="str">
        <f t="shared" si="160"/>
        <v>Sin probióticos</v>
      </c>
      <c r="CA365" s="18" t="str">
        <f t="shared" si="173"/>
        <v>Antiinflamatorio</v>
      </c>
      <c r="CB365" s="18" t="str">
        <f>IF(ISNUMBER(SEARCH("miel", D365)), "No irritante (Uso condicionado SII)", IF(OR(J365&gt;0, ISNUMBER(SEARCH("cacao", D365)), ISNUMBER(SEARCH("chocolate puro", D365))), "Altamente irritante", IF(OR(AND(O365&gt;15, BI365&gt;1), ISNUMBER(SEARCH("chocolate", D365))), "Moderadamente irritante", "No irritante")))</f>
        <v>No irritante</v>
      </c>
      <c r="CC365" s="6" t="str">
        <f t="shared" si="161"/>
        <v>Balance de omegas favorable</v>
      </c>
    </row>
    <row r="366" spans="1:81" ht="15" customHeight="1" x14ac:dyDescent="0.3">
      <c r="A366" s="2">
        <f t="shared" si="162"/>
        <v>365</v>
      </c>
      <c r="B366" s="3" t="s">
        <v>488</v>
      </c>
      <c r="C366" s="3" t="s">
        <v>504</v>
      </c>
      <c r="D366" s="3" t="s">
        <v>507</v>
      </c>
      <c r="E366" s="3"/>
      <c r="F366" s="4">
        <v>2</v>
      </c>
      <c r="G366" s="5">
        <v>0.57999999999999996</v>
      </c>
      <c r="H366" s="5">
        <v>226</v>
      </c>
      <c r="I366" s="5">
        <v>63</v>
      </c>
      <c r="J366" s="5">
        <v>0</v>
      </c>
      <c r="K366" s="5">
        <v>21.5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15.5</v>
      </c>
      <c r="R366" s="5">
        <v>4.0999999999999996</v>
      </c>
      <c r="S366" s="5">
        <v>3.4</v>
      </c>
      <c r="T366" s="5">
        <v>4.4000000000000004</v>
      </c>
      <c r="U366" s="5">
        <v>48</v>
      </c>
      <c r="V366" s="5">
        <v>655</v>
      </c>
      <c r="W366" s="5">
        <v>655</v>
      </c>
      <c r="X366" s="5">
        <v>0</v>
      </c>
      <c r="Y366" s="5">
        <v>4.5</v>
      </c>
      <c r="Z366" s="5">
        <v>1</v>
      </c>
      <c r="AA366" s="5">
        <v>0.03</v>
      </c>
      <c r="AB366" s="5">
        <v>0.16</v>
      </c>
      <c r="AC366" s="5">
        <v>0.16</v>
      </c>
      <c r="AD366" s="5">
        <v>17.100000000000001</v>
      </c>
      <c r="AE366" s="5">
        <v>0.46</v>
      </c>
      <c r="AF366" s="5">
        <v>15</v>
      </c>
      <c r="AG366" s="5">
        <v>4.3</v>
      </c>
      <c r="AH366" s="5">
        <v>0.66</v>
      </c>
      <c r="AI366" s="5">
        <v>0</v>
      </c>
      <c r="AJ366" s="5">
        <v>0</v>
      </c>
      <c r="AK366" s="5">
        <v>40</v>
      </c>
      <c r="AL366" s="5">
        <v>200</v>
      </c>
      <c r="AM366" s="5">
        <v>1</v>
      </c>
      <c r="AN366" s="5">
        <v>50</v>
      </c>
      <c r="AO366" s="5">
        <v>0.5</v>
      </c>
      <c r="AP366" s="5">
        <v>28</v>
      </c>
      <c r="AQ366" s="5">
        <v>43</v>
      </c>
      <c r="AR366" s="5">
        <v>363</v>
      </c>
      <c r="AS366" s="5">
        <v>0.03</v>
      </c>
      <c r="AT366" s="5">
        <v>5.0999999999999997E-2</v>
      </c>
      <c r="AU366" s="5">
        <v>82</v>
      </c>
      <c r="AV366" s="5">
        <f>IFERROR(VLOOKUP(IFERROR(VLOOKUP(D366,Mapa_Similitud!$A$2:$B$2000,2,FALSE()),D366),Hoja1!$A$2:$K$1000,2,FALSE()),IFERROR(VLOOKUP(IFERROR(VLOOKUP(D366,Mapa_Similitud!$A$2:$B$2000,2,FALSE()),D366),Omega3_Referencia!$A$2:$E$100,3,FALSE()),0))</f>
        <v>0.23</v>
      </c>
      <c r="AW366" s="3" t="str">
        <f>IFERROR(VLOOKUP(IFERROR(VLOOKUP(D366,Mapa_Similitud!$A$2:$B$2000,2,FALSE()),D366),Hoja1!$A$2:$K$1000,3,FALSE()),IFERROR(VLOOKUP(IFERROR(VLOOKUP(D366,Mapa_Similitud!$A$2:$B$2000,2,FALSE()),D366),Omega3_Referencia!$A$2:$E$100,4,FALSE()),"N/A"))</f>
        <v>EPA+DHA</v>
      </c>
      <c r="AX366" s="5">
        <f>IFERROR(VLOOKUP(IFERROR(VLOOKUP(D366,Mapa_Similitud!$A$2:$B$2000,2,FALSE()),D366),Hoja1!$A$2:$K$1000,5,FALSE()),0)</f>
        <v>0</v>
      </c>
      <c r="AY366" s="5">
        <f>IFERROR(VLOOKUP(IFERROR(VLOOKUP(D366,Mapa_Similitud!$A$2:$B$2000,2,FALSE()),D366),Hoja1!$A$2:$K$1000,7,FALSE()),0)</f>
        <v>0</v>
      </c>
      <c r="AZ366" s="5">
        <f>IFERROR(VLOOKUP(IFERROR(VLOOKUP(D366,Mapa_Similitud!$A$2:$B$2000,2,FALSE()),D366),Hoja1!$A$2:$K$1000,9,FALSE()),0)</f>
        <v>0</v>
      </c>
      <c r="BA366" s="25">
        <f t="shared" si="145"/>
        <v>9.5132743362831854E-2</v>
      </c>
      <c r="BB366" s="25">
        <f t="shared" si="146"/>
        <v>0</v>
      </c>
      <c r="BC366" s="25">
        <f t="shared" si="147"/>
        <v>0.17699115044247787</v>
      </c>
      <c r="BD366" s="25">
        <f t="shared" si="148"/>
        <v>4.4247787610619468E-3</v>
      </c>
      <c r="BE366" s="25">
        <f t="shared" si="149"/>
        <v>0.19026548672566371</v>
      </c>
      <c r="BF366" s="25">
        <f t="shared" si="150"/>
        <v>1.0731707317073174</v>
      </c>
      <c r="BG366" s="25">
        <f t="shared" si="151"/>
        <v>0.2</v>
      </c>
      <c r="BH366" s="25">
        <f t="shared" si="152"/>
        <v>0.26451612903225802</v>
      </c>
      <c r="BI366" s="25">
        <f t="shared" si="153"/>
        <v>0.1184573002754821</v>
      </c>
      <c r="BJ366" s="25">
        <f t="shared" si="154"/>
        <v>0</v>
      </c>
      <c r="BK366" s="25">
        <f t="shared" si="155"/>
        <v>0</v>
      </c>
      <c r="BL366" s="25">
        <f t="shared" si="156"/>
        <v>0.61725663716814161</v>
      </c>
      <c r="BM366" s="25">
        <f t="shared" si="157"/>
        <v>0.12389380530973451</v>
      </c>
      <c r="BN366" s="18" t="str">
        <f t="shared" si="163"/>
        <v>Baja fuente de proteína</v>
      </c>
      <c r="BO366" s="18" t="str">
        <f t="shared" si="164"/>
        <v>Baja fuente de fibra</v>
      </c>
      <c r="BP366" s="18" t="str">
        <f t="shared" si="165"/>
        <v>Baja fuente de calcio</v>
      </c>
      <c r="BQ366" s="18" t="str">
        <f t="shared" si="166"/>
        <v>Baja fuente de hierro</v>
      </c>
      <c r="BR366" s="18" t="str">
        <f t="shared" si="167"/>
        <v>Bajo en sodio</v>
      </c>
      <c r="BS366" s="6" t="str">
        <f t="shared" si="158"/>
        <v>Ligeramente antiinflamatorio</v>
      </c>
      <c r="BT366" s="6" t="str">
        <f t="shared" si="159"/>
        <v>Muy alto en grasas</v>
      </c>
      <c r="BU366" s="18" t="str">
        <f t="shared" si="168"/>
        <v>Equilibrio de líquidos ideal</v>
      </c>
      <c r="BV366" s="18" t="str">
        <f t="shared" si="169"/>
        <v>Baja fuente de magnesio</v>
      </c>
      <c r="BW366" s="18" t="str">
        <f t="shared" si="170"/>
        <v>Ligera fuente de Omega 3</v>
      </c>
      <c r="BX366" s="18" t="str">
        <f t="shared" si="171"/>
        <v>Libre de grasas trans</v>
      </c>
      <c r="BY366" s="18" t="str">
        <f t="shared" si="172"/>
        <v>Bajo poder antioxidante</v>
      </c>
      <c r="BZ366" s="6" t="str">
        <f t="shared" si="160"/>
        <v>Sin probióticos</v>
      </c>
      <c r="CA366" s="18" t="str">
        <f t="shared" si="173"/>
        <v>Poco inflamatorio</v>
      </c>
      <c r="CB366" s="18" t="str">
        <f>IF(ISNUMBER(SEARCH("miel", D366)), "No irritante (Uso condicionado SII)", IF(OR(J366&gt;0, ISNUMBER(SEARCH("cacao", D366)), ISNUMBER(SEARCH("chocolate puro", D366))), "Altamente irritante", IF(OR(AND(O366&gt;15, BI366&gt;1), ISNUMBER(SEARCH("chocolate", D366))), "Moderadamente irritante", "No irritante")))</f>
        <v>No irritante</v>
      </c>
      <c r="CC366" s="6" t="str">
        <f t="shared" si="161"/>
        <v>Exceso relativo de Omega 6</v>
      </c>
    </row>
    <row r="367" spans="1:81" ht="15" customHeight="1" x14ac:dyDescent="0.3">
      <c r="A367" s="2">
        <f t="shared" si="162"/>
        <v>366</v>
      </c>
      <c r="B367" s="3" t="s">
        <v>488</v>
      </c>
      <c r="C367" s="3" t="s">
        <v>504</v>
      </c>
      <c r="D367" s="3" t="s">
        <v>508</v>
      </c>
      <c r="E367" s="3"/>
      <c r="F367" s="4">
        <v>6</v>
      </c>
      <c r="G367" s="5">
        <v>0.9</v>
      </c>
      <c r="H367" s="5">
        <v>153</v>
      </c>
      <c r="I367" s="5">
        <v>69.3</v>
      </c>
      <c r="J367" s="5">
        <v>0</v>
      </c>
      <c r="K367" s="5">
        <v>24.7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6</v>
      </c>
      <c r="R367" s="5">
        <v>1.5</v>
      </c>
      <c r="S367" s="5">
        <v>1.2</v>
      </c>
      <c r="T367" s="5">
        <v>2.6</v>
      </c>
      <c r="U367" s="5">
        <v>45</v>
      </c>
      <c r="V367" s="5">
        <v>16</v>
      </c>
      <c r="W367" s="5">
        <v>16</v>
      </c>
      <c r="X367" s="5">
        <v>0</v>
      </c>
      <c r="Y367" s="5">
        <v>5</v>
      </c>
      <c r="Z367" s="5">
        <v>0.9</v>
      </c>
      <c r="AA367" s="5">
        <v>0.04</v>
      </c>
      <c r="AB367" s="5">
        <v>0.22</v>
      </c>
      <c r="AC367" s="5">
        <v>0.12</v>
      </c>
      <c r="AD367" s="5">
        <v>17.8</v>
      </c>
      <c r="AE367" s="5">
        <v>0.4</v>
      </c>
      <c r="AF367" s="5">
        <v>15</v>
      </c>
      <c r="AG367" s="5">
        <v>3</v>
      </c>
      <c r="AH367" s="5">
        <v>0.66</v>
      </c>
      <c r="AI367" s="5">
        <v>0</v>
      </c>
      <c r="AJ367" s="5">
        <v>0</v>
      </c>
      <c r="AK367" s="5">
        <v>8</v>
      </c>
      <c r="AL367" s="5">
        <v>204</v>
      </c>
      <c r="AM367" s="5">
        <v>1.3</v>
      </c>
      <c r="AN367" s="5">
        <v>10</v>
      </c>
      <c r="AO367" s="5">
        <v>0.7</v>
      </c>
      <c r="AP367" s="5">
        <v>23</v>
      </c>
      <c r="AQ367" s="5">
        <v>39</v>
      </c>
      <c r="AR367" s="5">
        <v>330</v>
      </c>
      <c r="AS367" s="5">
        <v>0.03</v>
      </c>
      <c r="AT367" s="5">
        <v>0.05</v>
      </c>
      <c r="AU367" s="5">
        <v>82</v>
      </c>
      <c r="AV367" s="5">
        <f>IFERROR(VLOOKUP(IFERROR(VLOOKUP(D367,Mapa_Similitud!$A$2:$B$2000,2,FALSE()),D367),Hoja1!$A$2:$K$1000,2,FALSE()),IFERROR(VLOOKUP(IFERROR(VLOOKUP(D367,Mapa_Similitud!$A$2:$B$2000,2,FALSE()),D367),Omega3_Referencia!$A$2:$E$100,3,FALSE()),0))</f>
        <v>1.94</v>
      </c>
      <c r="AW367" s="3" t="str">
        <f>IFERROR(VLOOKUP(IFERROR(VLOOKUP(D367,Mapa_Similitud!$A$2:$B$2000,2,FALSE()),D367),Hoja1!$A$2:$K$1000,3,FALSE()),IFERROR(VLOOKUP(IFERROR(VLOOKUP(D367,Mapa_Similitud!$A$2:$B$2000,2,FALSE()),D367),Omega3_Referencia!$A$2:$E$100,4,FALSE()),"N/A"))</f>
        <v>EPA/DHA</v>
      </c>
      <c r="AX367" s="5">
        <f>IFERROR(VLOOKUP(IFERROR(VLOOKUP(D367,Mapa_Similitud!$A$2:$B$2000,2,FALSE()),D367),Hoja1!$A$2:$K$1000,5,FALSE()),0)</f>
        <v>0</v>
      </c>
      <c r="AY367" s="5">
        <f>IFERROR(VLOOKUP(IFERROR(VLOOKUP(D367,Mapa_Similitud!$A$2:$B$2000,2,FALSE()),D367),Hoja1!$A$2:$K$1000,7,FALSE()),0)</f>
        <v>0</v>
      </c>
      <c r="AZ367" s="5">
        <f>IFERROR(VLOOKUP(IFERROR(VLOOKUP(D367,Mapa_Similitud!$A$2:$B$2000,2,FALSE()),D367),Hoja1!$A$2:$K$1000,9,FALSE()),0)</f>
        <v>0</v>
      </c>
      <c r="BA367" s="25">
        <f t="shared" si="145"/>
        <v>0.16143790849673201</v>
      </c>
      <c r="BB367" s="25">
        <f t="shared" si="146"/>
        <v>0</v>
      </c>
      <c r="BC367" s="25">
        <f t="shared" si="147"/>
        <v>5.2287581699346407E-2</v>
      </c>
      <c r="BD367" s="25">
        <f t="shared" si="148"/>
        <v>8.4967320261437919E-3</v>
      </c>
      <c r="BE367" s="25">
        <f t="shared" si="149"/>
        <v>0.25490196078431371</v>
      </c>
      <c r="BF367" s="25">
        <f t="shared" si="150"/>
        <v>1.7333333333333334</v>
      </c>
      <c r="BG367" s="25">
        <f t="shared" si="151"/>
        <v>3.9215686274509803E-2</v>
      </c>
      <c r="BH367" s="25">
        <f t="shared" si="152"/>
        <v>0.25</v>
      </c>
      <c r="BI367" s="25">
        <f t="shared" si="153"/>
        <v>0.11818181818181818</v>
      </c>
      <c r="BJ367" s="25">
        <f t="shared" si="154"/>
        <v>0</v>
      </c>
      <c r="BK367" s="25">
        <f t="shared" si="155"/>
        <v>0</v>
      </c>
      <c r="BL367" s="25">
        <f t="shared" si="156"/>
        <v>0.35294117647058826</v>
      </c>
      <c r="BM367" s="25">
        <f t="shared" si="157"/>
        <v>0.15032679738562091</v>
      </c>
      <c r="BN367" s="18" t="str">
        <f t="shared" si="163"/>
        <v>Alta fuente de proteína</v>
      </c>
      <c r="BO367" s="18" t="str">
        <f t="shared" si="164"/>
        <v>Baja fuente de fibra</v>
      </c>
      <c r="BP367" s="18" t="str">
        <f t="shared" si="165"/>
        <v>Baja fuente de calcio</v>
      </c>
      <c r="BQ367" s="18" t="str">
        <f t="shared" si="166"/>
        <v>Media fuente de hierro</v>
      </c>
      <c r="BR367" s="18" t="str">
        <f t="shared" si="167"/>
        <v>Bajo en sodio</v>
      </c>
      <c r="BS367" s="6" t="str">
        <f t="shared" si="158"/>
        <v>Ligeramente antiinflamatorio</v>
      </c>
      <c r="BT367" s="6" t="str">
        <f t="shared" si="159"/>
        <v>Alto en grasas</v>
      </c>
      <c r="BU367" s="18" t="str">
        <f t="shared" si="168"/>
        <v>Equilibrio de líquidos ideal</v>
      </c>
      <c r="BV367" s="18" t="str">
        <f t="shared" si="169"/>
        <v>Baja fuente de magnesio</v>
      </c>
      <c r="BW367" s="18" t="str">
        <f t="shared" si="170"/>
        <v>Alta fuente de Omega 3</v>
      </c>
      <c r="BX367" s="18" t="str">
        <f t="shared" si="171"/>
        <v>Libre de grasas trans</v>
      </c>
      <c r="BY367" s="18" t="str">
        <f t="shared" si="172"/>
        <v>Bajo poder antioxidante</v>
      </c>
      <c r="BZ367" s="6" t="str">
        <f t="shared" si="160"/>
        <v>Sin probióticos</v>
      </c>
      <c r="CA367" s="18" t="str">
        <f t="shared" si="173"/>
        <v>Antiinflamatorio</v>
      </c>
      <c r="CB367" s="18" t="str">
        <f>IF(ISNUMBER(SEARCH("miel", D367)), "No irritante (Uso condicionado SII)", IF(OR(J367&gt;0, ISNUMBER(SEARCH("cacao", D367)), ISNUMBER(SEARCH("chocolate puro", D367))), "Altamente irritante", IF(OR(AND(O367&gt;15, BI367&gt;1), ISNUMBER(SEARCH("chocolate", D367))), "Moderadamente irritante", "No irritante")))</f>
        <v>No irritante</v>
      </c>
      <c r="CC367" s="6" t="str">
        <f t="shared" si="161"/>
        <v>Balance de omegas favorable</v>
      </c>
    </row>
    <row r="368" spans="1:81" ht="15" customHeight="1" x14ac:dyDescent="0.3">
      <c r="A368" s="2">
        <f t="shared" si="162"/>
        <v>367</v>
      </c>
      <c r="B368" s="3" t="s">
        <v>488</v>
      </c>
      <c r="C368" s="3" t="s">
        <v>504</v>
      </c>
      <c r="D368" s="3" t="s">
        <v>509</v>
      </c>
      <c r="E368" s="3"/>
      <c r="F368" s="4">
        <v>3.5</v>
      </c>
      <c r="G368" s="5">
        <v>0.79</v>
      </c>
      <c r="H368" s="5">
        <v>142</v>
      </c>
      <c r="I368" s="5">
        <v>72</v>
      </c>
      <c r="J368" s="5">
        <v>0</v>
      </c>
      <c r="K368" s="5">
        <v>21.5</v>
      </c>
      <c r="L368" s="5">
        <v>0.5</v>
      </c>
      <c r="M368" s="5">
        <v>0</v>
      </c>
      <c r="N368" s="5">
        <v>0.5</v>
      </c>
      <c r="O368" s="5">
        <v>0</v>
      </c>
      <c r="P368" s="5">
        <v>0</v>
      </c>
      <c r="Q368" s="5">
        <v>6</v>
      </c>
      <c r="R368" s="5">
        <v>2.2999999999999998</v>
      </c>
      <c r="S368" s="5">
        <v>0.81</v>
      </c>
      <c r="T368" s="5">
        <v>2.2999999999999998</v>
      </c>
      <c r="U368" s="5">
        <v>69</v>
      </c>
      <c r="V368" s="5">
        <v>31.9</v>
      </c>
      <c r="W368" s="5">
        <v>31.9</v>
      </c>
      <c r="X368" s="5">
        <v>0</v>
      </c>
      <c r="Y368" s="5">
        <v>7</v>
      </c>
      <c r="Z368" s="5">
        <v>0.02</v>
      </c>
      <c r="AA368" s="5">
        <v>0.09</v>
      </c>
      <c r="AB368" s="5">
        <v>7.0000000000000007E-2</v>
      </c>
      <c r="AC368" s="5">
        <v>0.27</v>
      </c>
      <c r="AD368" s="5">
        <v>11.6</v>
      </c>
      <c r="AE368" s="5">
        <v>1.1000000000000001</v>
      </c>
      <c r="AF368" s="5">
        <v>8.6999999999999993</v>
      </c>
      <c r="AG368" s="5">
        <v>1.9</v>
      </c>
      <c r="AH368" s="5">
        <v>0.64</v>
      </c>
      <c r="AI368" s="5">
        <v>0</v>
      </c>
      <c r="AJ368" s="5">
        <v>0</v>
      </c>
      <c r="AK368" s="5">
        <v>28.2</v>
      </c>
      <c r="AL368" s="5">
        <v>182</v>
      </c>
      <c r="AM368" s="5">
        <v>1</v>
      </c>
      <c r="AN368" s="5">
        <v>20</v>
      </c>
      <c r="AO368" s="5">
        <v>0.46</v>
      </c>
      <c r="AP368" s="5">
        <v>28</v>
      </c>
      <c r="AQ368" s="5">
        <v>116</v>
      </c>
      <c r="AR368" s="5">
        <v>331</v>
      </c>
      <c r="AS368" s="5">
        <v>7.0000000000000007E-2</v>
      </c>
      <c r="AT368" s="5">
        <v>0.21</v>
      </c>
      <c r="AU368" s="5">
        <v>36.5</v>
      </c>
      <c r="AV368" s="5">
        <f>IFERROR(VLOOKUP(IFERROR(VLOOKUP(D368,Mapa_Similitud!$A$2:$B$2000,2,FALSE()),D368),Hoja1!$A$2:$K$1000,2,FALSE()),IFERROR(VLOOKUP(IFERROR(VLOOKUP(D368,Mapa_Similitud!$A$2:$B$2000,2,FALSE()),D368),Omega3_Referencia!$A$2:$E$100,3,FALSE()),0))</f>
        <v>1.2</v>
      </c>
      <c r="AW368" s="3" t="str">
        <f>IFERROR(VLOOKUP(IFERROR(VLOOKUP(D368,Mapa_Similitud!$A$2:$B$2000,2,FALSE()),D368),Hoja1!$A$2:$K$1000,3,FALSE()),IFERROR(VLOOKUP(IFERROR(VLOOKUP(D368,Mapa_Similitud!$A$2:$B$2000,2,FALSE()),D368),Omega3_Referencia!$A$2:$E$100,4,FALSE()),"N/A"))</f>
        <v>EPA/DHA</v>
      </c>
      <c r="AX368" s="5">
        <f>IFERROR(VLOOKUP(IFERROR(VLOOKUP(D368,Mapa_Similitud!$A$2:$B$2000,2,FALSE()),D368),Hoja1!$A$2:$K$1000,5,FALSE()),0)</f>
        <v>0</v>
      </c>
      <c r="AY368" s="5">
        <f>IFERROR(VLOOKUP(IFERROR(VLOOKUP(D368,Mapa_Similitud!$A$2:$B$2000,2,FALSE()),D368),Hoja1!$A$2:$K$1000,7,FALSE()),0)</f>
        <v>0</v>
      </c>
      <c r="AZ368" s="5">
        <f>IFERROR(VLOOKUP(IFERROR(VLOOKUP(D368,Mapa_Similitud!$A$2:$B$2000,2,FALSE()),D368),Hoja1!$A$2:$K$1000,9,FALSE()),0)</f>
        <v>0</v>
      </c>
      <c r="BA368" s="25">
        <f t="shared" si="145"/>
        <v>0.15140845070422534</v>
      </c>
      <c r="BB368" s="25">
        <f t="shared" si="146"/>
        <v>0</v>
      </c>
      <c r="BC368" s="25">
        <f t="shared" si="147"/>
        <v>0.19859154929577463</v>
      </c>
      <c r="BD368" s="25">
        <f t="shared" si="148"/>
        <v>7.0422535211267607E-3</v>
      </c>
      <c r="BE368" s="25">
        <f t="shared" si="149"/>
        <v>0.81690140845070425</v>
      </c>
      <c r="BF368" s="25">
        <f t="shared" si="150"/>
        <v>1</v>
      </c>
      <c r="BG368" s="25">
        <f t="shared" si="151"/>
        <v>0.15494505494505495</v>
      </c>
      <c r="BH368" s="25">
        <f t="shared" si="152"/>
        <v>0.3833333333333333</v>
      </c>
      <c r="BI368" s="25">
        <f t="shared" si="153"/>
        <v>0.35045317220543809</v>
      </c>
      <c r="BJ368" s="25">
        <f t="shared" si="154"/>
        <v>1</v>
      </c>
      <c r="BK368" s="25">
        <f t="shared" si="155"/>
        <v>0</v>
      </c>
      <c r="BL368" s="25">
        <f t="shared" si="156"/>
        <v>0.38028169014084506</v>
      </c>
      <c r="BM368" s="25">
        <f t="shared" si="157"/>
        <v>0.19718309859154928</v>
      </c>
      <c r="BN368" s="18" t="str">
        <f t="shared" si="163"/>
        <v>Alta fuente de proteína</v>
      </c>
      <c r="BO368" s="18" t="str">
        <f t="shared" si="164"/>
        <v>Baja fuente de fibra</v>
      </c>
      <c r="BP368" s="18" t="str">
        <f t="shared" si="165"/>
        <v>Baja fuente de calcio</v>
      </c>
      <c r="BQ368" s="18" t="str">
        <f t="shared" si="166"/>
        <v>Baja fuente de hierro</v>
      </c>
      <c r="BR368" s="18" t="str">
        <f t="shared" si="167"/>
        <v>Moderado en sodio</v>
      </c>
      <c r="BS368" s="6" t="str">
        <f t="shared" si="158"/>
        <v>Neutro</v>
      </c>
      <c r="BT368" s="6" t="str">
        <f t="shared" si="159"/>
        <v>Alto en grasas</v>
      </c>
      <c r="BU368" s="18" t="str">
        <f t="shared" si="168"/>
        <v>Equilibrio de líquidos ideal</v>
      </c>
      <c r="BV368" s="18" t="str">
        <f t="shared" si="169"/>
        <v>Baja fuente de magnesio</v>
      </c>
      <c r="BW368" s="18" t="str">
        <f t="shared" si="170"/>
        <v>Alta fuente de Omega 3</v>
      </c>
      <c r="BX368" s="18" t="str">
        <f t="shared" si="171"/>
        <v>Libre de grasas trans</v>
      </c>
      <c r="BY368" s="18" t="str">
        <f t="shared" si="172"/>
        <v>Bajo poder antioxidante</v>
      </c>
      <c r="BZ368" s="6" t="str">
        <f t="shared" si="160"/>
        <v>Sin probióticos</v>
      </c>
      <c r="CA368" s="18" t="str">
        <f t="shared" si="173"/>
        <v>Antiinflamatorio</v>
      </c>
      <c r="CB368" s="18" t="str">
        <f>IF(ISNUMBER(SEARCH("miel", D368)), "No irritante (Uso condicionado SII)", IF(OR(J368&gt;0, ISNUMBER(SEARCH("cacao", D368)), ISNUMBER(SEARCH("chocolate puro", D368))), "Altamente irritante", IF(OR(AND(O368&gt;15, BI368&gt;1), ISNUMBER(SEARCH("chocolate", D368))), "Moderadamente irritante", "No irritante")))</f>
        <v>No irritante</v>
      </c>
      <c r="CC368" s="6" t="str">
        <f t="shared" si="161"/>
        <v>Balance de omegas favorable</v>
      </c>
    </row>
    <row r="369" spans="1:81" ht="15" customHeight="1" x14ac:dyDescent="0.3">
      <c r="A369" s="2">
        <f t="shared" si="162"/>
        <v>368</v>
      </c>
      <c r="B369" s="3" t="s">
        <v>488</v>
      </c>
      <c r="C369" s="3" t="s">
        <v>504</v>
      </c>
      <c r="D369" s="3" t="s">
        <v>510</v>
      </c>
      <c r="E369" s="3"/>
      <c r="F369" s="4">
        <v>18</v>
      </c>
      <c r="G369" s="5">
        <v>0.71</v>
      </c>
      <c r="H369" s="5">
        <v>182</v>
      </c>
      <c r="I369" s="5">
        <v>69.400000000000006</v>
      </c>
      <c r="J369" s="5">
        <v>0</v>
      </c>
      <c r="K369" s="5">
        <v>18.7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11.9</v>
      </c>
      <c r="R369" s="5">
        <v>3.4</v>
      </c>
      <c r="S369" s="5">
        <v>2.4</v>
      </c>
      <c r="T369" s="5">
        <v>2.5</v>
      </c>
      <c r="U369" s="5">
        <v>76</v>
      </c>
      <c r="V369" s="5">
        <v>100</v>
      </c>
      <c r="W369" s="5">
        <v>100</v>
      </c>
      <c r="X369" s="5">
        <v>0</v>
      </c>
      <c r="Y369" s="5">
        <v>4</v>
      </c>
      <c r="Z369" s="5">
        <v>1.3</v>
      </c>
      <c r="AA369" s="5">
        <v>5</v>
      </c>
      <c r="AB369" s="5">
        <v>0.13</v>
      </c>
      <c r="AC369" s="5">
        <v>0.36</v>
      </c>
      <c r="AD369" s="5">
        <v>12.5</v>
      </c>
      <c r="AE369" s="5">
        <v>0.63</v>
      </c>
      <c r="AF369" s="5">
        <v>1.2</v>
      </c>
      <c r="AG369" s="5">
        <v>9</v>
      </c>
      <c r="AH369" s="5">
        <v>0.4</v>
      </c>
      <c r="AI369" s="5">
        <v>4.3</v>
      </c>
      <c r="AJ369" s="5">
        <v>0</v>
      </c>
      <c r="AK369" s="5">
        <v>12</v>
      </c>
      <c r="AL369" s="5">
        <v>244</v>
      </c>
      <c r="AM369" s="5">
        <v>1.2</v>
      </c>
      <c r="AN369" s="5">
        <v>51</v>
      </c>
      <c r="AO369" s="5">
        <v>0.52</v>
      </c>
      <c r="AP369" s="5">
        <v>30</v>
      </c>
      <c r="AQ369" s="5">
        <v>84</v>
      </c>
      <c r="AR369" s="5">
        <v>386</v>
      </c>
      <c r="AS369" s="5">
        <v>3.1E-2</v>
      </c>
      <c r="AT369" s="5">
        <v>0.11</v>
      </c>
      <c r="AU369" s="5">
        <v>39</v>
      </c>
      <c r="AV369" s="5">
        <f>IFERROR(VLOOKUP(IFERROR(VLOOKUP(D369,Mapa_Similitud!$A$2:$B$2000,2,FALSE()),D369),Hoja1!$A$2:$K$1000,2,FALSE()),IFERROR(VLOOKUP(IFERROR(VLOOKUP(D369,Mapa_Similitud!$A$2:$B$2000,2,FALSE()),D369),Omega3_Referencia!$A$2:$E$100,3,FALSE()),0))</f>
        <v>2.5299999999999998</v>
      </c>
      <c r="AW369" s="3" t="str">
        <f>IFERROR(VLOOKUP(IFERROR(VLOOKUP(D369,Mapa_Similitud!$A$2:$B$2000,2,FALSE()),D369),Hoja1!$A$2:$K$1000,3,FALSE()),IFERROR(VLOOKUP(IFERROR(VLOOKUP(D369,Mapa_Similitud!$A$2:$B$2000,2,FALSE()),D369),Omega3_Referencia!$A$2:$E$100,4,FALSE()),"N/A"))</f>
        <v>EPA/DHA</v>
      </c>
      <c r="AX369" s="5">
        <f>IFERROR(VLOOKUP(IFERROR(VLOOKUP(D369,Mapa_Similitud!$A$2:$B$2000,2,FALSE()),D369),Hoja1!$A$2:$K$1000,5,FALSE()),0)</f>
        <v>0</v>
      </c>
      <c r="AY369" s="5">
        <f>IFERROR(VLOOKUP(IFERROR(VLOOKUP(D369,Mapa_Similitud!$A$2:$B$2000,2,FALSE()),D369),Hoja1!$A$2:$K$1000,7,FALSE()),0)</f>
        <v>0</v>
      </c>
      <c r="AZ369" s="5">
        <f>IFERROR(VLOOKUP(IFERROR(VLOOKUP(D369,Mapa_Similitud!$A$2:$B$2000,2,FALSE()),D369),Hoja1!$A$2:$K$1000,9,FALSE()),0)</f>
        <v>0</v>
      </c>
      <c r="BA369" s="25">
        <f t="shared" si="145"/>
        <v>0.10274725274725274</v>
      </c>
      <c r="BB369" s="25">
        <f t="shared" si="146"/>
        <v>0</v>
      </c>
      <c r="BC369" s="25">
        <f t="shared" si="147"/>
        <v>6.5934065934065936E-2</v>
      </c>
      <c r="BD369" s="25">
        <f t="shared" si="148"/>
        <v>6.5934065934065934E-3</v>
      </c>
      <c r="BE369" s="25">
        <f t="shared" si="149"/>
        <v>0.46153846153846156</v>
      </c>
      <c r="BF369" s="25">
        <f t="shared" si="150"/>
        <v>0.73529411764705888</v>
      </c>
      <c r="BG369" s="25">
        <f t="shared" si="151"/>
        <v>4.9180327868852458E-2</v>
      </c>
      <c r="BH369" s="25">
        <f t="shared" si="152"/>
        <v>0.2857142857142857</v>
      </c>
      <c r="BI369" s="25">
        <f t="shared" si="153"/>
        <v>0.21761658031088082</v>
      </c>
      <c r="BJ369" s="25">
        <f t="shared" si="154"/>
        <v>0</v>
      </c>
      <c r="BK369" s="25">
        <f t="shared" si="155"/>
        <v>0</v>
      </c>
      <c r="BL369" s="25">
        <f t="shared" si="156"/>
        <v>0.58846153846153848</v>
      </c>
      <c r="BM369" s="25">
        <f t="shared" si="157"/>
        <v>0.16483516483516483</v>
      </c>
      <c r="BN369" s="18" t="str">
        <f t="shared" si="163"/>
        <v>Media fuente de proteína</v>
      </c>
      <c r="BO369" s="18" t="str">
        <f t="shared" si="164"/>
        <v>Baja fuente de fibra</v>
      </c>
      <c r="BP369" s="18" t="str">
        <f t="shared" si="165"/>
        <v>Baja fuente de calcio</v>
      </c>
      <c r="BQ369" s="18" t="str">
        <f t="shared" si="166"/>
        <v>Baja fuente de hierro</v>
      </c>
      <c r="BR369" s="18" t="str">
        <f t="shared" si="167"/>
        <v>Bajo en sodio</v>
      </c>
      <c r="BS369" s="6" t="str">
        <f t="shared" si="158"/>
        <v>Neutro</v>
      </c>
      <c r="BT369" s="6" t="str">
        <f t="shared" si="159"/>
        <v>Muy alto en grasas</v>
      </c>
      <c r="BU369" s="18" t="str">
        <f t="shared" si="168"/>
        <v>Equilibrio de líquidos ideal</v>
      </c>
      <c r="BV369" s="18" t="str">
        <f t="shared" si="169"/>
        <v>Baja fuente de magnesio</v>
      </c>
      <c r="BW369" s="18" t="str">
        <f t="shared" si="170"/>
        <v>Alta fuente de Omega 3</v>
      </c>
      <c r="BX369" s="18" t="str">
        <f t="shared" si="171"/>
        <v>Libre de grasas trans</v>
      </c>
      <c r="BY369" s="18" t="str">
        <f t="shared" si="172"/>
        <v>Bajo poder antioxidante</v>
      </c>
      <c r="BZ369" s="6" t="str">
        <f t="shared" si="160"/>
        <v>Sin probióticos</v>
      </c>
      <c r="CA369" s="18" t="str">
        <f t="shared" si="173"/>
        <v>Antiinflamatorio</v>
      </c>
      <c r="CB369" s="18" t="str">
        <f>IF(ISNUMBER(SEARCH("miel", D369)), "No irritante (Uso condicionado SII)", IF(OR(J369&gt;0, ISNUMBER(SEARCH("cacao", D369)), ISNUMBER(SEARCH("chocolate puro", D369))), "Altamente irritante", IF(OR(AND(O369&gt;15, BI369&gt;1), ISNUMBER(SEARCH("chocolate", D369))), "Moderadamente irritante", "No irritante")))</f>
        <v>No irritante</v>
      </c>
      <c r="CC369" s="6" t="str">
        <f t="shared" si="161"/>
        <v>Balance de omegas favorable</v>
      </c>
    </row>
    <row r="370" spans="1:81" ht="15" customHeight="1" x14ac:dyDescent="0.3">
      <c r="A370" s="2">
        <f t="shared" si="162"/>
        <v>369</v>
      </c>
      <c r="B370" s="3" t="s">
        <v>488</v>
      </c>
      <c r="C370" s="3" t="s">
        <v>504</v>
      </c>
      <c r="D370" s="3" t="s">
        <v>511</v>
      </c>
      <c r="E370" s="3"/>
      <c r="F370" s="4">
        <v>3</v>
      </c>
      <c r="G370" s="5">
        <v>0.54</v>
      </c>
      <c r="H370" s="5">
        <v>114</v>
      </c>
      <c r="I370" s="5">
        <v>77.3</v>
      </c>
      <c r="J370" s="5">
        <v>0</v>
      </c>
      <c r="K370" s="5">
        <v>18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4.7</v>
      </c>
      <c r="R370" s="5">
        <v>0.9</v>
      </c>
      <c r="S370" s="5">
        <v>1.6</v>
      </c>
      <c r="T370" s="5">
        <v>0.8</v>
      </c>
      <c r="U370" s="5">
        <v>67</v>
      </c>
      <c r="V370" s="5">
        <v>44</v>
      </c>
      <c r="W370" s="5">
        <v>44</v>
      </c>
      <c r="X370" s="5">
        <v>0</v>
      </c>
      <c r="Y370" s="5">
        <v>0.01</v>
      </c>
      <c r="Z370" s="5">
        <v>0.63</v>
      </c>
      <c r="AA370" s="5">
        <v>0.02</v>
      </c>
      <c r="AB370" s="5">
        <v>0.06</v>
      </c>
      <c r="AC370" s="5">
        <v>0.05</v>
      </c>
      <c r="AD370" s="5">
        <v>5.5</v>
      </c>
      <c r="AE370" s="5">
        <v>0.15</v>
      </c>
      <c r="AF370" s="5">
        <v>6</v>
      </c>
      <c r="AG370" s="5">
        <v>2</v>
      </c>
      <c r="AH370" s="5">
        <v>0.75</v>
      </c>
      <c r="AI370" s="5">
        <v>0</v>
      </c>
      <c r="AJ370" s="5">
        <v>1</v>
      </c>
      <c r="AK370" s="5">
        <v>63</v>
      </c>
      <c r="AL370" s="5">
        <v>247</v>
      </c>
      <c r="AM370" s="5">
        <v>0.7</v>
      </c>
      <c r="AN370" s="5">
        <v>1.7</v>
      </c>
      <c r="AO370" s="5">
        <v>0.9</v>
      </c>
      <c r="AP370" s="5">
        <v>51</v>
      </c>
      <c r="AQ370" s="5">
        <v>30</v>
      </c>
      <c r="AR370" s="5">
        <v>387</v>
      </c>
      <c r="AS370" s="5">
        <v>0.55000000000000004</v>
      </c>
      <c r="AT370" s="5">
        <v>8.6999999999999994E-2</v>
      </c>
      <c r="AU370" s="5">
        <v>12.6</v>
      </c>
      <c r="AV370" s="5">
        <f>IFERROR(VLOOKUP(IFERROR(VLOOKUP(D370,Mapa_Similitud!$A$2:$B$2000,2,FALSE()),D370),Hoja1!$A$2:$K$1000,2,FALSE()),IFERROR(VLOOKUP(IFERROR(VLOOKUP(D370,Mapa_Similitud!$A$2:$B$2000,2,FALSE()),D370),Omega3_Referencia!$A$2:$E$100,3,FALSE()),0))</f>
        <v>0.4</v>
      </c>
      <c r="AW370" s="3" t="str">
        <f>IFERROR(VLOOKUP(IFERROR(VLOOKUP(D370,Mapa_Similitud!$A$2:$B$2000,2,FALSE()),D370),Hoja1!$A$2:$K$1000,3,FALSE()),IFERROR(VLOOKUP(IFERROR(VLOOKUP(D370,Mapa_Similitud!$A$2:$B$2000,2,FALSE()),D370),Omega3_Referencia!$A$2:$E$100,4,FALSE()),"N/A"))</f>
        <v>EPA/DHA</v>
      </c>
      <c r="AX370" s="5">
        <f>IFERROR(VLOOKUP(IFERROR(VLOOKUP(D370,Mapa_Similitud!$A$2:$B$2000,2,FALSE()),D370),Hoja1!$A$2:$K$1000,5,FALSE()),0)</f>
        <v>0</v>
      </c>
      <c r="AY370" s="5">
        <f>IFERROR(VLOOKUP(IFERROR(VLOOKUP(D370,Mapa_Similitud!$A$2:$B$2000,2,FALSE()),D370),Hoja1!$A$2:$K$1000,7,FALSE()),0)</f>
        <v>0</v>
      </c>
      <c r="AZ370" s="5">
        <f>IFERROR(VLOOKUP(IFERROR(VLOOKUP(D370,Mapa_Similitud!$A$2:$B$2000,2,FALSE()),D370),Hoja1!$A$2:$K$1000,9,FALSE()),0)</f>
        <v>0</v>
      </c>
      <c r="BA370" s="25">
        <f t="shared" si="145"/>
        <v>0.15789473684210525</v>
      </c>
      <c r="BB370" s="25">
        <f t="shared" si="146"/>
        <v>0</v>
      </c>
      <c r="BC370" s="25">
        <f t="shared" si="147"/>
        <v>0.55263157894736847</v>
      </c>
      <c r="BD370" s="25">
        <f t="shared" si="148"/>
        <v>6.1403508771929825E-3</v>
      </c>
      <c r="BE370" s="25">
        <f t="shared" si="149"/>
        <v>0.26315789473684209</v>
      </c>
      <c r="BF370" s="25">
        <f t="shared" si="150"/>
        <v>0.88888888888888895</v>
      </c>
      <c r="BG370" s="25">
        <f t="shared" si="151"/>
        <v>0.25506072874493929</v>
      </c>
      <c r="BH370" s="25">
        <f t="shared" si="152"/>
        <v>0.19148936170212766</v>
      </c>
      <c r="BI370" s="25">
        <f t="shared" si="153"/>
        <v>7.7519379844961239E-2</v>
      </c>
      <c r="BJ370" s="25">
        <f t="shared" si="154"/>
        <v>0</v>
      </c>
      <c r="BK370" s="25">
        <f t="shared" si="155"/>
        <v>0</v>
      </c>
      <c r="BL370" s="25">
        <f t="shared" si="156"/>
        <v>0.37105263157894741</v>
      </c>
      <c r="BM370" s="25">
        <f t="shared" si="157"/>
        <v>0.44736842105263158</v>
      </c>
      <c r="BN370" s="18" t="str">
        <f t="shared" si="163"/>
        <v>Alta fuente de proteína</v>
      </c>
      <c r="BO370" s="18" t="str">
        <f t="shared" si="164"/>
        <v>Baja fuente de fibra</v>
      </c>
      <c r="BP370" s="18" t="str">
        <f t="shared" si="165"/>
        <v>Baja fuente de calcio</v>
      </c>
      <c r="BQ370" s="18" t="str">
        <f t="shared" si="166"/>
        <v>Baja fuente de hierro</v>
      </c>
      <c r="BR370" s="18" t="str">
        <f t="shared" si="167"/>
        <v>Bajo en sodio</v>
      </c>
      <c r="BS370" s="6" t="str">
        <f t="shared" si="158"/>
        <v>Neutro</v>
      </c>
      <c r="BT370" s="6" t="str">
        <f t="shared" si="159"/>
        <v>Alto en grasas</v>
      </c>
      <c r="BU370" s="18" t="str">
        <f t="shared" si="168"/>
        <v>Equilibrio de líquidos ideal</v>
      </c>
      <c r="BV370" s="18" t="str">
        <f t="shared" si="169"/>
        <v>Media fuente de magnesio</v>
      </c>
      <c r="BW370" s="18" t="str">
        <f t="shared" si="170"/>
        <v>Ligera fuente de Omega 3</v>
      </c>
      <c r="BX370" s="18" t="str">
        <f t="shared" si="171"/>
        <v>Libre de grasas trans</v>
      </c>
      <c r="BY370" s="18" t="str">
        <f t="shared" si="172"/>
        <v>Bajo poder antioxidante</v>
      </c>
      <c r="BZ370" s="6" t="str">
        <f t="shared" si="160"/>
        <v>Sin probióticos</v>
      </c>
      <c r="CA370" s="18" t="str">
        <f t="shared" si="173"/>
        <v>Poco inflamatorio</v>
      </c>
      <c r="CB370" s="18" t="str">
        <f>IF(ISNUMBER(SEARCH("miel", D370)), "No irritante (Uso condicionado SII)", IF(OR(J370&gt;0, ISNUMBER(SEARCH("cacao", D370)), ISNUMBER(SEARCH("chocolate puro", D370))), "Altamente irritante", IF(OR(AND(O370&gt;15, BI370&gt;1), ISNUMBER(SEARCH("chocolate", D370))), "Moderadamente irritante", "No irritante")))</f>
        <v>No irritante</v>
      </c>
      <c r="CC370" s="6" t="str">
        <f t="shared" si="161"/>
        <v>Balance de omegas favorable</v>
      </c>
    </row>
    <row r="371" spans="1:81" ht="15" customHeight="1" x14ac:dyDescent="0.3">
      <c r="A371" s="2">
        <f t="shared" si="162"/>
        <v>370</v>
      </c>
      <c r="B371" s="3" t="s">
        <v>488</v>
      </c>
      <c r="C371" s="3" t="s">
        <v>504</v>
      </c>
      <c r="D371" s="3" t="s">
        <v>512</v>
      </c>
      <c r="E371" s="3"/>
      <c r="F371" s="4">
        <v>2.5</v>
      </c>
      <c r="G371" s="5">
        <v>0.75</v>
      </c>
      <c r="H371" s="5">
        <v>123</v>
      </c>
      <c r="I371" s="5">
        <v>75</v>
      </c>
      <c r="J371" s="5">
        <v>0</v>
      </c>
      <c r="K371" s="5">
        <v>19</v>
      </c>
      <c r="L371" s="5">
        <v>1.4</v>
      </c>
      <c r="M371" s="5">
        <v>0</v>
      </c>
      <c r="N371" s="5">
        <v>1.4</v>
      </c>
      <c r="O371" s="5">
        <v>0</v>
      </c>
      <c r="P371" s="5">
        <v>0</v>
      </c>
      <c r="Q371" s="5">
        <v>4.5999999999999996</v>
      </c>
      <c r="R371" s="5">
        <v>0.9</v>
      </c>
      <c r="S371" s="5">
        <v>1.5</v>
      </c>
      <c r="T371" s="5">
        <v>0.6</v>
      </c>
      <c r="U371" s="5">
        <v>40</v>
      </c>
      <c r="V371" s="5">
        <v>1043</v>
      </c>
      <c r="W371" s="5">
        <v>500</v>
      </c>
      <c r="X371" s="5">
        <v>0</v>
      </c>
      <c r="Y371" s="5">
        <v>22</v>
      </c>
      <c r="Z371" s="5">
        <v>4.0999999999999996</v>
      </c>
      <c r="AA371" s="5">
        <v>0.03</v>
      </c>
      <c r="AB371" s="5">
        <v>0.17</v>
      </c>
      <c r="AC371" s="5">
        <v>0.37</v>
      </c>
      <c r="AD371" s="5">
        <v>5.5</v>
      </c>
      <c r="AE371" s="5">
        <v>0.28000000000000003</v>
      </c>
      <c r="AF371" s="5">
        <v>13</v>
      </c>
      <c r="AG371" s="5">
        <v>1</v>
      </c>
      <c r="AH371" s="5">
        <v>0.24</v>
      </c>
      <c r="AI371" s="5">
        <v>0</v>
      </c>
      <c r="AJ371" s="5">
        <v>0</v>
      </c>
      <c r="AK371" s="5">
        <v>30</v>
      </c>
      <c r="AL371" s="5">
        <v>202</v>
      </c>
      <c r="AM371" s="5">
        <v>0.7</v>
      </c>
      <c r="AN371" s="5">
        <v>4</v>
      </c>
      <c r="AO371" s="5">
        <v>2</v>
      </c>
      <c r="AP371" s="5">
        <v>30</v>
      </c>
      <c r="AQ371" s="5">
        <v>50</v>
      </c>
      <c r="AR371" s="5">
        <v>340</v>
      </c>
      <c r="AS371" s="5">
        <v>0.03</v>
      </c>
      <c r="AT371" s="5">
        <v>0.09</v>
      </c>
      <c r="AU371" s="5">
        <v>30</v>
      </c>
      <c r="AV371" s="5">
        <f>IFERROR(VLOOKUP(IFERROR(VLOOKUP(D371,Mapa_Similitud!$A$2:$B$2000,2,FALSE()),D371),Hoja1!$A$2:$K$1000,2,FALSE()),IFERROR(VLOOKUP(IFERROR(VLOOKUP(D371,Mapa_Similitud!$A$2:$B$2000,2,FALSE()),D371),Omega3_Referencia!$A$2:$E$100,3,FALSE()),0))</f>
        <v>0.6</v>
      </c>
      <c r="AW371" s="3" t="str">
        <f>IFERROR(VLOOKUP(IFERROR(VLOOKUP(D371,Mapa_Similitud!$A$2:$B$2000,2,FALSE()),D371),Hoja1!$A$2:$K$1000,3,FALSE()),IFERROR(VLOOKUP(IFERROR(VLOOKUP(D371,Mapa_Similitud!$A$2:$B$2000,2,FALSE()),D371),Omega3_Referencia!$A$2:$E$100,4,FALSE()),"N/A"))</f>
        <v>EPA/DHA</v>
      </c>
      <c r="AX371" s="5">
        <f>IFERROR(VLOOKUP(IFERROR(VLOOKUP(D371,Mapa_Similitud!$A$2:$B$2000,2,FALSE()),D371),Hoja1!$A$2:$K$1000,5,FALSE()),0)</f>
        <v>0</v>
      </c>
      <c r="AY371" s="5">
        <f>IFERROR(VLOOKUP(IFERROR(VLOOKUP(D371,Mapa_Similitud!$A$2:$B$2000,2,FALSE()),D371),Hoja1!$A$2:$K$1000,7,FALSE()),0)</f>
        <v>0</v>
      </c>
      <c r="AZ371" s="5">
        <f>IFERROR(VLOOKUP(IFERROR(VLOOKUP(D371,Mapa_Similitud!$A$2:$B$2000,2,FALSE()),D371),Hoja1!$A$2:$K$1000,9,FALSE()),0)</f>
        <v>0</v>
      </c>
      <c r="BA371" s="25">
        <f t="shared" si="145"/>
        <v>0.15447154471544716</v>
      </c>
      <c r="BB371" s="25">
        <f t="shared" si="146"/>
        <v>0</v>
      </c>
      <c r="BC371" s="25">
        <f t="shared" si="147"/>
        <v>0.24390243902439024</v>
      </c>
      <c r="BD371" s="25">
        <f t="shared" si="148"/>
        <v>5.6910569105691053E-3</v>
      </c>
      <c r="BE371" s="25">
        <f t="shared" si="149"/>
        <v>0.4065040650406504</v>
      </c>
      <c r="BF371" s="25">
        <f t="shared" si="150"/>
        <v>0.66666666666666663</v>
      </c>
      <c r="BG371" s="25">
        <f t="shared" si="151"/>
        <v>0.14851485148514851</v>
      </c>
      <c r="BH371" s="25">
        <f t="shared" si="152"/>
        <v>0.19565217391304349</v>
      </c>
      <c r="BI371" s="25">
        <f t="shared" si="153"/>
        <v>0.14705882352941177</v>
      </c>
      <c r="BJ371" s="25">
        <f t="shared" si="154"/>
        <v>1</v>
      </c>
      <c r="BK371" s="25">
        <f t="shared" si="155"/>
        <v>0</v>
      </c>
      <c r="BL371" s="25">
        <f t="shared" si="156"/>
        <v>0.3365853658536585</v>
      </c>
      <c r="BM371" s="25">
        <f t="shared" si="157"/>
        <v>0.24390243902439024</v>
      </c>
      <c r="BN371" s="18" t="str">
        <f t="shared" si="163"/>
        <v>Alta fuente de proteína</v>
      </c>
      <c r="BO371" s="18" t="str">
        <f t="shared" si="164"/>
        <v>Baja fuente de fibra</v>
      </c>
      <c r="BP371" s="18" t="str">
        <f t="shared" si="165"/>
        <v>Baja fuente de calcio</v>
      </c>
      <c r="BQ371" s="18" t="str">
        <f t="shared" si="166"/>
        <v>Baja fuente de hierro</v>
      </c>
      <c r="BR371" s="18" t="str">
        <f t="shared" si="167"/>
        <v>Bajo en sodio</v>
      </c>
      <c r="BS371" s="6" t="str">
        <f t="shared" si="158"/>
        <v>Neutro</v>
      </c>
      <c r="BT371" s="6" t="str">
        <f t="shared" si="159"/>
        <v>Alto en grasas</v>
      </c>
      <c r="BU371" s="18" t="str">
        <f t="shared" si="168"/>
        <v>Equilibrio de líquidos ideal</v>
      </c>
      <c r="BV371" s="18" t="str">
        <f t="shared" si="169"/>
        <v>Media fuente de magnesio</v>
      </c>
      <c r="BW371" s="18" t="str">
        <f t="shared" si="170"/>
        <v>Alta fuente de Omega 3</v>
      </c>
      <c r="BX371" s="18" t="str">
        <f t="shared" si="171"/>
        <v>Libre de grasas trans</v>
      </c>
      <c r="BY371" s="18" t="str">
        <f t="shared" si="172"/>
        <v>Bajo poder antioxidante</v>
      </c>
      <c r="BZ371" s="6" t="str">
        <f t="shared" si="160"/>
        <v>Sin probióticos</v>
      </c>
      <c r="CA371" s="18" t="str">
        <f t="shared" si="173"/>
        <v>Antiinflamatorio</v>
      </c>
      <c r="CB371" s="18" t="str">
        <f>IF(ISNUMBER(SEARCH("miel", D371)), "No irritante (Uso condicionado SII)", IF(OR(J371&gt;0, ISNUMBER(SEARCH("cacao", D371)), ISNUMBER(SEARCH("chocolate puro", D371))), "Altamente irritante", IF(OR(AND(O371&gt;15, BI371&gt;1), ISNUMBER(SEARCH("chocolate", D371))), "Moderadamente irritante", "No irritante")))</f>
        <v>No irritante</v>
      </c>
      <c r="CC371" s="6" t="str">
        <f t="shared" si="161"/>
        <v>Balance de omegas favorable</v>
      </c>
    </row>
    <row r="372" spans="1:81" ht="15" customHeight="1" x14ac:dyDescent="0.3">
      <c r="A372" s="2">
        <f t="shared" si="162"/>
        <v>371</v>
      </c>
      <c r="B372" s="3" t="s">
        <v>488</v>
      </c>
      <c r="C372" s="3" t="s">
        <v>504</v>
      </c>
      <c r="D372" s="3" t="s">
        <v>513</v>
      </c>
      <c r="E372" s="3"/>
      <c r="F372" s="4">
        <v>5</v>
      </c>
      <c r="G372" s="5">
        <v>0.71</v>
      </c>
      <c r="H372" s="5">
        <v>118</v>
      </c>
      <c r="I372" s="5">
        <v>75.599999999999994</v>
      </c>
      <c r="J372" s="5">
        <v>0</v>
      </c>
      <c r="K372" s="5">
        <v>19.8</v>
      </c>
      <c r="L372" s="5">
        <v>0.8</v>
      </c>
      <c r="M372" s="5">
        <v>0</v>
      </c>
      <c r="N372" s="5">
        <v>0.8</v>
      </c>
      <c r="O372" s="5">
        <v>0</v>
      </c>
      <c r="P372" s="5">
        <v>0</v>
      </c>
      <c r="Q372" s="5">
        <v>3.9</v>
      </c>
      <c r="R372" s="5">
        <v>0.79</v>
      </c>
      <c r="S372" s="5">
        <v>0.69</v>
      </c>
      <c r="T372" s="5">
        <v>0.51</v>
      </c>
      <c r="U372" s="5">
        <v>79</v>
      </c>
      <c r="V372" s="5">
        <v>12</v>
      </c>
      <c r="W372" s="5">
        <v>12</v>
      </c>
      <c r="X372" s="5">
        <v>0</v>
      </c>
      <c r="Y372" s="5">
        <v>16</v>
      </c>
      <c r="Z372" s="5">
        <v>2.6</v>
      </c>
      <c r="AA372" s="5">
        <v>0.02</v>
      </c>
      <c r="AB372" s="5">
        <v>0.14000000000000001</v>
      </c>
      <c r="AC372" s="5">
        <v>0.14000000000000001</v>
      </c>
      <c r="AD372" s="5">
        <v>9</v>
      </c>
      <c r="AE372" s="5">
        <v>0.63</v>
      </c>
      <c r="AF372" s="5">
        <v>1.2</v>
      </c>
      <c r="AG372" s="5">
        <v>6</v>
      </c>
      <c r="AH372" s="5">
        <v>0.4</v>
      </c>
      <c r="AI372" s="5">
        <v>0</v>
      </c>
      <c r="AJ372" s="5">
        <v>0</v>
      </c>
      <c r="AK372" s="5">
        <v>65</v>
      </c>
      <c r="AL372" s="5">
        <v>239</v>
      </c>
      <c r="AM372" s="5">
        <v>1</v>
      </c>
      <c r="AN372" s="5">
        <v>48</v>
      </c>
      <c r="AO372" s="5">
        <v>0.28999999999999998</v>
      </c>
      <c r="AP372" s="5">
        <v>31</v>
      </c>
      <c r="AQ372" s="5">
        <v>64</v>
      </c>
      <c r="AR372" s="5">
        <v>360</v>
      </c>
      <c r="AS372" s="5">
        <v>0.09</v>
      </c>
      <c r="AT372" s="5">
        <v>5.7000000000000002E-2</v>
      </c>
      <c r="AU372" s="5">
        <v>47</v>
      </c>
      <c r="AV372" s="5">
        <f>IFERROR(VLOOKUP(IFERROR(VLOOKUP(D372,Mapa_Similitud!$A$2:$B$2000,2,FALSE()),D372),Hoja1!$A$2:$K$1000,2,FALSE()),IFERROR(VLOOKUP(IFERROR(VLOOKUP(D372,Mapa_Similitud!$A$2:$B$2000,2,FALSE()),D372),Omega3_Referencia!$A$2:$E$100,3,FALSE()),0))</f>
        <v>0.6</v>
      </c>
      <c r="AW372" s="3" t="str">
        <f>IFERROR(VLOOKUP(IFERROR(VLOOKUP(D372,Mapa_Similitud!$A$2:$B$2000,2,FALSE()),D372),Hoja1!$A$2:$K$1000,3,FALSE()),IFERROR(VLOOKUP(IFERROR(VLOOKUP(D372,Mapa_Similitud!$A$2:$B$2000,2,FALSE()),D372),Omega3_Referencia!$A$2:$E$100,4,FALSE()),"N/A"))</f>
        <v>EPA/DHA</v>
      </c>
      <c r="AX372" s="5">
        <f>IFERROR(VLOOKUP(IFERROR(VLOOKUP(D372,Mapa_Similitud!$A$2:$B$2000,2,FALSE()),D372),Hoja1!$A$2:$K$1000,5,FALSE()),0)</f>
        <v>0</v>
      </c>
      <c r="AY372" s="5">
        <f>IFERROR(VLOOKUP(IFERROR(VLOOKUP(D372,Mapa_Similitud!$A$2:$B$2000,2,FALSE()),D372),Hoja1!$A$2:$K$1000,7,FALSE()),0)</f>
        <v>0</v>
      </c>
      <c r="AZ372" s="5">
        <f>IFERROR(VLOOKUP(IFERROR(VLOOKUP(D372,Mapa_Similitud!$A$2:$B$2000,2,FALSE()),D372),Hoja1!$A$2:$K$1000,9,FALSE()),0)</f>
        <v>0</v>
      </c>
      <c r="BA372" s="25">
        <f t="shared" si="145"/>
        <v>0.16779661016949154</v>
      </c>
      <c r="BB372" s="25">
        <f t="shared" si="146"/>
        <v>0</v>
      </c>
      <c r="BC372" s="25">
        <f t="shared" si="147"/>
        <v>0.55084745762711862</v>
      </c>
      <c r="BD372" s="25">
        <f t="shared" si="148"/>
        <v>8.4745762711864406E-3</v>
      </c>
      <c r="BE372" s="25">
        <f t="shared" si="149"/>
        <v>0.5423728813559322</v>
      </c>
      <c r="BF372" s="25">
        <f t="shared" si="150"/>
        <v>0.64556962025316456</v>
      </c>
      <c r="BG372" s="25">
        <f t="shared" si="151"/>
        <v>0.27196652719665271</v>
      </c>
      <c r="BH372" s="25">
        <f t="shared" si="152"/>
        <v>0.20256410256410257</v>
      </c>
      <c r="BI372" s="25">
        <f t="shared" si="153"/>
        <v>0.17777777777777778</v>
      </c>
      <c r="BJ372" s="25">
        <f t="shared" si="154"/>
        <v>1</v>
      </c>
      <c r="BK372" s="25">
        <f t="shared" si="155"/>
        <v>0</v>
      </c>
      <c r="BL372" s="25">
        <f t="shared" si="156"/>
        <v>0.2974576271186441</v>
      </c>
      <c r="BM372" s="25">
        <f t="shared" si="157"/>
        <v>0.26271186440677968</v>
      </c>
      <c r="BN372" s="18" t="str">
        <f t="shared" si="163"/>
        <v>Alta fuente de proteína</v>
      </c>
      <c r="BO372" s="18" t="str">
        <f t="shared" si="164"/>
        <v>Baja fuente de fibra</v>
      </c>
      <c r="BP372" s="18" t="str">
        <f t="shared" si="165"/>
        <v>Baja fuente de calcio</v>
      </c>
      <c r="BQ372" s="18" t="str">
        <f t="shared" si="166"/>
        <v>Media fuente de hierro</v>
      </c>
      <c r="BR372" s="18" t="str">
        <f t="shared" si="167"/>
        <v>Moderado en sodio</v>
      </c>
      <c r="BS372" s="6" t="str">
        <f t="shared" si="158"/>
        <v>Neutro</v>
      </c>
      <c r="BT372" s="6" t="str">
        <f t="shared" si="159"/>
        <v>Moderado en grasas</v>
      </c>
      <c r="BU372" s="18" t="str">
        <f t="shared" si="168"/>
        <v>Equilibrio de líquidos ideal</v>
      </c>
      <c r="BV372" s="18" t="str">
        <f t="shared" si="169"/>
        <v>Media fuente de magnesio</v>
      </c>
      <c r="BW372" s="18" t="str">
        <f t="shared" si="170"/>
        <v>Alta fuente de Omega 3</v>
      </c>
      <c r="BX372" s="18" t="str">
        <f t="shared" si="171"/>
        <v>Libre de grasas trans</v>
      </c>
      <c r="BY372" s="18" t="str">
        <f t="shared" si="172"/>
        <v>Bajo poder antioxidante</v>
      </c>
      <c r="BZ372" s="6" t="str">
        <f t="shared" si="160"/>
        <v>Sin probióticos</v>
      </c>
      <c r="CA372" s="18" t="str">
        <f t="shared" si="173"/>
        <v>Antiinflamatorio</v>
      </c>
      <c r="CB372" s="18" t="str">
        <f>IF(ISNUMBER(SEARCH("miel", D372)), "No irritante (Uso condicionado SII)", IF(OR(J372&gt;0, ISNUMBER(SEARCH("cacao", D372)), ISNUMBER(SEARCH("chocolate puro", D372))), "Altamente irritante", IF(OR(AND(O372&gt;15, BI372&gt;1), ISNUMBER(SEARCH("chocolate", D372))), "Moderadamente irritante", "No irritante")))</f>
        <v>No irritante</v>
      </c>
      <c r="CC372" s="6" t="str">
        <f t="shared" si="161"/>
        <v>Balance de omegas favorable</v>
      </c>
    </row>
    <row r="373" spans="1:81" ht="15" customHeight="1" x14ac:dyDescent="0.3">
      <c r="A373" s="2">
        <f t="shared" si="162"/>
        <v>372</v>
      </c>
      <c r="B373" s="3" t="s">
        <v>488</v>
      </c>
      <c r="C373" s="3" t="s">
        <v>504</v>
      </c>
      <c r="D373" s="3" t="s">
        <v>514</v>
      </c>
      <c r="E373" s="3"/>
      <c r="F373" s="4">
        <v>2</v>
      </c>
      <c r="G373" s="5">
        <v>0.6</v>
      </c>
      <c r="H373" s="5">
        <v>125</v>
      </c>
      <c r="I373" s="5">
        <v>75</v>
      </c>
      <c r="J373" s="5">
        <v>0</v>
      </c>
      <c r="K373" s="5">
        <v>20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5</v>
      </c>
      <c r="R373" s="5">
        <v>0.7</v>
      </c>
      <c r="S373" s="5">
        <v>0.3</v>
      </c>
      <c r="T373" s="5">
        <v>0.8</v>
      </c>
      <c r="U373" s="5">
        <v>79</v>
      </c>
      <c r="V373" s="5">
        <v>36</v>
      </c>
      <c r="W373" s="5">
        <v>36</v>
      </c>
      <c r="X373" s="5">
        <v>0</v>
      </c>
      <c r="Y373" s="5">
        <v>16</v>
      </c>
      <c r="Z373" s="5">
        <v>2.6</v>
      </c>
      <c r="AA373" s="5">
        <v>0.02</v>
      </c>
      <c r="AB373" s="5">
        <v>0.05</v>
      </c>
      <c r="AC373" s="5">
        <v>0.08</v>
      </c>
      <c r="AD373" s="5">
        <v>9</v>
      </c>
      <c r="AE373" s="5">
        <v>0.63</v>
      </c>
      <c r="AF373" s="5">
        <v>1.2</v>
      </c>
      <c r="AG373" s="5">
        <v>10</v>
      </c>
      <c r="AH373" s="5">
        <v>0.4</v>
      </c>
      <c r="AI373" s="5">
        <v>0</v>
      </c>
      <c r="AJ373" s="5">
        <v>0</v>
      </c>
      <c r="AK373" s="5">
        <v>25</v>
      </c>
      <c r="AL373" s="5">
        <v>250</v>
      </c>
      <c r="AM373" s="5">
        <v>0.7</v>
      </c>
      <c r="AN373" s="5">
        <v>48</v>
      </c>
      <c r="AO373" s="5">
        <v>0.5</v>
      </c>
      <c r="AP373" s="5">
        <v>28</v>
      </c>
      <c r="AQ373" s="5">
        <v>110</v>
      </c>
      <c r="AR373" s="5">
        <v>430</v>
      </c>
      <c r="AS373" s="5">
        <v>0.09</v>
      </c>
      <c r="AT373" s="5">
        <v>0.04</v>
      </c>
      <c r="AU373" s="5">
        <v>45</v>
      </c>
      <c r="AV373" s="5">
        <f>IFERROR(VLOOKUP(IFERROR(VLOOKUP(D373,Mapa_Similitud!$A$2:$B$2000,2,FALSE()),D373),Hoja1!$A$2:$K$1000,2,FALSE()),IFERROR(VLOOKUP(IFERROR(VLOOKUP(D373,Mapa_Similitud!$A$2:$B$2000,2,FALSE()),D373),Omega3_Referencia!$A$2:$E$100,3,FALSE()),0))</f>
        <v>0.6</v>
      </c>
      <c r="AW373" s="3" t="str">
        <f>IFERROR(VLOOKUP(IFERROR(VLOOKUP(D373,Mapa_Similitud!$A$2:$B$2000,2,FALSE()),D373),Hoja1!$A$2:$K$1000,3,FALSE()),IFERROR(VLOOKUP(IFERROR(VLOOKUP(D373,Mapa_Similitud!$A$2:$B$2000,2,FALSE()),D373),Omega3_Referencia!$A$2:$E$100,4,FALSE()),"N/A"))</f>
        <v>EPA/DHA</v>
      </c>
      <c r="AX373" s="5">
        <f>IFERROR(VLOOKUP(IFERROR(VLOOKUP(D373,Mapa_Similitud!$A$2:$B$2000,2,FALSE()),D373),Hoja1!$A$2:$K$1000,5,FALSE()),0)</f>
        <v>0</v>
      </c>
      <c r="AY373" s="5">
        <f>IFERROR(VLOOKUP(IFERROR(VLOOKUP(D373,Mapa_Similitud!$A$2:$B$2000,2,FALSE()),D373),Hoja1!$A$2:$K$1000,7,FALSE()),0)</f>
        <v>0</v>
      </c>
      <c r="AZ373" s="5">
        <f>IFERROR(VLOOKUP(IFERROR(VLOOKUP(D373,Mapa_Similitud!$A$2:$B$2000,2,FALSE()),D373),Hoja1!$A$2:$K$1000,9,FALSE()),0)</f>
        <v>0</v>
      </c>
      <c r="BA373" s="25">
        <f t="shared" si="145"/>
        <v>0.16</v>
      </c>
      <c r="BB373" s="25">
        <f t="shared" si="146"/>
        <v>0</v>
      </c>
      <c r="BC373" s="25">
        <f t="shared" si="147"/>
        <v>0.2</v>
      </c>
      <c r="BD373" s="25">
        <f t="shared" si="148"/>
        <v>5.5999999999999999E-3</v>
      </c>
      <c r="BE373" s="25">
        <f t="shared" si="149"/>
        <v>0.88</v>
      </c>
      <c r="BF373" s="25">
        <f t="shared" si="150"/>
        <v>1.142857142857143</v>
      </c>
      <c r="BG373" s="25">
        <f t="shared" si="151"/>
        <v>0.1</v>
      </c>
      <c r="BH373" s="25">
        <f t="shared" si="152"/>
        <v>0.13999999999999999</v>
      </c>
      <c r="BI373" s="25">
        <f t="shared" si="153"/>
        <v>0.2558139534883721</v>
      </c>
      <c r="BJ373" s="25">
        <f t="shared" si="154"/>
        <v>0</v>
      </c>
      <c r="BK373" s="25">
        <f t="shared" si="155"/>
        <v>0</v>
      </c>
      <c r="BL373" s="25">
        <f t="shared" si="156"/>
        <v>0.36</v>
      </c>
      <c r="BM373" s="25">
        <f t="shared" si="157"/>
        <v>0.224</v>
      </c>
      <c r="BN373" s="18" t="str">
        <f t="shared" si="163"/>
        <v>Alta fuente de proteína</v>
      </c>
      <c r="BO373" s="18" t="str">
        <f t="shared" si="164"/>
        <v>Baja fuente de fibra</v>
      </c>
      <c r="BP373" s="18" t="str">
        <f t="shared" si="165"/>
        <v>Baja fuente de calcio</v>
      </c>
      <c r="BQ373" s="18" t="str">
        <f t="shared" si="166"/>
        <v>Baja fuente de hierro</v>
      </c>
      <c r="BR373" s="18" t="str">
        <f t="shared" si="167"/>
        <v>Moderado en sodio</v>
      </c>
      <c r="BS373" s="6" t="str">
        <f t="shared" si="158"/>
        <v>Ligeramente antiinflamatorio</v>
      </c>
      <c r="BT373" s="6" t="str">
        <f t="shared" si="159"/>
        <v>Alto en grasas</v>
      </c>
      <c r="BU373" s="18" t="str">
        <f t="shared" si="168"/>
        <v>Equilibrio de líquidos ideal</v>
      </c>
      <c r="BV373" s="18" t="str">
        <f t="shared" si="169"/>
        <v>Media fuente de magnesio</v>
      </c>
      <c r="BW373" s="18" t="str">
        <f t="shared" si="170"/>
        <v>Alta fuente de Omega 3</v>
      </c>
      <c r="BX373" s="18" t="str">
        <f t="shared" si="171"/>
        <v>Libre de grasas trans</v>
      </c>
      <c r="BY373" s="18" t="str">
        <f t="shared" si="172"/>
        <v>Bajo poder antioxidante</v>
      </c>
      <c r="BZ373" s="6" t="str">
        <f t="shared" si="160"/>
        <v>Sin probióticos</v>
      </c>
      <c r="CA373" s="18" t="str">
        <f t="shared" si="173"/>
        <v>Antiinflamatorio</v>
      </c>
      <c r="CB373" s="18" t="str">
        <f>IF(ISNUMBER(SEARCH("miel", D373)), "No irritante (Uso condicionado SII)", IF(OR(J373&gt;0, ISNUMBER(SEARCH("cacao", D373)), ISNUMBER(SEARCH("chocolate puro", D373))), "Altamente irritante", IF(OR(AND(O373&gt;15, BI373&gt;1), ISNUMBER(SEARCH("chocolate", D373))), "Moderadamente irritante", "No irritante")))</f>
        <v>No irritante</v>
      </c>
      <c r="CC373" s="6" t="str">
        <f t="shared" si="161"/>
        <v>Balance de omegas favorable</v>
      </c>
    </row>
    <row r="374" spans="1:81" ht="15" customHeight="1" x14ac:dyDescent="0.3">
      <c r="A374" s="2">
        <f t="shared" si="162"/>
        <v>373</v>
      </c>
      <c r="B374" s="3" t="s">
        <v>488</v>
      </c>
      <c r="C374" s="3" t="s">
        <v>504</v>
      </c>
      <c r="D374" s="3" t="s">
        <v>515</v>
      </c>
      <c r="E374" s="3"/>
      <c r="F374" s="4">
        <v>6</v>
      </c>
      <c r="G374" s="5">
        <v>0.94</v>
      </c>
      <c r="H374" s="5">
        <v>117</v>
      </c>
      <c r="I374" s="5">
        <v>76.2</v>
      </c>
      <c r="J374" s="5">
        <v>0</v>
      </c>
      <c r="K374" s="5">
        <v>19.399999999999999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4.4000000000000004</v>
      </c>
      <c r="R374" s="5">
        <v>1.2</v>
      </c>
      <c r="S374" s="5">
        <v>1.7</v>
      </c>
      <c r="T374" s="5">
        <v>1.2</v>
      </c>
      <c r="U374" s="5">
        <v>39</v>
      </c>
      <c r="V374" s="5">
        <v>20</v>
      </c>
      <c r="W374" s="5">
        <v>20</v>
      </c>
      <c r="X374" s="5">
        <v>0</v>
      </c>
      <c r="Y374" s="5">
        <v>7.2</v>
      </c>
      <c r="Z374" s="5">
        <v>1</v>
      </c>
      <c r="AA374" s="5">
        <v>0.02</v>
      </c>
      <c r="AB374" s="5">
        <v>0.05</v>
      </c>
      <c r="AC374" s="5">
        <v>0.08</v>
      </c>
      <c r="AD374" s="5">
        <v>11.9</v>
      </c>
      <c r="AE374" s="5">
        <v>0.51</v>
      </c>
      <c r="AF374" s="5">
        <v>2</v>
      </c>
      <c r="AG374" s="5">
        <v>5</v>
      </c>
      <c r="AH374" s="5">
        <v>0.41</v>
      </c>
      <c r="AI374" s="5">
        <v>0</v>
      </c>
      <c r="AJ374" s="5">
        <v>1</v>
      </c>
      <c r="AK374" s="5">
        <v>10</v>
      </c>
      <c r="AL374" s="5">
        <v>506</v>
      </c>
      <c r="AM374" s="5">
        <v>0.5</v>
      </c>
      <c r="AN374" s="5">
        <v>2</v>
      </c>
      <c r="AO374" s="5">
        <v>0.7</v>
      </c>
      <c r="AP374" s="5">
        <v>27</v>
      </c>
      <c r="AQ374" s="5">
        <v>102</v>
      </c>
      <c r="AR374" s="5">
        <v>342</v>
      </c>
      <c r="AS374" s="5">
        <v>1.9E-2</v>
      </c>
      <c r="AT374" s="5">
        <v>0.12</v>
      </c>
      <c r="AU374" s="5">
        <v>48.1</v>
      </c>
      <c r="AV374" s="5">
        <f>IFERROR(VLOOKUP(IFERROR(VLOOKUP(D374,Mapa_Similitud!$A$2:$B$2000,2,FALSE()),D374),Hoja1!$A$2:$K$1000,2,FALSE()),IFERROR(VLOOKUP(IFERROR(VLOOKUP(D374,Mapa_Similitud!$A$2:$B$2000,2,FALSE()),D374),Omega3_Referencia!$A$2:$E$100,3,FALSE()),0))</f>
        <v>0.8</v>
      </c>
      <c r="AW374" s="3" t="str">
        <f>IFERROR(VLOOKUP(IFERROR(VLOOKUP(D374,Mapa_Similitud!$A$2:$B$2000,2,FALSE()),D374),Hoja1!$A$2:$K$1000,3,FALSE()),IFERROR(VLOOKUP(IFERROR(VLOOKUP(D374,Mapa_Similitud!$A$2:$B$2000,2,FALSE()),D374),Omega3_Referencia!$A$2:$E$100,4,FALSE()),"N/A"))</f>
        <v>EPA/DHA</v>
      </c>
      <c r="AX374" s="5">
        <f>IFERROR(VLOOKUP(IFERROR(VLOOKUP(D374,Mapa_Similitud!$A$2:$B$2000,2,FALSE()),D374),Hoja1!$A$2:$K$1000,5,FALSE()),0)</f>
        <v>0</v>
      </c>
      <c r="AY374" s="5">
        <f>IFERROR(VLOOKUP(IFERROR(VLOOKUP(D374,Mapa_Similitud!$A$2:$B$2000,2,FALSE()),D374),Hoja1!$A$2:$K$1000,7,FALSE()),0)</f>
        <v>0</v>
      </c>
      <c r="AZ374" s="5">
        <f>IFERROR(VLOOKUP(IFERROR(VLOOKUP(D374,Mapa_Similitud!$A$2:$B$2000,2,FALSE()),D374),Hoja1!$A$2:$K$1000,9,FALSE()),0)</f>
        <v>0</v>
      </c>
      <c r="BA374" s="25">
        <f t="shared" si="145"/>
        <v>0.16581196581196581</v>
      </c>
      <c r="BB374" s="25">
        <f t="shared" si="146"/>
        <v>0</v>
      </c>
      <c r="BC374" s="25">
        <f t="shared" si="147"/>
        <v>8.5470085470085472E-2</v>
      </c>
      <c r="BD374" s="25">
        <f t="shared" si="148"/>
        <v>4.2735042735042739E-3</v>
      </c>
      <c r="BE374" s="25">
        <f t="shared" si="149"/>
        <v>0.87179487179487181</v>
      </c>
      <c r="BF374" s="25">
        <f t="shared" si="150"/>
        <v>1</v>
      </c>
      <c r="BG374" s="25">
        <f t="shared" si="151"/>
        <v>1.9762845849802372E-2</v>
      </c>
      <c r="BH374" s="25">
        <f t="shared" si="152"/>
        <v>0.27272727272727271</v>
      </c>
      <c r="BI374" s="25">
        <f t="shared" si="153"/>
        <v>0.2982456140350877</v>
      </c>
      <c r="BJ374" s="25">
        <f t="shared" si="154"/>
        <v>0</v>
      </c>
      <c r="BK374" s="25">
        <f t="shared" si="155"/>
        <v>0</v>
      </c>
      <c r="BL374" s="25">
        <f t="shared" si="156"/>
        <v>0.33846153846153848</v>
      </c>
      <c r="BM374" s="25">
        <f t="shared" si="157"/>
        <v>0.23076923076923078</v>
      </c>
      <c r="BN374" s="18" t="str">
        <f t="shared" si="163"/>
        <v>Alta fuente de proteína</v>
      </c>
      <c r="BO374" s="18" t="str">
        <f t="shared" si="164"/>
        <v>Baja fuente de fibra</v>
      </c>
      <c r="BP374" s="18" t="str">
        <f t="shared" si="165"/>
        <v>Baja fuente de calcio</v>
      </c>
      <c r="BQ374" s="18" t="str">
        <f t="shared" si="166"/>
        <v>Baja fuente de hierro</v>
      </c>
      <c r="BR374" s="18" t="str">
        <f t="shared" si="167"/>
        <v>Moderado en sodio</v>
      </c>
      <c r="BS374" s="6" t="str">
        <f t="shared" si="158"/>
        <v>Neutro</v>
      </c>
      <c r="BT374" s="6" t="str">
        <f t="shared" si="159"/>
        <v>Alto en grasas</v>
      </c>
      <c r="BU374" s="18" t="str">
        <f t="shared" si="168"/>
        <v>Equilibrio de líquidos ideal</v>
      </c>
      <c r="BV374" s="18" t="str">
        <f t="shared" si="169"/>
        <v>Media fuente de magnesio</v>
      </c>
      <c r="BW374" s="18" t="str">
        <f t="shared" si="170"/>
        <v>Alta fuente de Omega 3</v>
      </c>
      <c r="BX374" s="18" t="str">
        <f t="shared" si="171"/>
        <v>Libre de grasas trans</v>
      </c>
      <c r="BY374" s="18" t="str">
        <f t="shared" si="172"/>
        <v>Bajo poder antioxidante</v>
      </c>
      <c r="BZ374" s="6" t="str">
        <f t="shared" si="160"/>
        <v>Sin probióticos</v>
      </c>
      <c r="CA374" s="18" t="str">
        <f t="shared" si="173"/>
        <v>Antiinflamatorio</v>
      </c>
      <c r="CB374" s="18" t="str">
        <f>IF(ISNUMBER(SEARCH("miel", D374)), "No irritante (Uso condicionado SII)", IF(OR(J374&gt;0, ISNUMBER(SEARCH("cacao", D374)), ISNUMBER(SEARCH("chocolate puro", D374))), "Altamente irritante", IF(OR(AND(O374&gt;15, BI374&gt;1), ISNUMBER(SEARCH("chocolate", D374))), "Moderadamente irritante", "No irritante")))</f>
        <v>No irritante</v>
      </c>
      <c r="CC374" s="6" t="str">
        <f t="shared" si="161"/>
        <v>Balance de omegas favorable</v>
      </c>
    </row>
    <row r="375" spans="1:81" ht="15" customHeight="1" x14ac:dyDescent="0.3">
      <c r="A375" s="2">
        <f t="shared" si="162"/>
        <v>374</v>
      </c>
      <c r="B375" s="3" t="s">
        <v>488</v>
      </c>
      <c r="C375" s="3" t="s">
        <v>504</v>
      </c>
      <c r="D375" s="3" t="s">
        <v>516</v>
      </c>
      <c r="E375" s="3"/>
      <c r="F375" s="4">
        <v>4.5</v>
      </c>
      <c r="G375" s="5">
        <v>0.79</v>
      </c>
      <c r="H375" s="5">
        <v>191</v>
      </c>
      <c r="I375" s="5">
        <v>67.3</v>
      </c>
      <c r="J375" s="5">
        <v>0</v>
      </c>
      <c r="K375" s="5">
        <v>20.6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12.1</v>
      </c>
      <c r="R375" s="5">
        <v>2.1</v>
      </c>
      <c r="S375" s="5">
        <v>3.7</v>
      </c>
      <c r="T375" s="5">
        <v>3.3</v>
      </c>
      <c r="U375" s="5">
        <v>48.1</v>
      </c>
      <c r="V375" s="5">
        <v>13.3</v>
      </c>
      <c r="W375" s="5">
        <v>13.3</v>
      </c>
      <c r="X375" s="5">
        <v>0</v>
      </c>
      <c r="Y375" s="5">
        <v>9.9</v>
      </c>
      <c r="Z375" s="5">
        <v>2</v>
      </c>
      <c r="AA375" s="5">
        <v>0.4</v>
      </c>
      <c r="AB375" s="5">
        <v>0.2</v>
      </c>
      <c r="AC375" s="5">
        <v>0.15</v>
      </c>
      <c r="AD375" s="5">
        <v>13.2</v>
      </c>
      <c r="AE375" s="5">
        <v>0.73</v>
      </c>
      <c r="AF375" s="5">
        <v>22.5</v>
      </c>
      <c r="AG375" s="5">
        <v>3.9</v>
      </c>
      <c r="AH375" s="5">
        <v>1</v>
      </c>
      <c r="AI375" s="5">
        <v>7.4</v>
      </c>
      <c r="AJ375" s="5">
        <v>0</v>
      </c>
      <c r="AK375" s="5">
        <v>20.5</v>
      </c>
      <c r="AL375" s="5">
        <v>253</v>
      </c>
      <c r="AM375" s="5">
        <v>0.84</v>
      </c>
      <c r="AN375" s="5">
        <v>28.3</v>
      </c>
      <c r="AO375" s="5">
        <v>0.72</v>
      </c>
      <c r="AP375" s="5">
        <v>25.8</v>
      </c>
      <c r="AQ375" s="5">
        <v>59</v>
      </c>
      <c r="AR375" s="5">
        <v>336</v>
      </c>
      <c r="AS375" s="5">
        <v>1.4E-2</v>
      </c>
      <c r="AT375" s="5">
        <v>0.13</v>
      </c>
      <c r="AU375" s="5">
        <v>29</v>
      </c>
      <c r="AV375" s="5">
        <f>IFERROR(VLOOKUP(IFERROR(VLOOKUP(D375,Mapa_Similitud!$A$2:$B$2000,2,FALSE()),D375),Hoja1!$A$2:$K$1000,2,FALSE()),IFERROR(VLOOKUP(IFERROR(VLOOKUP(D375,Mapa_Similitud!$A$2:$B$2000,2,FALSE()),D375),Omega3_Referencia!$A$2:$E$100,3,FALSE()),0))</f>
        <v>2.4300000000000002</v>
      </c>
      <c r="AW375" s="3" t="str">
        <f>IFERROR(VLOOKUP(IFERROR(VLOOKUP(D375,Mapa_Similitud!$A$2:$B$2000,2,FALSE()),D375),Hoja1!$A$2:$K$1000,3,FALSE()),IFERROR(VLOOKUP(IFERROR(VLOOKUP(D375,Mapa_Similitud!$A$2:$B$2000,2,FALSE()),D375),Omega3_Referencia!$A$2:$E$100,4,FALSE()),"N/A"))</f>
        <v>EPA+DHA</v>
      </c>
      <c r="AX375" s="5">
        <f>IFERROR(VLOOKUP(IFERROR(VLOOKUP(D375,Mapa_Similitud!$A$2:$B$2000,2,FALSE()),D375),Hoja1!$A$2:$K$1000,5,FALSE()),0)</f>
        <v>0</v>
      </c>
      <c r="AY375" s="5">
        <f>IFERROR(VLOOKUP(IFERROR(VLOOKUP(D375,Mapa_Similitud!$A$2:$B$2000,2,FALSE()),D375),Hoja1!$A$2:$K$1000,7,FALSE()),0)</f>
        <v>0</v>
      </c>
      <c r="AZ375" s="5">
        <f>IFERROR(VLOOKUP(IFERROR(VLOOKUP(D375,Mapa_Similitud!$A$2:$B$2000,2,FALSE()),D375),Hoja1!$A$2:$K$1000,9,FALSE()),0)</f>
        <v>0</v>
      </c>
      <c r="BA375" s="25">
        <f t="shared" si="145"/>
        <v>0.10785340314136127</v>
      </c>
      <c r="BB375" s="25">
        <f t="shared" si="146"/>
        <v>0</v>
      </c>
      <c r="BC375" s="25">
        <f t="shared" si="147"/>
        <v>0.10732984293193717</v>
      </c>
      <c r="BD375" s="25">
        <f t="shared" si="148"/>
        <v>4.3979057591623039E-3</v>
      </c>
      <c r="BE375" s="25">
        <f t="shared" si="149"/>
        <v>0.30890052356020942</v>
      </c>
      <c r="BF375" s="25">
        <f t="shared" si="150"/>
        <v>1.5714285714285712</v>
      </c>
      <c r="BG375" s="25">
        <f t="shared" si="151"/>
        <v>8.1027667984189727E-2</v>
      </c>
      <c r="BH375" s="25">
        <f t="shared" si="152"/>
        <v>0.17355371900826447</v>
      </c>
      <c r="BI375" s="25">
        <f t="shared" si="153"/>
        <v>0.17559523809523808</v>
      </c>
      <c r="BJ375" s="25">
        <f t="shared" si="154"/>
        <v>0</v>
      </c>
      <c r="BK375" s="25">
        <f t="shared" si="155"/>
        <v>0</v>
      </c>
      <c r="BL375" s="25">
        <f t="shared" si="156"/>
        <v>0.57015706806282718</v>
      </c>
      <c r="BM375" s="25">
        <f t="shared" si="157"/>
        <v>0.13507853403141362</v>
      </c>
      <c r="BN375" s="18" t="str">
        <f t="shared" si="163"/>
        <v>Media fuente de proteína</v>
      </c>
      <c r="BO375" s="18" t="str">
        <f t="shared" si="164"/>
        <v>Baja fuente de fibra</v>
      </c>
      <c r="BP375" s="18" t="str">
        <f t="shared" si="165"/>
        <v>Baja fuente de calcio</v>
      </c>
      <c r="BQ375" s="18" t="str">
        <f t="shared" si="166"/>
        <v>Baja fuente de hierro</v>
      </c>
      <c r="BR375" s="18" t="str">
        <f t="shared" si="167"/>
        <v>Bajo en sodio</v>
      </c>
      <c r="BS375" s="6" t="str">
        <f t="shared" si="158"/>
        <v>Ligeramente antiinflamatorio</v>
      </c>
      <c r="BT375" s="6" t="str">
        <f t="shared" si="159"/>
        <v>Muy alto en grasas</v>
      </c>
      <c r="BU375" s="18" t="str">
        <f t="shared" si="168"/>
        <v>Equilibrio de líquidos ideal</v>
      </c>
      <c r="BV375" s="18" t="str">
        <f t="shared" si="169"/>
        <v>Baja fuente de magnesio</v>
      </c>
      <c r="BW375" s="18" t="str">
        <f t="shared" si="170"/>
        <v>Alta fuente de Omega 3</v>
      </c>
      <c r="BX375" s="18" t="str">
        <f t="shared" si="171"/>
        <v>Libre de grasas trans</v>
      </c>
      <c r="BY375" s="18" t="str">
        <f t="shared" si="172"/>
        <v>Bajo poder antioxidante</v>
      </c>
      <c r="BZ375" s="6" t="str">
        <f t="shared" si="160"/>
        <v>Sin probióticos</v>
      </c>
      <c r="CA375" s="18" t="str">
        <f t="shared" si="173"/>
        <v>Antiinflamatorio</v>
      </c>
      <c r="CB375" s="18" t="str">
        <f>IF(ISNUMBER(SEARCH("miel", D375)), "No irritante (Uso condicionado SII)", IF(OR(J375&gt;0, ISNUMBER(SEARCH("cacao", D375)), ISNUMBER(SEARCH("chocolate puro", D375))), "Altamente irritante", IF(OR(AND(O375&gt;15, BI375&gt;1), ISNUMBER(SEARCH("chocolate", D375))), "Moderadamente irritante", "No irritante")))</f>
        <v>No irritante</v>
      </c>
      <c r="CC375" s="6" t="str">
        <f t="shared" si="161"/>
        <v>Balance de omegas favorable</v>
      </c>
    </row>
    <row r="376" spans="1:81" ht="15" customHeight="1" x14ac:dyDescent="0.3">
      <c r="A376" s="2">
        <f t="shared" si="162"/>
        <v>375</v>
      </c>
      <c r="B376" s="3" t="s">
        <v>488</v>
      </c>
      <c r="C376" s="3" t="s">
        <v>504</v>
      </c>
      <c r="D376" s="3" t="s">
        <v>517</v>
      </c>
      <c r="E376" s="3"/>
      <c r="F376" s="4">
        <v>5</v>
      </c>
      <c r="G376" s="5">
        <v>0.74</v>
      </c>
      <c r="H376" s="5">
        <v>109</v>
      </c>
      <c r="I376" s="5">
        <v>77.5</v>
      </c>
      <c r="J376" s="5">
        <v>0</v>
      </c>
      <c r="K376" s="5">
        <v>18.7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3.8</v>
      </c>
      <c r="R376" s="5">
        <v>0.9</v>
      </c>
      <c r="S376" s="5">
        <v>0.88</v>
      </c>
      <c r="T376" s="5">
        <v>1.4</v>
      </c>
      <c r="U376" s="5">
        <v>70</v>
      </c>
      <c r="V376" s="5">
        <v>9</v>
      </c>
      <c r="W376" s="5">
        <v>9</v>
      </c>
      <c r="X376" s="5">
        <v>0</v>
      </c>
      <c r="Y376" s="5">
        <v>0.8</v>
      </c>
      <c r="Z376" s="5">
        <v>0.51</v>
      </c>
      <c r="AA376" s="5">
        <v>0.3</v>
      </c>
      <c r="AB376" s="5">
        <v>0.08</v>
      </c>
      <c r="AC376" s="5">
        <v>7.0000000000000007E-2</v>
      </c>
      <c r="AD376" s="5">
        <v>4.2</v>
      </c>
      <c r="AE376" s="5">
        <v>0.42</v>
      </c>
      <c r="AF376" s="5">
        <v>11</v>
      </c>
      <c r="AG376" s="5">
        <v>2</v>
      </c>
      <c r="AH376" s="5">
        <v>0.46</v>
      </c>
      <c r="AI376" s="5">
        <v>0</v>
      </c>
      <c r="AJ376" s="5">
        <v>0</v>
      </c>
      <c r="AK376" s="5">
        <v>66</v>
      </c>
      <c r="AL376" s="5">
        <v>220</v>
      </c>
      <c r="AM376" s="5">
        <v>0.3</v>
      </c>
      <c r="AN376" s="5">
        <v>190</v>
      </c>
      <c r="AO376" s="5">
        <v>0.3</v>
      </c>
      <c r="AP376" s="5">
        <v>30</v>
      </c>
      <c r="AQ376" s="5">
        <v>91</v>
      </c>
      <c r="AR376" s="5">
        <v>340</v>
      </c>
      <c r="AS376" s="5">
        <v>0.01</v>
      </c>
      <c r="AT376" s="5">
        <v>0.13</v>
      </c>
      <c r="AU376" s="5">
        <v>29</v>
      </c>
      <c r="AV376" s="5">
        <f>IFERROR(VLOOKUP(IFERROR(VLOOKUP(D376,Mapa_Similitud!$A$2:$B$2000,2,FALSE()),D376),Hoja1!$A$2:$K$1000,2,FALSE()),IFERROR(VLOOKUP(IFERROR(VLOOKUP(D376,Mapa_Similitud!$A$2:$B$2000,2,FALSE()),D376),Omega3_Referencia!$A$2:$E$100,3,FALSE()),0))</f>
        <v>0.5</v>
      </c>
      <c r="AW376" s="3" t="str">
        <f>IFERROR(VLOOKUP(IFERROR(VLOOKUP(D376,Mapa_Similitud!$A$2:$B$2000,2,FALSE()),D376),Hoja1!$A$2:$K$1000,3,FALSE()),IFERROR(VLOOKUP(IFERROR(VLOOKUP(D376,Mapa_Similitud!$A$2:$B$2000,2,FALSE()),D376),Omega3_Referencia!$A$2:$E$100,4,FALSE()),"N/A"))</f>
        <v>EPA/DHA</v>
      </c>
      <c r="AX376" s="5">
        <f>IFERROR(VLOOKUP(IFERROR(VLOOKUP(D376,Mapa_Similitud!$A$2:$B$2000,2,FALSE()),D376),Hoja1!$A$2:$K$1000,5,FALSE()),0)</f>
        <v>0</v>
      </c>
      <c r="AY376" s="5">
        <f>IFERROR(VLOOKUP(IFERROR(VLOOKUP(D376,Mapa_Similitud!$A$2:$B$2000,2,FALSE()),D376),Hoja1!$A$2:$K$1000,7,FALSE()),0)</f>
        <v>0</v>
      </c>
      <c r="AZ376" s="5">
        <f>IFERROR(VLOOKUP(IFERROR(VLOOKUP(D376,Mapa_Similitud!$A$2:$B$2000,2,FALSE()),D376),Hoja1!$A$2:$K$1000,9,FALSE()),0)</f>
        <v>0</v>
      </c>
      <c r="BA376" s="25">
        <f t="shared" si="145"/>
        <v>0.17155963302752292</v>
      </c>
      <c r="BB376" s="25">
        <f t="shared" si="146"/>
        <v>0</v>
      </c>
      <c r="BC376" s="25">
        <f t="shared" si="147"/>
        <v>0.60550458715596334</v>
      </c>
      <c r="BD376" s="25">
        <f t="shared" si="148"/>
        <v>2.7522935779816511E-3</v>
      </c>
      <c r="BE376" s="25">
        <f t="shared" si="149"/>
        <v>0.83486238532110091</v>
      </c>
      <c r="BF376" s="25">
        <f t="shared" si="150"/>
        <v>1.5555555555555554</v>
      </c>
      <c r="BG376" s="25">
        <f t="shared" si="151"/>
        <v>0.3</v>
      </c>
      <c r="BH376" s="25">
        <f t="shared" si="152"/>
        <v>0.23684210526315791</v>
      </c>
      <c r="BI376" s="25">
        <f t="shared" si="153"/>
        <v>0.2676470588235294</v>
      </c>
      <c r="BJ376" s="25">
        <f t="shared" si="154"/>
        <v>0</v>
      </c>
      <c r="BK376" s="25">
        <f t="shared" si="155"/>
        <v>0</v>
      </c>
      <c r="BL376" s="25">
        <f t="shared" si="156"/>
        <v>0.31376146788990822</v>
      </c>
      <c r="BM376" s="25">
        <f t="shared" si="157"/>
        <v>0.27522935779816515</v>
      </c>
      <c r="BN376" s="18" t="str">
        <f t="shared" si="163"/>
        <v>Alta fuente de proteína</v>
      </c>
      <c r="BO376" s="18" t="str">
        <f t="shared" si="164"/>
        <v>Baja fuente de fibra</v>
      </c>
      <c r="BP376" s="18" t="str">
        <f t="shared" si="165"/>
        <v>Baja fuente de calcio</v>
      </c>
      <c r="BQ376" s="18" t="str">
        <f t="shared" si="166"/>
        <v>Baja fuente de hierro</v>
      </c>
      <c r="BR376" s="18" t="str">
        <f t="shared" si="167"/>
        <v>Moderado en sodio</v>
      </c>
      <c r="BS376" s="6" t="str">
        <f t="shared" si="158"/>
        <v>Ligeramente antiinflamatorio</v>
      </c>
      <c r="BT376" s="6" t="str">
        <f t="shared" si="159"/>
        <v>Alto en grasas</v>
      </c>
      <c r="BU376" s="18" t="str">
        <f t="shared" si="168"/>
        <v>Equilibrio de líquidos ideal</v>
      </c>
      <c r="BV376" s="18" t="str">
        <f t="shared" si="169"/>
        <v>Media fuente de magnesio</v>
      </c>
      <c r="BW376" s="18" t="str">
        <f t="shared" si="170"/>
        <v>Alta fuente de Omega 3</v>
      </c>
      <c r="BX376" s="18" t="str">
        <f t="shared" si="171"/>
        <v>Libre de grasas trans</v>
      </c>
      <c r="BY376" s="18" t="str">
        <f t="shared" si="172"/>
        <v>Bajo poder antioxidante</v>
      </c>
      <c r="BZ376" s="6" t="str">
        <f t="shared" si="160"/>
        <v>Sin probióticos</v>
      </c>
      <c r="CA376" s="18" t="str">
        <f t="shared" si="173"/>
        <v>Antiinflamatorio</v>
      </c>
      <c r="CB376" s="18" t="str">
        <f>IF(ISNUMBER(SEARCH("miel", D376)), "No irritante (Uso condicionado SII)", IF(OR(J376&gt;0, ISNUMBER(SEARCH("cacao", D376)), ISNUMBER(SEARCH("chocolate puro", D376))), "Altamente irritante", IF(OR(AND(O376&gt;15, BI376&gt;1), ISNUMBER(SEARCH("chocolate", D376))), "Moderadamente irritante", "No irritante")))</f>
        <v>No irritante</v>
      </c>
      <c r="CC376" s="6" t="str">
        <f t="shared" si="161"/>
        <v>Balance de omegas favorable</v>
      </c>
    </row>
    <row r="377" spans="1:81" ht="15" customHeight="1" x14ac:dyDescent="0.3">
      <c r="A377" s="2">
        <f t="shared" si="162"/>
        <v>376</v>
      </c>
      <c r="B377" s="3" t="s">
        <v>488</v>
      </c>
      <c r="C377" s="3" t="s">
        <v>504</v>
      </c>
      <c r="D377" s="3" t="s">
        <v>518</v>
      </c>
      <c r="E377" s="3"/>
      <c r="F377" s="4">
        <v>4</v>
      </c>
      <c r="G377" s="5">
        <v>0.68</v>
      </c>
      <c r="H377" s="5">
        <v>157</v>
      </c>
      <c r="I377" s="5">
        <v>72.599999999999994</v>
      </c>
      <c r="J377" s="5">
        <v>0</v>
      </c>
      <c r="K377" s="5">
        <v>18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9.4</v>
      </c>
      <c r="R377" s="5">
        <v>2.6</v>
      </c>
      <c r="S377" s="5">
        <v>2.9</v>
      </c>
      <c r="T377" s="5">
        <v>2.9</v>
      </c>
      <c r="U377" s="5">
        <v>79.8</v>
      </c>
      <c r="V377" s="5">
        <v>62.9</v>
      </c>
      <c r="W377" s="5">
        <v>62.9</v>
      </c>
      <c r="X377" s="5">
        <v>0</v>
      </c>
      <c r="Y377" s="5">
        <v>7.9</v>
      </c>
      <c r="Z377" s="5">
        <v>1.6</v>
      </c>
      <c r="AA377" s="5">
        <v>0.09</v>
      </c>
      <c r="AB377" s="5">
        <v>0.02</v>
      </c>
      <c r="AC377" s="5">
        <v>0.25</v>
      </c>
      <c r="AD377" s="5">
        <v>9.6</v>
      </c>
      <c r="AE377" s="5">
        <v>0.96</v>
      </c>
      <c r="AF377" s="5">
        <v>8.6999999999999993</v>
      </c>
      <c r="AG377" s="5">
        <v>28.4</v>
      </c>
      <c r="AH377" s="5">
        <v>0.81</v>
      </c>
      <c r="AI377" s="5">
        <v>0</v>
      </c>
      <c r="AJ377" s="5">
        <v>0</v>
      </c>
      <c r="AK377" s="5">
        <v>50.4</v>
      </c>
      <c r="AL377" s="5">
        <v>270</v>
      </c>
      <c r="AM377" s="5">
        <v>2.2000000000000002</v>
      </c>
      <c r="AN377" s="5">
        <v>28.9</v>
      </c>
      <c r="AO377" s="5">
        <v>0.89</v>
      </c>
      <c r="AP377" s="5">
        <v>25.1</v>
      </c>
      <c r="AQ377" s="5">
        <v>120</v>
      </c>
      <c r="AR377" s="5">
        <v>360</v>
      </c>
      <c r="AS377" s="5">
        <v>0.11</v>
      </c>
      <c r="AT377" s="5">
        <v>0.17</v>
      </c>
      <c r="AU377" s="5">
        <v>60</v>
      </c>
      <c r="AV377" s="5">
        <f>IFERROR(VLOOKUP(IFERROR(VLOOKUP(D377,Mapa_Similitud!$A$2:$B$2000,2,FALSE()),D377),Hoja1!$A$2:$K$1000,2,FALSE()),IFERROR(VLOOKUP(IFERROR(VLOOKUP(D377,Mapa_Similitud!$A$2:$B$2000,2,FALSE()),D377),Omega3_Referencia!$A$2:$E$100,3,FALSE()),0))</f>
        <v>2.2000000000000002</v>
      </c>
      <c r="AW377" s="3" t="str">
        <f>IFERROR(VLOOKUP(IFERROR(VLOOKUP(D377,Mapa_Similitud!$A$2:$B$2000,2,FALSE()),D377),Hoja1!$A$2:$K$1000,3,FALSE()),IFERROR(VLOOKUP(IFERROR(VLOOKUP(D377,Mapa_Similitud!$A$2:$B$2000,2,FALSE()),D377),Omega3_Referencia!$A$2:$E$100,4,FALSE()),"N/A"))</f>
        <v>EPA+DHA</v>
      </c>
      <c r="AX377" s="5">
        <f>IFERROR(VLOOKUP(IFERROR(VLOOKUP(D377,Mapa_Similitud!$A$2:$B$2000,2,FALSE()),D377),Hoja1!$A$2:$K$1000,5,FALSE()),0)</f>
        <v>0</v>
      </c>
      <c r="AY377" s="5">
        <f>IFERROR(VLOOKUP(IFERROR(VLOOKUP(D377,Mapa_Similitud!$A$2:$B$2000,2,FALSE()),D377),Hoja1!$A$2:$K$1000,7,FALSE()),0)</f>
        <v>0</v>
      </c>
      <c r="AZ377" s="5">
        <f>IFERROR(VLOOKUP(IFERROR(VLOOKUP(D377,Mapa_Similitud!$A$2:$B$2000,2,FALSE()),D377),Hoja1!$A$2:$K$1000,9,FALSE()),0)</f>
        <v>0</v>
      </c>
      <c r="BA377" s="25">
        <f t="shared" si="145"/>
        <v>0.11464968152866242</v>
      </c>
      <c r="BB377" s="25">
        <f t="shared" si="146"/>
        <v>0</v>
      </c>
      <c r="BC377" s="25">
        <f t="shared" si="147"/>
        <v>0.32101910828025476</v>
      </c>
      <c r="BD377" s="25">
        <f t="shared" si="148"/>
        <v>1.4012738853503185E-2</v>
      </c>
      <c r="BE377" s="25">
        <f t="shared" si="149"/>
        <v>0.76433121019108285</v>
      </c>
      <c r="BF377" s="25">
        <f t="shared" si="150"/>
        <v>1.1153846153846154</v>
      </c>
      <c r="BG377" s="25">
        <f t="shared" si="151"/>
        <v>0.18666666666666668</v>
      </c>
      <c r="BH377" s="25">
        <f t="shared" si="152"/>
        <v>0.27659574468085107</v>
      </c>
      <c r="BI377" s="25">
        <f t="shared" si="153"/>
        <v>0.33333333333333331</v>
      </c>
      <c r="BJ377" s="25">
        <f t="shared" si="154"/>
        <v>0</v>
      </c>
      <c r="BK377" s="25">
        <f t="shared" si="155"/>
        <v>0</v>
      </c>
      <c r="BL377" s="25">
        <f t="shared" si="156"/>
        <v>0.53885350318471348</v>
      </c>
      <c r="BM377" s="25">
        <f t="shared" si="157"/>
        <v>0.15987261146496817</v>
      </c>
      <c r="BN377" s="18" t="str">
        <f t="shared" si="163"/>
        <v>Media fuente de proteína</v>
      </c>
      <c r="BO377" s="18" t="str">
        <f t="shared" si="164"/>
        <v>Baja fuente de fibra</v>
      </c>
      <c r="BP377" s="18" t="str">
        <f t="shared" si="165"/>
        <v>Baja fuente de calcio</v>
      </c>
      <c r="BQ377" s="18" t="str">
        <f t="shared" si="166"/>
        <v>Media fuente de hierro</v>
      </c>
      <c r="BR377" s="18" t="str">
        <f t="shared" si="167"/>
        <v>Moderado en sodio</v>
      </c>
      <c r="BS377" s="6" t="str">
        <f t="shared" si="158"/>
        <v>Ligeramente antiinflamatorio</v>
      </c>
      <c r="BT377" s="6" t="str">
        <f t="shared" si="159"/>
        <v>Muy alto en grasas</v>
      </c>
      <c r="BU377" s="18" t="str">
        <f t="shared" si="168"/>
        <v>Equilibrio de líquidos ideal</v>
      </c>
      <c r="BV377" s="18" t="str">
        <f t="shared" si="169"/>
        <v>Baja fuente de magnesio</v>
      </c>
      <c r="BW377" s="18" t="str">
        <f t="shared" si="170"/>
        <v>Alta fuente de Omega 3</v>
      </c>
      <c r="BX377" s="18" t="str">
        <f t="shared" si="171"/>
        <v>Libre de grasas trans</v>
      </c>
      <c r="BY377" s="18" t="str">
        <f t="shared" si="172"/>
        <v>Bajo poder antioxidante</v>
      </c>
      <c r="BZ377" s="6" t="str">
        <f t="shared" si="160"/>
        <v>Sin probióticos</v>
      </c>
      <c r="CA377" s="18" t="str">
        <f t="shared" si="173"/>
        <v>Antiinflamatorio</v>
      </c>
      <c r="CB377" s="18" t="str">
        <f>IF(ISNUMBER(SEARCH("miel", D377)), "No irritante (Uso condicionado SII)", IF(OR(J377&gt;0, ISNUMBER(SEARCH("cacao", D377)), ISNUMBER(SEARCH("chocolate puro", D377))), "Altamente irritante", IF(OR(AND(O377&gt;15, BI377&gt;1), ISNUMBER(SEARCH("chocolate", D377))), "Moderadamente irritante", "No irritante")))</f>
        <v>No irritante</v>
      </c>
      <c r="CC377" s="6" t="str">
        <f t="shared" si="161"/>
        <v>Balance de omegas favorable</v>
      </c>
    </row>
    <row r="378" spans="1:81" ht="15" customHeight="1" x14ac:dyDescent="0.3">
      <c r="A378" s="2">
        <f t="shared" si="162"/>
        <v>377</v>
      </c>
      <c r="B378" s="3" t="s">
        <v>488</v>
      </c>
      <c r="C378" s="3" t="s">
        <v>504</v>
      </c>
      <c r="D378" s="3" t="s">
        <v>519</v>
      </c>
      <c r="E378" s="3"/>
      <c r="F378" s="4">
        <v>5</v>
      </c>
      <c r="G378" s="5">
        <v>0.54</v>
      </c>
      <c r="H378" s="5">
        <v>104</v>
      </c>
      <c r="I378" s="5">
        <v>79.599999999999994</v>
      </c>
      <c r="J378" s="5">
        <v>0</v>
      </c>
      <c r="K378" s="5">
        <v>15</v>
      </c>
      <c r="L378" s="5">
        <v>1</v>
      </c>
      <c r="M378" s="5">
        <v>0</v>
      </c>
      <c r="N378" s="5">
        <v>1</v>
      </c>
      <c r="O378" s="5">
        <v>0</v>
      </c>
      <c r="P378" s="5">
        <v>0</v>
      </c>
      <c r="Q378" s="5">
        <v>4.4000000000000004</v>
      </c>
      <c r="R378" s="5">
        <v>0.56999999999999995</v>
      </c>
      <c r="S378" s="5">
        <v>0.85</v>
      </c>
      <c r="T378" s="5">
        <v>2.5</v>
      </c>
      <c r="U378" s="5">
        <v>70</v>
      </c>
      <c r="V378" s="5">
        <v>48</v>
      </c>
      <c r="W378" s="5">
        <v>48</v>
      </c>
      <c r="X378" s="5">
        <v>0</v>
      </c>
      <c r="Y378" s="5">
        <v>0</v>
      </c>
      <c r="Z378" s="5">
        <v>0.4</v>
      </c>
      <c r="AA378" s="5">
        <v>0.02</v>
      </c>
      <c r="AB378" s="5">
        <v>0.06</v>
      </c>
      <c r="AC378" s="5">
        <v>0.08</v>
      </c>
      <c r="AD378" s="5">
        <v>6</v>
      </c>
      <c r="AE378" s="5">
        <v>0.19</v>
      </c>
      <c r="AF378" s="5">
        <v>5</v>
      </c>
      <c r="AG378" s="5">
        <v>2.9</v>
      </c>
      <c r="AH378" s="5">
        <v>0.15</v>
      </c>
      <c r="AI378" s="5">
        <v>0</v>
      </c>
      <c r="AJ378" s="5">
        <v>0</v>
      </c>
      <c r="AK378" s="5">
        <v>30</v>
      </c>
      <c r="AL378" s="5">
        <v>264</v>
      </c>
      <c r="AM378" s="5">
        <v>1</v>
      </c>
      <c r="AN378" s="5">
        <v>7</v>
      </c>
      <c r="AO378" s="5">
        <v>0.5</v>
      </c>
      <c r="AP378" s="5">
        <v>30</v>
      </c>
      <c r="AQ378" s="5">
        <v>77</v>
      </c>
      <c r="AR378" s="5">
        <v>350</v>
      </c>
      <c r="AS378" s="5">
        <v>0.09</v>
      </c>
      <c r="AT378" s="5">
        <v>0.04</v>
      </c>
      <c r="AU378" s="5">
        <v>45</v>
      </c>
      <c r="AV378" s="5">
        <f>IFERROR(VLOOKUP(IFERROR(VLOOKUP(D378,Mapa_Similitud!$A$2:$B$2000,2,FALSE()),D378),Hoja1!$A$2:$K$1000,2,FALSE()),IFERROR(VLOOKUP(IFERROR(VLOOKUP(D378,Mapa_Similitud!$A$2:$B$2000,2,FALSE()),D378),Omega3_Referencia!$A$2:$E$100,3,FALSE()),0))</f>
        <v>0.5</v>
      </c>
      <c r="AW378" s="3" t="str">
        <f>IFERROR(VLOOKUP(IFERROR(VLOOKUP(D378,Mapa_Similitud!$A$2:$B$2000,2,FALSE()),D378),Hoja1!$A$2:$K$1000,3,FALSE()),IFERROR(VLOOKUP(IFERROR(VLOOKUP(D378,Mapa_Similitud!$A$2:$B$2000,2,FALSE()),D378),Omega3_Referencia!$A$2:$E$100,4,FALSE()),"N/A"))</f>
        <v>EPA/DHA</v>
      </c>
      <c r="AX378" s="5">
        <f>IFERROR(VLOOKUP(IFERROR(VLOOKUP(D378,Mapa_Similitud!$A$2:$B$2000,2,FALSE()),D378),Hoja1!$A$2:$K$1000,5,FALSE()),0)</f>
        <v>0</v>
      </c>
      <c r="AY378" s="5">
        <f>IFERROR(VLOOKUP(IFERROR(VLOOKUP(D378,Mapa_Similitud!$A$2:$B$2000,2,FALSE()),D378),Hoja1!$A$2:$K$1000,7,FALSE()),0)</f>
        <v>0</v>
      </c>
      <c r="AZ378" s="5">
        <f>IFERROR(VLOOKUP(IFERROR(VLOOKUP(D378,Mapa_Similitud!$A$2:$B$2000,2,FALSE()),D378),Hoja1!$A$2:$K$1000,9,FALSE()),0)</f>
        <v>0</v>
      </c>
      <c r="BA378" s="25">
        <f t="shared" si="145"/>
        <v>0.14423076923076922</v>
      </c>
      <c r="BB378" s="25">
        <f t="shared" si="146"/>
        <v>0</v>
      </c>
      <c r="BC378" s="25">
        <f t="shared" si="147"/>
        <v>0.28846153846153844</v>
      </c>
      <c r="BD378" s="25">
        <f t="shared" si="148"/>
        <v>9.6153846153846159E-3</v>
      </c>
      <c r="BE378" s="25">
        <f t="shared" si="149"/>
        <v>0.74038461538461542</v>
      </c>
      <c r="BF378" s="25">
        <f t="shared" si="150"/>
        <v>4.3859649122807021</v>
      </c>
      <c r="BG378" s="25">
        <f t="shared" si="151"/>
        <v>0.11363636363636363</v>
      </c>
      <c r="BH378" s="25">
        <f t="shared" si="152"/>
        <v>0.12954545454545452</v>
      </c>
      <c r="BI378" s="25">
        <f t="shared" si="153"/>
        <v>0.22</v>
      </c>
      <c r="BJ378" s="25">
        <f t="shared" si="154"/>
        <v>1</v>
      </c>
      <c r="BK378" s="25">
        <f t="shared" si="155"/>
        <v>0</v>
      </c>
      <c r="BL378" s="25">
        <f t="shared" si="156"/>
        <v>0.3807692307692308</v>
      </c>
      <c r="BM378" s="25">
        <f t="shared" si="157"/>
        <v>0.28846153846153844</v>
      </c>
      <c r="BN378" s="18" t="str">
        <f t="shared" si="163"/>
        <v>Media fuente de proteína</v>
      </c>
      <c r="BO378" s="18" t="str">
        <f t="shared" si="164"/>
        <v>Baja fuente de fibra</v>
      </c>
      <c r="BP378" s="18" t="str">
        <f t="shared" si="165"/>
        <v>Baja fuente de calcio</v>
      </c>
      <c r="BQ378" s="18" t="str">
        <f t="shared" si="166"/>
        <v>Media fuente de hierro</v>
      </c>
      <c r="BR378" s="18" t="str">
        <f t="shared" si="167"/>
        <v>Moderado en sodio</v>
      </c>
      <c r="BS378" s="6" t="str">
        <f t="shared" si="158"/>
        <v>Altamente antiinflamatorio</v>
      </c>
      <c r="BT378" s="6" t="str">
        <f t="shared" si="159"/>
        <v>Alto en grasas</v>
      </c>
      <c r="BU378" s="18" t="str">
        <f t="shared" si="168"/>
        <v>Equilibrio de líquidos ideal</v>
      </c>
      <c r="BV378" s="18" t="str">
        <f t="shared" si="169"/>
        <v>Media fuente de magnesio</v>
      </c>
      <c r="BW378" s="18" t="str">
        <f t="shared" si="170"/>
        <v>Alta fuente de Omega 3</v>
      </c>
      <c r="BX378" s="18" t="str">
        <f t="shared" si="171"/>
        <v>Libre de grasas trans</v>
      </c>
      <c r="BY378" s="18" t="str">
        <f t="shared" si="172"/>
        <v>Bajo poder antioxidante</v>
      </c>
      <c r="BZ378" s="6" t="str">
        <f t="shared" si="160"/>
        <v>Sin probióticos</v>
      </c>
      <c r="CA378" s="18" t="str">
        <f t="shared" si="173"/>
        <v>Antiinflamatorio</v>
      </c>
      <c r="CB378" s="18" t="str">
        <f>IF(ISNUMBER(SEARCH("miel", D378)), "No irritante (Uso condicionado SII)", IF(OR(J378&gt;0, ISNUMBER(SEARCH("cacao", D378)), ISNUMBER(SEARCH("chocolate puro", D378))), "Altamente irritante", IF(OR(AND(O378&gt;15, BI378&gt;1), ISNUMBER(SEARCH("chocolate", D378))), "Moderadamente irritante", "No irritante")))</f>
        <v>No irritante</v>
      </c>
      <c r="CC378" s="6" t="str">
        <f t="shared" si="161"/>
        <v>Balance de omegas favorable</v>
      </c>
    </row>
    <row r="379" spans="1:81" ht="15" customHeight="1" x14ac:dyDescent="0.3">
      <c r="A379" s="2">
        <f t="shared" si="162"/>
        <v>378</v>
      </c>
      <c r="B379" s="3" t="s">
        <v>488</v>
      </c>
      <c r="C379" s="3" t="s">
        <v>504</v>
      </c>
      <c r="D379" s="3" t="s">
        <v>520</v>
      </c>
      <c r="E379" s="3"/>
      <c r="F379" s="4">
        <v>8</v>
      </c>
      <c r="G379" s="5">
        <v>0.52</v>
      </c>
      <c r="H379" s="5">
        <v>136</v>
      </c>
      <c r="I379" s="5">
        <v>74.599999999999994</v>
      </c>
      <c r="J379" s="5">
        <v>0</v>
      </c>
      <c r="K379" s="5">
        <v>18.8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6.7</v>
      </c>
      <c r="R379" s="5">
        <v>1.7</v>
      </c>
      <c r="S379" s="5">
        <v>2</v>
      </c>
      <c r="T379" s="5">
        <v>2.2000000000000002</v>
      </c>
      <c r="U379" s="5">
        <v>67.2</v>
      </c>
      <c r="V379" s="5">
        <v>34.5</v>
      </c>
      <c r="W379" s="5">
        <v>34.5</v>
      </c>
      <c r="X379" s="5">
        <v>0</v>
      </c>
      <c r="Y379" s="5">
        <v>2</v>
      </c>
      <c r="Z379" s="5">
        <v>1.5</v>
      </c>
      <c r="AA379" s="5">
        <v>0.3</v>
      </c>
      <c r="AB379" s="5">
        <v>7.0000000000000007E-2</v>
      </c>
      <c r="AC379" s="5">
        <v>7.0000000000000007E-2</v>
      </c>
      <c r="AD379" s="5">
        <v>8.5</v>
      </c>
      <c r="AE379" s="5">
        <v>0.43</v>
      </c>
      <c r="AF379" s="5">
        <v>9.4</v>
      </c>
      <c r="AG379" s="5">
        <v>5.2</v>
      </c>
      <c r="AH379" s="5">
        <v>1.7</v>
      </c>
      <c r="AI379" s="5">
        <v>4.5</v>
      </c>
      <c r="AJ379" s="5">
        <v>0</v>
      </c>
      <c r="AK379" s="5">
        <v>108</v>
      </c>
      <c r="AL379" s="5">
        <v>260</v>
      </c>
      <c r="AM379" s="5">
        <v>1.2</v>
      </c>
      <c r="AN379" s="5">
        <v>11.4</v>
      </c>
      <c r="AO379" s="5">
        <v>1.4</v>
      </c>
      <c r="AP379" s="5">
        <v>29.5</v>
      </c>
      <c r="AQ379" s="5">
        <v>56</v>
      </c>
      <c r="AR379" s="5">
        <v>480</v>
      </c>
      <c r="AS379" s="5">
        <v>1.4999999999999999E-2</v>
      </c>
      <c r="AT379" s="5">
        <v>0.15</v>
      </c>
      <c r="AU379" s="5">
        <v>25</v>
      </c>
      <c r="AV379" s="5">
        <f>IFERROR(VLOOKUP(IFERROR(VLOOKUP(D379,Mapa_Similitud!$A$2:$B$2000,2,FALSE()),D379),Hoja1!$A$2:$K$1000,2,FALSE()),IFERROR(VLOOKUP(IFERROR(VLOOKUP(D379,Mapa_Similitud!$A$2:$B$2000,2,FALSE()),D379),Omega3_Referencia!$A$2:$E$100,3,FALSE()),0))</f>
        <v>1</v>
      </c>
      <c r="AW379" s="3" t="str">
        <f>IFERROR(VLOOKUP(IFERROR(VLOOKUP(D379,Mapa_Similitud!$A$2:$B$2000,2,FALSE()),D379),Hoja1!$A$2:$K$1000,3,FALSE()),IFERROR(VLOOKUP(IFERROR(VLOOKUP(D379,Mapa_Similitud!$A$2:$B$2000,2,FALSE()),D379),Omega3_Referencia!$A$2:$E$100,4,FALSE()),"N/A"))</f>
        <v>EPA/DHA</v>
      </c>
      <c r="AX379" s="5">
        <f>IFERROR(VLOOKUP(IFERROR(VLOOKUP(D379,Mapa_Similitud!$A$2:$B$2000,2,FALSE()),D379),Hoja1!$A$2:$K$1000,5,FALSE()),0)</f>
        <v>0</v>
      </c>
      <c r="AY379" s="5">
        <f>IFERROR(VLOOKUP(IFERROR(VLOOKUP(D379,Mapa_Similitud!$A$2:$B$2000,2,FALSE()),D379),Hoja1!$A$2:$K$1000,7,FALSE()),0)</f>
        <v>0</v>
      </c>
      <c r="AZ379" s="5">
        <f>IFERROR(VLOOKUP(IFERROR(VLOOKUP(D379,Mapa_Similitud!$A$2:$B$2000,2,FALSE()),D379),Hoja1!$A$2:$K$1000,9,FALSE()),0)</f>
        <v>0</v>
      </c>
      <c r="BA379" s="25">
        <f t="shared" si="145"/>
        <v>0.13823529411764707</v>
      </c>
      <c r="BB379" s="25">
        <f t="shared" si="146"/>
        <v>0</v>
      </c>
      <c r="BC379" s="25">
        <f t="shared" si="147"/>
        <v>0.79411764705882348</v>
      </c>
      <c r="BD379" s="25">
        <f t="shared" si="148"/>
        <v>8.8235294117647058E-3</v>
      </c>
      <c r="BE379" s="25">
        <f t="shared" si="149"/>
        <v>0.41176470588235292</v>
      </c>
      <c r="BF379" s="25">
        <f t="shared" si="150"/>
        <v>1.2941176470588236</v>
      </c>
      <c r="BG379" s="25">
        <f t="shared" si="151"/>
        <v>0.41538461538461541</v>
      </c>
      <c r="BH379" s="25">
        <f t="shared" si="152"/>
        <v>0.2537313432835821</v>
      </c>
      <c r="BI379" s="25">
        <f t="shared" si="153"/>
        <v>0.11666666666666667</v>
      </c>
      <c r="BJ379" s="25">
        <f t="shared" si="154"/>
        <v>0</v>
      </c>
      <c r="BK379" s="25">
        <f t="shared" si="155"/>
        <v>0</v>
      </c>
      <c r="BL379" s="25">
        <f t="shared" si="156"/>
        <v>0.44338235294117651</v>
      </c>
      <c r="BM379" s="25">
        <f t="shared" si="157"/>
        <v>0.21691176470588236</v>
      </c>
      <c r="BN379" s="18" t="str">
        <f t="shared" si="163"/>
        <v>Media fuente de proteína</v>
      </c>
      <c r="BO379" s="18" t="str">
        <f t="shared" si="164"/>
        <v>Baja fuente de fibra</v>
      </c>
      <c r="BP379" s="18" t="str">
        <f t="shared" si="165"/>
        <v>Baja fuente de calcio</v>
      </c>
      <c r="BQ379" s="18" t="str">
        <f t="shared" si="166"/>
        <v>Media fuente de hierro</v>
      </c>
      <c r="BR379" s="18" t="str">
        <f t="shared" si="167"/>
        <v>Bajo en sodio</v>
      </c>
      <c r="BS379" s="6" t="str">
        <f t="shared" si="158"/>
        <v>Ligeramente antiinflamatorio</v>
      </c>
      <c r="BT379" s="6" t="str">
        <f t="shared" si="159"/>
        <v>Muy alto en grasas</v>
      </c>
      <c r="BU379" s="18" t="str">
        <f t="shared" si="168"/>
        <v>Equilibrio de líquidos ideal</v>
      </c>
      <c r="BV379" s="18" t="str">
        <f t="shared" si="169"/>
        <v>Media fuente de magnesio</v>
      </c>
      <c r="BW379" s="18" t="str">
        <f t="shared" si="170"/>
        <v>Alta fuente de Omega 3</v>
      </c>
      <c r="BX379" s="18" t="str">
        <f t="shared" si="171"/>
        <v>Libre de grasas trans</v>
      </c>
      <c r="BY379" s="18" t="str">
        <f t="shared" si="172"/>
        <v>Bajo poder antioxidante</v>
      </c>
      <c r="BZ379" s="6" t="str">
        <f t="shared" si="160"/>
        <v>Sin probióticos</v>
      </c>
      <c r="CA379" s="18" t="str">
        <f t="shared" si="173"/>
        <v>Antiinflamatorio</v>
      </c>
      <c r="CB379" s="18" t="str">
        <f>IF(ISNUMBER(SEARCH("miel", D379)), "No irritante (Uso condicionado SII)", IF(OR(J379&gt;0, ISNUMBER(SEARCH("cacao", D379)), ISNUMBER(SEARCH("chocolate puro", D379))), "Altamente irritante", IF(OR(AND(O379&gt;15, BI379&gt;1), ISNUMBER(SEARCH("chocolate", D379))), "Moderadamente irritante", "No irritante")))</f>
        <v>No irritante</v>
      </c>
      <c r="CC379" s="6" t="str">
        <f t="shared" si="161"/>
        <v>Balance de omegas favorable</v>
      </c>
    </row>
    <row r="380" spans="1:81" ht="15" customHeight="1" x14ac:dyDescent="0.3">
      <c r="A380" s="2">
        <f t="shared" si="162"/>
        <v>379</v>
      </c>
      <c r="B380" s="3" t="s">
        <v>488</v>
      </c>
      <c r="C380" s="3" t="s">
        <v>521</v>
      </c>
      <c r="D380" s="3" t="s">
        <v>522</v>
      </c>
      <c r="E380" s="3"/>
      <c r="F380" s="4">
        <v>5</v>
      </c>
      <c r="G380" s="5">
        <v>0.56000000000000005</v>
      </c>
      <c r="H380" s="5">
        <v>74</v>
      </c>
      <c r="I380" s="5">
        <v>82.5</v>
      </c>
      <c r="J380" s="5">
        <v>0</v>
      </c>
      <c r="K380" s="5">
        <v>16.7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0.8</v>
      </c>
      <c r="R380" s="5">
        <v>0.14000000000000001</v>
      </c>
      <c r="S380" s="5">
        <v>8.7999999999999995E-2</v>
      </c>
      <c r="T380" s="5">
        <v>0.27</v>
      </c>
      <c r="U380" s="5">
        <v>71</v>
      </c>
      <c r="V380" s="5">
        <v>14</v>
      </c>
      <c r="W380" s="5">
        <v>14</v>
      </c>
      <c r="X380" s="5">
        <v>0</v>
      </c>
      <c r="Y380" s="5">
        <v>0</v>
      </c>
      <c r="Z380" s="5">
        <v>0.5</v>
      </c>
      <c r="AA380" s="5">
        <v>0.01</v>
      </c>
      <c r="AB380" s="5">
        <v>0.17</v>
      </c>
      <c r="AC380" s="5">
        <v>0.17</v>
      </c>
      <c r="AD380" s="5">
        <v>4.4000000000000004</v>
      </c>
      <c r="AE380" s="5">
        <v>0.22</v>
      </c>
      <c r="AF380" s="5">
        <v>3.1</v>
      </c>
      <c r="AG380" s="5">
        <v>1.2</v>
      </c>
      <c r="AH380" s="5">
        <v>0.18</v>
      </c>
      <c r="AI380" s="5">
        <v>0</v>
      </c>
      <c r="AJ380" s="5">
        <v>0</v>
      </c>
      <c r="AK380" s="5">
        <v>8</v>
      </c>
      <c r="AL380" s="5">
        <v>376</v>
      </c>
      <c r="AM380" s="5">
        <v>0.2</v>
      </c>
      <c r="AN380" s="5">
        <v>103</v>
      </c>
      <c r="AO380" s="5">
        <v>0.43</v>
      </c>
      <c r="AP380" s="5">
        <v>23</v>
      </c>
      <c r="AQ380" s="5">
        <v>100</v>
      </c>
      <c r="AR380" s="5">
        <v>338</v>
      </c>
      <c r="AS380" s="5">
        <v>0.03</v>
      </c>
      <c r="AT380" s="5">
        <v>3.5000000000000003E-2</v>
      </c>
      <c r="AU380" s="5">
        <v>20</v>
      </c>
      <c r="AV380" s="5">
        <f>IFERROR(VLOOKUP(IFERROR(VLOOKUP(D380,Mapa_Similitud!$A$2:$B$2000,2,FALSE()),D380),Hoja1!$A$2:$K$1000,2,FALSE()),IFERROR(VLOOKUP(IFERROR(VLOOKUP(D380,Mapa_Similitud!$A$2:$B$2000,2,FALSE()),D380),Omega3_Referencia!$A$2:$E$100,3,FALSE()),0))</f>
        <v>0.25</v>
      </c>
      <c r="AW380" s="3" t="str">
        <f>IFERROR(VLOOKUP(IFERROR(VLOOKUP(D380,Mapa_Similitud!$A$2:$B$2000,2,FALSE()),D380),Hoja1!$A$2:$K$1000,3,FALSE()),IFERROR(VLOOKUP(IFERROR(VLOOKUP(D380,Mapa_Similitud!$A$2:$B$2000,2,FALSE()),D380),Omega3_Referencia!$A$2:$E$100,4,FALSE()),"N/A"))</f>
        <v>EPA/DHA</v>
      </c>
      <c r="AX380" s="5">
        <f>IFERROR(VLOOKUP(IFERROR(VLOOKUP(D380,Mapa_Similitud!$A$2:$B$2000,2,FALSE()),D380),Hoja1!$A$2:$K$1000,5,FALSE()),0)</f>
        <v>0</v>
      </c>
      <c r="AY380" s="5">
        <f>IFERROR(VLOOKUP(IFERROR(VLOOKUP(D380,Mapa_Similitud!$A$2:$B$2000,2,FALSE()),D380),Hoja1!$A$2:$K$1000,7,FALSE()),0)</f>
        <v>0</v>
      </c>
      <c r="AZ380" s="5">
        <f>IFERROR(VLOOKUP(IFERROR(VLOOKUP(D380,Mapa_Similitud!$A$2:$B$2000,2,FALSE()),D380),Hoja1!$A$2:$K$1000,9,FALSE()),0)</f>
        <v>0</v>
      </c>
      <c r="BA380" s="25">
        <f t="shared" si="145"/>
        <v>0.22567567567567567</v>
      </c>
      <c r="BB380" s="25">
        <f t="shared" si="146"/>
        <v>0</v>
      </c>
      <c r="BC380" s="25">
        <f t="shared" si="147"/>
        <v>0.10810810810810811</v>
      </c>
      <c r="BD380" s="25">
        <f t="shared" si="148"/>
        <v>2.7027027027027029E-3</v>
      </c>
      <c r="BE380" s="25">
        <f t="shared" si="149"/>
        <v>1.3513513513513513</v>
      </c>
      <c r="BF380" s="25">
        <f t="shared" si="150"/>
        <v>1.9285714285714286</v>
      </c>
      <c r="BG380" s="25">
        <f t="shared" si="151"/>
        <v>2.1276595744680851E-2</v>
      </c>
      <c r="BH380" s="25">
        <f t="shared" si="152"/>
        <v>0.17500000000000002</v>
      </c>
      <c r="BI380" s="25">
        <f t="shared" si="153"/>
        <v>0.29585798816568049</v>
      </c>
      <c r="BJ380" s="25">
        <f t="shared" si="154"/>
        <v>0</v>
      </c>
      <c r="BK380" s="25">
        <f t="shared" si="155"/>
        <v>0</v>
      </c>
      <c r="BL380" s="25">
        <f t="shared" si="156"/>
        <v>9.7297297297297303E-2</v>
      </c>
      <c r="BM380" s="25">
        <f t="shared" si="157"/>
        <v>0.3108108108108108</v>
      </c>
      <c r="BN380" s="18" t="str">
        <f t="shared" si="163"/>
        <v>Muy alta fuente de proteína</v>
      </c>
      <c r="BO380" s="18" t="str">
        <f t="shared" si="164"/>
        <v>Baja fuente de fibra</v>
      </c>
      <c r="BP380" s="18" t="str">
        <f t="shared" si="165"/>
        <v>Baja fuente de calcio</v>
      </c>
      <c r="BQ380" s="18" t="str">
        <f t="shared" si="166"/>
        <v>Baja fuente de hierro</v>
      </c>
      <c r="BR380" s="18" t="str">
        <f t="shared" si="167"/>
        <v>Alto en sodio</v>
      </c>
      <c r="BS380" s="6" t="str">
        <f t="shared" si="158"/>
        <v>Ligeramente antiinflamatorio</v>
      </c>
      <c r="BT380" s="6" t="str">
        <f t="shared" si="159"/>
        <v>Bajo en grasas</v>
      </c>
      <c r="BU380" s="18" t="str">
        <f t="shared" si="168"/>
        <v>Equilibrio de líquidos ideal</v>
      </c>
      <c r="BV380" s="18" t="str">
        <f t="shared" si="169"/>
        <v>Media fuente de magnesio</v>
      </c>
      <c r="BW380" s="18" t="str">
        <f t="shared" si="170"/>
        <v>Ligera fuente de Omega 3</v>
      </c>
      <c r="BX380" s="18" t="str">
        <f t="shared" si="171"/>
        <v>Libre de grasas trans</v>
      </c>
      <c r="BY380" s="18" t="str">
        <f t="shared" si="172"/>
        <v>Bajo poder antioxidante</v>
      </c>
      <c r="BZ380" s="6" t="str">
        <f t="shared" si="160"/>
        <v>Sin probióticos</v>
      </c>
      <c r="CA380" s="18" t="str">
        <f t="shared" si="173"/>
        <v>Poco inflamatorio</v>
      </c>
      <c r="CB380" s="18" t="str">
        <f>IF(ISNUMBER(SEARCH("miel", D380)), "No irritante (Uso condicionado SII)", IF(OR(J380&gt;0, ISNUMBER(SEARCH("cacao", D380)), ISNUMBER(SEARCH("chocolate puro", D380))), "Altamente irritante", IF(OR(AND(O380&gt;15, BI380&gt;1), ISNUMBER(SEARCH("chocolate", D380))), "Moderadamente irritante", "No irritante")))</f>
        <v>No irritante</v>
      </c>
      <c r="CC380" s="6" t="str">
        <f t="shared" si="161"/>
        <v>Balance de omegas favorable</v>
      </c>
    </row>
    <row r="381" spans="1:81" ht="15" customHeight="1" x14ac:dyDescent="0.3">
      <c r="A381" s="2">
        <f t="shared" si="162"/>
        <v>380</v>
      </c>
      <c r="B381" s="3" t="s">
        <v>488</v>
      </c>
      <c r="C381" s="3" t="s">
        <v>521</v>
      </c>
      <c r="D381" s="3" t="s">
        <v>523</v>
      </c>
      <c r="E381" s="3"/>
      <c r="F381" s="4">
        <v>8</v>
      </c>
      <c r="G381" s="5">
        <v>0.89</v>
      </c>
      <c r="H381" s="5">
        <v>79.8</v>
      </c>
      <c r="I381" s="5">
        <v>81.3</v>
      </c>
      <c r="J381" s="5">
        <v>0</v>
      </c>
      <c r="K381" s="5">
        <v>17.7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1</v>
      </c>
      <c r="R381" s="5">
        <v>0.13</v>
      </c>
      <c r="S381" s="5">
        <v>0.1</v>
      </c>
      <c r="T381" s="5">
        <v>0.39</v>
      </c>
      <c r="U381" s="5">
        <v>34</v>
      </c>
      <c r="V381" s="5">
        <v>6.5</v>
      </c>
      <c r="W381" s="5">
        <v>6.5</v>
      </c>
      <c r="X381" s="5">
        <v>0</v>
      </c>
      <c r="Y381" s="5">
        <v>1.3</v>
      </c>
      <c r="Z381" s="5">
        <v>1</v>
      </c>
      <c r="AA381" s="5">
        <v>0.01</v>
      </c>
      <c r="AB381" s="5">
        <v>5.5E-2</v>
      </c>
      <c r="AC381" s="5">
        <v>4.5999999999999999E-2</v>
      </c>
      <c r="AD381" s="5">
        <v>5.2</v>
      </c>
      <c r="AE381" s="5">
        <v>0.2</v>
      </c>
      <c r="AF381" s="5">
        <v>8</v>
      </c>
      <c r="AG381" s="5">
        <v>1.2</v>
      </c>
      <c r="AH381" s="5">
        <v>0.26</v>
      </c>
      <c r="AI381" s="5">
        <v>2.2000000000000002</v>
      </c>
      <c r="AJ381" s="5">
        <v>2</v>
      </c>
      <c r="AK381" s="5">
        <v>26</v>
      </c>
      <c r="AL381" s="5">
        <v>194</v>
      </c>
      <c r="AM381" s="5">
        <v>0.32</v>
      </c>
      <c r="AN381" s="5">
        <v>170</v>
      </c>
      <c r="AO381" s="5">
        <v>0.4</v>
      </c>
      <c r="AP381" s="5">
        <v>24</v>
      </c>
      <c r="AQ381" s="5">
        <v>72</v>
      </c>
      <c r="AR381" s="5">
        <v>352</v>
      </c>
      <c r="AS381" s="5">
        <v>1.7000000000000001E-2</v>
      </c>
      <c r="AT381" s="5">
        <v>5.2999999999999999E-2</v>
      </c>
      <c r="AU381" s="5">
        <v>28</v>
      </c>
      <c r="AV381" s="5">
        <f>IFERROR(VLOOKUP(IFERROR(VLOOKUP(D381,Mapa_Similitud!$A$2:$B$2000,2,FALSE()),D381),Hoja1!$A$2:$K$1000,2,FALSE()),IFERROR(VLOOKUP(IFERROR(VLOOKUP(D381,Mapa_Similitud!$A$2:$B$2000,2,FALSE()),D381),Omega3_Referencia!$A$2:$E$100,3,FALSE()),0))</f>
        <v>0.15</v>
      </c>
      <c r="AW381" s="3" t="str">
        <f>IFERROR(VLOOKUP(IFERROR(VLOOKUP(D381,Mapa_Similitud!$A$2:$B$2000,2,FALSE()),D381),Hoja1!$A$2:$K$1000,3,FALSE()),IFERROR(VLOOKUP(IFERROR(VLOOKUP(D381,Mapa_Similitud!$A$2:$B$2000,2,FALSE()),D381),Omega3_Referencia!$A$2:$E$100,4,FALSE()),"N/A"))</f>
        <v>EPA/DHA</v>
      </c>
      <c r="AX381" s="5">
        <f>IFERROR(VLOOKUP(IFERROR(VLOOKUP(D381,Mapa_Similitud!$A$2:$B$2000,2,FALSE()),D381),Hoja1!$A$2:$K$1000,5,FALSE()),0)</f>
        <v>0</v>
      </c>
      <c r="AY381" s="5">
        <f>IFERROR(VLOOKUP(IFERROR(VLOOKUP(D381,Mapa_Similitud!$A$2:$B$2000,2,FALSE()),D381),Hoja1!$A$2:$K$1000,7,FALSE()),0)</f>
        <v>0</v>
      </c>
      <c r="AZ381" s="5">
        <f>IFERROR(VLOOKUP(IFERROR(VLOOKUP(D381,Mapa_Similitud!$A$2:$B$2000,2,FALSE()),D381),Hoja1!$A$2:$K$1000,9,FALSE()),0)</f>
        <v>0</v>
      </c>
      <c r="BA381" s="25">
        <f t="shared" si="145"/>
        <v>0.22180451127819548</v>
      </c>
      <c r="BB381" s="25">
        <f t="shared" si="146"/>
        <v>0</v>
      </c>
      <c r="BC381" s="25">
        <f t="shared" si="147"/>
        <v>0.32581453634085217</v>
      </c>
      <c r="BD381" s="25">
        <f t="shared" si="148"/>
        <v>4.0100250626566416E-3</v>
      </c>
      <c r="BE381" s="25">
        <f t="shared" si="149"/>
        <v>0.90225563909774442</v>
      </c>
      <c r="BF381" s="25">
        <f t="shared" si="150"/>
        <v>3</v>
      </c>
      <c r="BG381" s="25">
        <f t="shared" si="151"/>
        <v>0.13402061855670103</v>
      </c>
      <c r="BH381" s="25">
        <f t="shared" si="152"/>
        <v>0.13</v>
      </c>
      <c r="BI381" s="25">
        <f t="shared" si="153"/>
        <v>0.20454545454545456</v>
      </c>
      <c r="BJ381" s="25">
        <f t="shared" si="154"/>
        <v>0</v>
      </c>
      <c r="BK381" s="25">
        <f t="shared" si="155"/>
        <v>0</v>
      </c>
      <c r="BL381" s="25">
        <f t="shared" si="156"/>
        <v>0.11278195488721805</v>
      </c>
      <c r="BM381" s="25">
        <f t="shared" si="157"/>
        <v>0.3007518796992481</v>
      </c>
      <c r="BN381" s="18" t="str">
        <f t="shared" si="163"/>
        <v>Muy alta fuente de proteína</v>
      </c>
      <c r="BO381" s="18" t="str">
        <f t="shared" si="164"/>
        <v>Baja fuente de fibra</v>
      </c>
      <c r="BP381" s="18" t="str">
        <f t="shared" si="165"/>
        <v>Baja fuente de calcio</v>
      </c>
      <c r="BQ381" s="18" t="str">
        <f t="shared" si="166"/>
        <v>Baja fuente de hierro</v>
      </c>
      <c r="BR381" s="18" t="str">
        <f t="shared" si="167"/>
        <v>Moderado en sodio</v>
      </c>
      <c r="BS381" s="6" t="str">
        <f t="shared" si="158"/>
        <v>Altamente antiinflamatorio</v>
      </c>
      <c r="BT381" s="6" t="str">
        <f t="shared" si="159"/>
        <v>Bajo en grasas</v>
      </c>
      <c r="BU381" s="18" t="str">
        <f t="shared" si="168"/>
        <v>Equilibrio de líquidos ideal</v>
      </c>
      <c r="BV381" s="18" t="str">
        <f t="shared" si="169"/>
        <v>Media fuente de magnesio</v>
      </c>
      <c r="BW381" s="18" t="str">
        <f t="shared" si="170"/>
        <v>Ligera fuente de Omega 3</v>
      </c>
      <c r="BX381" s="18" t="str">
        <f t="shared" si="171"/>
        <v>Libre de grasas trans</v>
      </c>
      <c r="BY381" s="18" t="str">
        <f t="shared" si="172"/>
        <v>Bajo poder antioxidante</v>
      </c>
      <c r="BZ381" s="6" t="str">
        <f t="shared" si="160"/>
        <v>Sin probióticos</v>
      </c>
      <c r="CA381" s="18" t="str">
        <f t="shared" si="173"/>
        <v>Poco inflamatorio</v>
      </c>
      <c r="CB381" s="18" t="str">
        <f>IF(ISNUMBER(SEARCH("miel", D381)), "No irritante (Uso condicionado SII)", IF(OR(J381&gt;0, ISNUMBER(SEARCH("cacao", D381)), ISNUMBER(SEARCH("chocolate puro", D381))), "Altamente irritante", IF(OR(AND(O381&gt;15, BI381&gt;1), ISNUMBER(SEARCH("chocolate", D381))), "Moderadamente irritante", "No irritante")))</f>
        <v>No irritante</v>
      </c>
      <c r="CC381" s="6" t="str">
        <f t="shared" si="161"/>
        <v>Balance de omegas favorable</v>
      </c>
    </row>
    <row r="382" spans="1:81" ht="15" customHeight="1" x14ac:dyDescent="0.3">
      <c r="A382" s="2">
        <f t="shared" si="162"/>
        <v>381</v>
      </c>
      <c r="B382" s="3" t="s">
        <v>488</v>
      </c>
      <c r="C382" s="3" t="s">
        <v>521</v>
      </c>
      <c r="D382" s="3" t="s">
        <v>524</v>
      </c>
      <c r="E382" s="3"/>
      <c r="F382" s="4">
        <v>4</v>
      </c>
      <c r="G382" s="5">
        <v>0.55000000000000004</v>
      </c>
      <c r="H382" s="5">
        <v>230</v>
      </c>
      <c r="I382" s="5">
        <v>63.7</v>
      </c>
      <c r="J382" s="5">
        <v>0</v>
      </c>
      <c r="K382" s="5">
        <v>18.100000000000001</v>
      </c>
      <c r="L382" s="5">
        <v>1.3</v>
      </c>
      <c r="M382" s="5">
        <v>0</v>
      </c>
      <c r="N382" s="5">
        <v>1.3</v>
      </c>
      <c r="O382" s="5">
        <v>0</v>
      </c>
      <c r="P382" s="5">
        <v>0</v>
      </c>
      <c r="Q382" s="5">
        <v>16.899999999999999</v>
      </c>
      <c r="R382" s="5">
        <v>3.4</v>
      </c>
      <c r="S382" s="5">
        <v>4.3</v>
      </c>
      <c r="T382" s="5">
        <v>3.1</v>
      </c>
      <c r="U382" s="5">
        <v>93.7</v>
      </c>
      <c r="V382" s="5">
        <v>83.4</v>
      </c>
      <c r="W382" s="5">
        <v>83.4</v>
      </c>
      <c r="X382" s="5">
        <v>0</v>
      </c>
      <c r="Y382" s="5">
        <v>1.5</v>
      </c>
      <c r="Z382" s="5">
        <v>15.8</v>
      </c>
      <c r="AA382" s="5">
        <v>0.04</v>
      </c>
      <c r="AB382" s="5">
        <v>0.04</v>
      </c>
      <c r="AC382" s="5">
        <v>0.11</v>
      </c>
      <c r="AD382" s="5">
        <v>6.9</v>
      </c>
      <c r="AE382" s="5">
        <v>0.28000000000000003</v>
      </c>
      <c r="AF382" s="5">
        <v>13.4</v>
      </c>
      <c r="AG382" s="5">
        <v>2.2999999999999998</v>
      </c>
      <c r="AH382" s="5">
        <v>0.15</v>
      </c>
      <c r="AI382" s="5">
        <v>0</v>
      </c>
      <c r="AJ382" s="5">
        <v>0</v>
      </c>
      <c r="AK382" s="5">
        <v>40.5</v>
      </c>
      <c r="AL382" s="5">
        <v>244</v>
      </c>
      <c r="AM382" s="5">
        <v>0.13</v>
      </c>
      <c r="AN382" s="5">
        <v>3</v>
      </c>
      <c r="AO382" s="5">
        <v>0.51</v>
      </c>
      <c r="AP382" s="5">
        <v>23.7</v>
      </c>
      <c r="AQ382" s="5">
        <v>31</v>
      </c>
      <c r="AR382" s="5">
        <v>446</v>
      </c>
      <c r="AS382" s="5">
        <v>9.0999999999999998E-2</v>
      </c>
      <c r="AT382" s="5">
        <v>3.7999999999999999E-2</v>
      </c>
      <c r="AU382" s="5">
        <v>45</v>
      </c>
      <c r="AV382" s="5">
        <f>IFERROR(VLOOKUP(IFERROR(VLOOKUP(D382,Mapa_Similitud!$A$2:$B$2000,2,FALSE()),D382),Hoja1!$A$2:$K$1000,2,FALSE()),IFERROR(VLOOKUP(IFERROR(VLOOKUP(D382,Mapa_Similitud!$A$2:$B$2000,2,FALSE()),D382),Omega3_Referencia!$A$2:$E$100,3,FALSE()),0))</f>
        <v>0.6</v>
      </c>
      <c r="AW382" s="3" t="str">
        <f>IFERROR(VLOOKUP(IFERROR(VLOOKUP(D382,Mapa_Similitud!$A$2:$B$2000,2,FALSE()),D382),Hoja1!$A$2:$K$1000,3,FALSE()),IFERROR(VLOOKUP(IFERROR(VLOOKUP(D382,Mapa_Similitud!$A$2:$B$2000,2,FALSE()),D382),Omega3_Referencia!$A$2:$E$100,4,FALSE()),"N/A"))</f>
        <v>EPA/DHA</v>
      </c>
      <c r="AX382" s="5">
        <f>IFERROR(VLOOKUP(IFERROR(VLOOKUP(D382,Mapa_Similitud!$A$2:$B$2000,2,FALSE()),D382),Hoja1!$A$2:$K$1000,5,FALSE()),0)</f>
        <v>0</v>
      </c>
      <c r="AY382" s="5">
        <f>IFERROR(VLOOKUP(IFERROR(VLOOKUP(D382,Mapa_Similitud!$A$2:$B$2000,2,FALSE()),D382),Hoja1!$A$2:$K$1000,7,FALSE()),0)</f>
        <v>0</v>
      </c>
      <c r="AZ382" s="5">
        <f>IFERROR(VLOOKUP(IFERROR(VLOOKUP(D382,Mapa_Similitud!$A$2:$B$2000,2,FALSE()),D382),Hoja1!$A$2:$K$1000,9,FALSE()),0)</f>
        <v>0</v>
      </c>
      <c r="BA382" s="25">
        <f t="shared" si="145"/>
        <v>7.8695652173913055E-2</v>
      </c>
      <c r="BB382" s="25">
        <f t="shared" si="146"/>
        <v>0</v>
      </c>
      <c r="BC382" s="25">
        <f t="shared" si="147"/>
        <v>0.17608695652173914</v>
      </c>
      <c r="BD382" s="25">
        <f t="shared" si="148"/>
        <v>5.6521739130434788E-4</v>
      </c>
      <c r="BE382" s="25">
        <f t="shared" si="149"/>
        <v>0.13478260869565217</v>
      </c>
      <c r="BF382" s="25">
        <f t="shared" si="150"/>
        <v>0.91176470588235303</v>
      </c>
      <c r="BG382" s="25">
        <f t="shared" si="151"/>
        <v>0.16598360655737704</v>
      </c>
      <c r="BH382" s="25">
        <f t="shared" si="152"/>
        <v>0.20118343195266272</v>
      </c>
      <c r="BI382" s="25">
        <f t="shared" si="153"/>
        <v>6.9506726457399109E-2</v>
      </c>
      <c r="BJ382" s="25">
        <f t="shared" si="154"/>
        <v>1</v>
      </c>
      <c r="BK382" s="25">
        <f t="shared" si="155"/>
        <v>0</v>
      </c>
      <c r="BL382" s="25">
        <f t="shared" si="156"/>
        <v>0.66130434782608694</v>
      </c>
      <c r="BM382" s="25">
        <f t="shared" si="157"/>
        <v>0.10304347826086956</v>
      </c>
      <c r="BN382" s="18" t="str">
        <f t="shared" si="163"/>
        <v>Baja fuente de proteína</v>
      </c>
      <c r="BO382" s="18" t="str">
        <f t="shared" si="164"/>
        <v>Baja fuente de fibra</v>
      </c>
      <c r="BP382" s="18" t="str">
        <f t="shared" si="165"/>
        <v>Baja fuente de calcio</v>
      </c>
      <c r="BQ382" s="18" t="str">
        <f t="shared" si="166"/>
        <v>Baja fuente de hierro</v>
      </c>
      <c r="BR382" s="18" t="str">
        <f t="shared" si="167"/>
        <v>Bajo en sodio</v>
      </c>
      <c r="BS382" s="6" t="str">
        <f t="shared" si="158"/>
        <v>Neutro</v>
      </c>
      <c r="BT382" s="6" t="str">
        <f t="shared" si="159"/>
        <v>Muy alto en grasas</v>
      </c>
      <c r="BU382" s="18" t="str">
        <f t="shared" si="168"/>
        <v>Equilibrio de líquidos ideal</v>
      </c>
      <c r="BV382" s="18" t="str">
        <f t="shared" si="169"/>
        <v>Baja fuente de magnesio</v>
      </c>
      <c r="BW382" s="18" t="str">
        <f t="shared" si="170"/>
        <v>Alta fuente de Omega 3</v>
      </c>
      <c r="BX382" s="18" t="str">
        <f t="shared" si="171"/>
        <v>Libre de grasas trans</v>
      </c>
      <c r="BY382" s="18" t="str">
        <f t="shared" si="172"/>
        <v>Bajo poder antioxidante</v>
      </c>
      <c r="BZ382" s="6" t="str">
        <f t="shared" si="160"/>
        <v>Sin probióticos</v>
      </c>
      <c r="CA382" s="18" t="str">
        <f t="shared" si="173"/>
        <v>Antiinflamatorio</v>
      </c>
      <c r="CB382" s="18" t="str">
        <f>IF(ISNUMBER(SEARCH("miel", D382)), "No irritante (Uso condicionado SII)", IF(OR(J382&gt;0, ISNUMBER(SEARCH("cacao", D382)), ISNUMBER(SEARCH("chocolate puro", D382))), "Altamente irritante", IF(OR(AND(O382&gt;15, BI382&gt;1), ISNUMBER(SEARCH("chocolate", D382))), "Moderadamente irritante", "No irritante")))</f>
        <v>No irritante</v>
      </c>
      <c r="CC382" s="6" t="str">
        <f t="shared" si="161"/>
        <v>Exceso relativo de Omega 6</v>
      </c>
    </row>
    <row r="383" spans="1:81" ht="15" customHeight="1" x14ac:dyDescent="0.3">
      <c r="A383" s="2">
        <f t="shared" si="162"/>
        <v>382</v>
      </c>
      <c r="B383" s="3" t="s">
        <v>488</v>
      </c>
      <c r="C383" s="3" t="s">
        <v>521</v>
      </c>
      <c r="D383" s="3" t="s">
        <v>525</v>
      </c>
      <c r="E383" s="3"/>
      <c r="F383" s="4">
        <v>2.5</v>
      </c>
      <c r="G383" s="5">
        <v>0.84</v>
      </c>
      <c r="H383" s="5">
        <v>97.9</v>
      </c>
      <c r="I383" s="5">
        <v>78.400000000000006</v>
      </c>
      <c r="J383" s="5">
        <v>0</v>
      </c>
      <c r="K383" s="5">
        <v>19.3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2.2999999999999998</v>
      </c>
      <c r="R383" s="5">
        <v>0.41</v>
      </c>
      <c r="S383" s="5">
        <v>0.61</v>
      </c>
      <c r="T383" s="5">
        <v>0.6</v>
      </c>
      <c r="U383" s="5">
        <v>80</v>
      </c>
      <c r="V383" s="5">
        <v>27</v>
      </c>
      <c r="W383" s="5">
        <v>27</v>
      </c>
      <c r="X383" s="5">
        <v>0</v>
      </c>
      <c r="Y383" s="5">
        <v>0</v>
      </c>
      <c r="Z383" s="5">
        <v>0.5</v>
      </c>
      <c r="AA383" s="5">
        <v>0.02</v>
      </c>
      <c r="AB383" s="5">
        <v>0.06</v>
      </c>
      <c r="AC383" s="5">
        <v>0.06</v>
      </c>
      <c r="AD383" s="5">
        <v>3.7</v>
      </c>
      <c r="AE383" s="5">
        <v>0.2</v>
      </c>
      <c r="AF383" s="5">
        <v>3</v>
      </c>
      <c r="AG383" s="5">
        <v>4</v>
      </c>
      <c r="AH383" s="5">
        <v>0.75</v>
      </c>
      <c r="AI383" s="5">
        <v>0</v>
      </c>
      <c r="AJ383" s="5">
        <v>0</v>
      </c>
      <c r="AK383" s="5">
        <v>130</v>
      </c>
      <c r="AL383" s="5">
        <v>410</v>
      </c>
      <c r="AM383" s="5">
        <v>2.2000000000000002</v>
      </c>
      <c r="AN383" s="5">
        <v>7</v>
      </c>
      <c r="AO383" s="5">
        <v>0.3</v>
      </c>
      <c r="AP383" s="5">
        <v>25</v>
      </c>
      <c r="AQ383" s="5">
        <v>69</v>
      </c>
      <c r="AR383" s="5">
        <v>340</v>
      </c>
      <c r="AS383" s="5">
        <v>1.4999999999999999E-2</v>
      </c>
      <c r="AT383" s="5">
        <v>1.9E-2</v>
      </c>
      <c r="AU383" s="5">
        <v>36.5</v>
      </c>
      <c r="AV383" s="5">
        <f>IFERROR(VLOOKUP(IFERROR(VLOOKUP(D383,Mapa_Similitud!$A$2:$B$2000,2,FALSE()),D383),Hoja1!$A$2:$K$1000,2,FALSE()),IFERROR(VLOOKUP(IFERROR(VLOOKUP(D383,Mapa_Similitud!$A$2:$B$2000,2,FALSE()),D383),Omega3_Referencia!$A$2:$E$100,3,FALSE()),0))</f>
        <v>0.6</v>
      </c>
      <c r="AW383" s="3" t="str">
        <f>IFERROR(VLOOKUP(IFERROR(VLOOKUP(D383,Mapa_Similitud!$A$2:$B$2000,2,FALSE()),D383),Hoja1!$A$2:$K$1000,3,FALSE()),IFERROR(VLOOKUP(IFERROR(VLOOKUP(D383,Mapa_Similitud!$A$2:$B$2000,2,FALSE()),D383),Omega3_Referencia!$A$2:$E$100,4,FALSE()),"N/A"))</f>
        <v>EPA/DHA</v>
      </c>
      <c r="AX383" s="5">
        <f>IFERROR(VLOOKUP(IFERROR(VLOOKUP(D383,Mapa_Similitud!$A$2:$B$2000,2,FALSE()),D383),Hoja1!$A$2:$K$1000,5,FALSE()),0)</f>
        <v>0</v>
      </c>
      <c r="AY383" s="5">
        <f>IFERROR(VLOOKUP(IFERROR(VLOOKUP(D383,Mapa_Similitud!$A$2:$B$2000,2,FALSE()),D383),Hoja1!$A$2:$K$1000,7,FALSE()),0)</f>
        <v>0</v>
      </c>
      <c r="AZ383" s="5">
        <f>IFERROR(VLOOKUP(IFERROR(VLOOKUP(D383,Mapa_Similitud!$A$2:$B$2000,2,FALSE()),D383),Hoja1!$A$2:$K$1000,9,FALSE()),0)</f>
        <v>0</v>
      </c>
      <c r="BA383" s="25">
        <f t="shared" si="145"/>
        <v>0.19713993871297242</v>
      </c>
      <c r="BB383" s="25">
        <f t="shared" si="146"/>
        <v>0</v>
      </c>
      <c r="BC383" s="25">
        <f t="shared" si="147"/>
        <v>1.3278855975485189</v>
      </c>
      <c r="BD383" s="25">
        <f t="shared" si="148"/>
        <v>2.247191011235955E-2</v>
      </c>
      <c r="BE383" s="25">
        <f t="shared" si="149"/>
        <v>0.70480081716036769</v>
      </c>
      <c r="BF383" s="25">
        <f t="shared" si="150"/>
        <v>1.4634146341463414</v>
      </c>
      <c r="BG383" s="25">
        <f t="shared" si="151"/>
        <v>0.31707317073170732</v>
      </c>
      <c r="BH383" s="25">
        <f t="shared" si="152"/>
        <v>0.17826086956521739</v>
      </c>
      <c r="BI383" s="25">
        <f t="shared" si="153"/>
        <v>0.20294117647058824</v>
      </c>
      <c r="BJ383" s="25">
        <f t="shared" si="154"/>
        <v>0</v>
      </c>
      <c r="BK383" s="25">
        <f t="shared" si="155"/>
        <v>0</v>
      </c>
      <c r="BL383" s="25">
        <f t="shared" si="156"/>
        <v>0.2114402451481103</v>
      </c>
      <c r="BM383" s="25">
        <f t="shared" si="157"/>
        <v>0.25536261491317669</v>
      </c>
      <c r="BN383" s="18" t="str">
        <f t="shared" si="163"/>
        <v>Alta fuente de proteína</v>
      </c>
      <c r="BO383" s="18" t="str">
        <f t="shared" si="164"/>
        <v>Baja fuente de fibra</v>
      </c>
      <c r="BP383" s="18" t="str">
        <f t="shared" si="165"/>
        <v>Media fuente de calcio</v>
      </c>
      <c r="BQ383" s="18" t="str">
        <f t="shared" si="166"/>
        <v>Alta fuente de hierro</v>
      </c>
      <c r="BR383" s="18" t="str">
        <f t="shared" si="167"/>
        <v>Moderado en sodio</v>
      </c>
      <c r="BS383" s="6" t="str">
        <f t="shared" si="158"/>
        <v>Ligeramente antiinflamatorio</v>
      </c>
      <c r="BT383" s="6" t="str">
        <f t="shared" si="159"/>
        <v>Moderado en grasas</v>
      </c>
      <c r="BU383" s="18" t="str">
        <f t="shared" si="168"/>
        <v>Equilibrio de líquidos ideal</v>
      </c>
      <c r="BV383" s="18" t="str">
        <f t="shared" si="169"/>
        <v>Media fuente de magnesio</v>
      </c>
      <c r="BW383" s="18" t="str">
        <f t="shared" si="170"/>
        <v>Alta fuente de Omega 3</v>
      </c>
      <c r="BX383" s="18" t="str">
        <f t="shared" si="171"/>
        <v>Libre de grasas trans</v>
      </c>
      <c r="BY383" s="18" t="str">
        <f t="shared" si="172"/>
        <v>Bajo poder antioxidante</v>
      </c>
      <c r="BZ383" s="6" t="str">
        <f t="shared" si="160"/>
        <v>Sin probióticos</v>
      </c>
      <c r="CA383" s="18" t="str">
        <f t="shared" si="173"/>
        <v>Antiinflamatorio</v>
      </c>
      <c r="CB383" s="18" t="str">
        <f>IF(ISNUMBER(SEARCH("miel", D383)), "No irritante (Uso condicionado SII)", IF(OR(J383&gt;0, ISNUMBER(SEARCH("cacao", D383)), ISNUMBER(SEARCH("chocolate puro", D383))), "Altamente irritante", IF(OR(AND(O383&gt;15, BI383&gt;1), ISNUMBER(SEARCH("chocolate", D383))), "Moderadamente irritante", "No irritante")))</f>
        <v>No irritante</v>
      </c>
      <c r="CC383" s="6" t="str">
        <f t="shared" si="161"/>
        <v>Balance de omegas favorable</v>
      </c>
    </row>
    <row r="384" spans="1:81" ht="15" customHeight="1" x14ac:dyDescent="0.3">
      <c r="A384" s="2">
        <f t="shared" si="162"/>
        <v>383</v>
      </c>
      <c r="B384" s="3" t="s">
        <v>488</v>
      </c>
      <c r="C384" s="3" t="s">
        <v>521</v>
      </c>
      <c r="D384" s="3" t="s">
        <v>526</v>
      </c>
      <c r="E384" s="3"/>
      <c r="F384" s="4">
        <v>6</v>
      </c>
      <c r="G384" s="5">
        <v>0.85</v>
      </c>
      <c r="H384" s="5">
        <v>63.8</v>
      </c>
      <c r="I384" s="5">
        <v>86.3</v>
      </c>
      <c r="J384" s="5">
        <v>0</v>
      </c>
      <c r="K384" s="5">
        <v>11.9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1.8</v>
      </c>
      <c r="R384" s="5">
        <v>0.35</v>
      </c>
      <c r="S384" s="5">
        <v>0.43</v>
      </c>
      <c r="T384" s="5">
        <v>0.46</v>
      </c>
      <c r="U384" s="5">
        <v>67</v>
      </c>
      <c r="V384" s="5">
        <v>17</v>
      </c>
      <c r="W384" s="5">
        <v>17</v>
      </c>
      <c r="X384" s="5">
        <v>0</v>
      </c>
      <c r="Y384" s="5">
        <v>0</v>
      </c>
      <c r="Z384" s="5">
        <v>0.35</v>
      </c>
      <c r="AA384" s="5">
        <v>0.02</v>
      </c>
      <c r="AB384" s="5">
        <v>0.09</v>
      </c>
      <c r="AC384" s="5">
        <v>0.09</v>
      </c>
      <c r="AD384" s="5">
        <v>8.5</v>
      </c>
      <c r="AE384" s="5">
        <v>0.16</v>
      </c>
      <c r="AF384" s="5">
        <v>12.3</v>
      </c>
      <c r="AG384" s="5">
        <v>1.1000000000000001</v>
      </c>
      <c r="AH384" s="5">
        <v>0.22</v>
      </c>
      <c r="AI384" s="5">
        <v>0</v>
      </c>
      <c r="AJ384" s="5">
        <v>0</v>
      </c>
      <c r="AK384" s="5">
        <v>33.1</v>
      </c>
      <c r="AL384" s="5">
        <v>142</v>
      </c>
      <c r="AM384" s="5">
        <v>1.1000000000000001</v>
      </c>
      <c r="AN384" s="5">
        <v>27</v>
      </c>
      <c r="AO384" s="5">
        <v>0.37</v>
      </c>
      <c r="AP384" s="5">
        <v>25.1</v>
      </c>
      <c r="AQ384" s="5">
        <v>101</v>
      </c>
      <c r="AR384" s="5">
        <v>294</v>
      </c>
      <c r="AS384" s="5">
        <v>0.02</v>
      </c>
      <c r="AT384" s="5">
        <v>2.1000000000000001E-2</v>
      </c>
      <c r="AU384" s="5">
        <v>36</v>
      </c>
      <c r="AV384" s="5">
        <f>IFERROR(VLOOKUP(IFERROR(VLOOKUP(D384,Mapa_Similitud!$A$2:$B$2000,2,FALSE()),D384),Hoja1!$A$2:$K$1000,2,FALSE()),IFERROR(VLOOKUP(IFERROR(VLOOKUP(D384,Mapa_Similitud!$A$2:$B$2000,2,FALSE()),D384),Omega3_Referencia!$A$2:$E$100,3,FALSE()),0))</f>
        <v>0.25</v>
      </c>
      <c r="AW384" s="3" t="str">
        <f>IFERROR(VLOOKUP(IFERROR(VLOOKUP(D384,Mapa_Similitud!$A$2:$B$2000,2,FALSE()),D384),Hoja1!$A$2:$K$1000,3,FALSE()),IFERROR(VLOOKUP(IFERROR(VLOOKUP(D384,Mapa_Similitud!$A$2:$B$2000,2,FALSE()),D384),Omega3_Referencia!$A$2:$E$100,4,FALSE()),"N/A"))</f>
        <v>EPA/DHA</v>
      </c>
      <c r="AX384" s="5">
        <f>IFERROR(VLOOKUP(IFERROR(VLOOKUP(D384,Mapa_Similitud!$A$2:$B$2000,2,FALSE()),D384),Hoja1!$A$2:$K$1000,5,FALSE()),0)</f>
        <v>0</v>
      </c>
      <c r="AY384" s="5">
        <f>IFERROR(VLOOKUP(IFERROR(VLOOKUP(D384,Mapa_Similitud!$A$2:$B$2000,2,FALSE()),D384),Hoja1!$A$2:$K$1000,7,FALSE()),0)</f>
        <v>0</v>
      </c>
      <c r="AZ384" s="5">
        <f>IFERROR(VLOOKUP(IFERROR(VLOOKUP(D384,Mapa_Similitud!$A$2:$B$2000,2,FALSE()),D384),Hoja1!$A$2:$K$1000,9,FALSE()),0)</f>
        <v>0</v>
      </c>
      <c r="BA384" s="25">
        <f t="shared" si="145"/>
        <v>0.18652037617554859</v>
      </c>
      <c r="BB384" s="25">
        <f t="shared" si="146"/>
        <v>0</v>
      </c>
      <c r="BC384" s="25">
        <f t="shared" si="147"/>
        <v>0.51880877742946718</v>
      </c>
      <c r="BD384" s="25">
        <f t="shared" si="148"/>
        <v>1.7241379310344831E-2</v>
      </c>
      <c r="BE384" s="25">
        <f t="shared" si="149"/>
        <v>1.5830721003134798</v>
      </c>
      <c r="BF384" s="25">
        <f t="shared" si="150"/>
        <v>1.3142857142857145</v>
      </c>
      <c r="BG384" s="25">
        <f t="shared" si="151"/>
        <v>0.2330985915492958</v>
      </c>
      <c r="BH384" s="25">
        <f t="shared" si="152"/>
        <v>0.19444444444444442</v>
      </c>
      <c r="BI384" s="25">
        <f t="shared" si="153"/>
        <v>0.34353741496598639</v>
      </c>
      <c r="BJ384" s="25">
        <f t="shared" si="154"/>
        <v>0</v>
      </c>
      <c r="BK384" s="25">
        <f t="shared" si="155"/>
        <v>0</v>
      </c>
      <c r="BL384" s="25">
        <f t="shared" si="156"/>
        <v>0.25391849529780564</v>
      </c>
      <c r="BM384" s="25">
        <f t="shared" si="157"/>
        <v>0.39341692789968657</v>
      </c>
      <c r="BN384" s="18" t="str">
        <f t="shared" si="163"/>
        <v>Alta fuente de proteína</v>
      </c>
      <c r="BO384" s="18" t="str">
        <f t="shared" si="164"/>
        <v>Baja fuente de fibra</v>
      </c>
      <c r="BP384" s="18" t="str">
        <f t="shared" si="165"/>
        <v>Baja fuente de calcio</v>
      </c>
      <c r="BQ384" s="18" t="str">
        <f t="shared" si="166"/>
        <v>Alta fuente de hierro</v>
      </c>
      <c r="BR384" s="18" t="str">
        <f t="shared" si="167"/>
        <v>Alto en sodio</v>
      </c>
      <c r="BS384" s="6" t="str">
        <f t="shared" si="158"/>
        <v>Ligeramente antiinflamatorio</v>
      </c>
      <c r="BT384" s="6" t="str">
        <f t="shared" si="159"/>
        <v>Moderado en grasas</v>
      </c>
      <c r="BU384" s="18" t="str">
        <f t="shared" si="168"/>
        <v>Equilibrio de líquidos ideal</v>
      </c>
      <c r="BV384" s="18" t="str">
        <f t="shared" si="169"/>
        <v>Media fuente de magnesio</v>
      </c>
      <c r="BW384" s="18" t="str">
        <f t="shared" si="170"/>
        <v>Ligera fuente de Omega 3</v>
      </c>
      <c r="BX384" s="18" t="str">
        <f t="shared" si="171"/>
        <v>Libre de grasas trans</v>
      </c>
      <c r="BY384" s="18" t="str">
        <f t="shared" si="172"/>
        <v>Bajo poder antioxidante</v>
      </c>
      <c r="BZ384" s="6" t="str">
        <f t="shared" si="160"/>
        <v>Sin probióticos</v>
      </c>
      <c r="CA384" s="18" t="str">
        <f t="shared" si="173"/>
        <v>Poco inflamatorio</v>
      </c>
      <c r="CB384" s="18" t="str">
        <f>IF(ISNUMBER(SEARCH("miel", D384)), "No irritante (Uso condicionado SII)", IF(OR(J384&gt;0, ISNUMBER(SEARCH("cacao", D384)), ISNUMBER(SEARCH("chocolate puro", D384))), "Altamente irritante", IF(OR(AND(O384&gt;15, BI384&gt;1), ISNUMBER(SEARCH("chocolate", D384))), "Moderadamente irritante", "No irritante")))</f>
        <v>No irritante</v>
      </c>
      <c r="CC384" s="6" t="str">
        <f t="shared" si="161"/>
        <v>Balance de omegas favorable</v>
      </c>
    </row>
    <row r="385" spans="1:81" ht="15" customHeight="1" x14ac:dyDescent="0.3">
      <c r="A385" s="2">
        <f t="shared" si="162"/>
        <v>384</v>
      </c>
      <c r="B385" s="3" t="s">
        <v>488</v>
      </c>
      <c r="C385" s="3" t="s">
        <v>521</v>
      </c>
      <c r="D385" s="3" t="s">
        <v>527</v>
      </c>
      <c r="E385" s="3"/>
      <c r="F385" s="4">
        <v>2</v>
      </c>
      <c r="G385" s="5">
        <v>0.56999999999999995</v>
      </c>
      <c r="H385" s="5">
        <v>70.3</v>
      </c>
      <c r="I385" s="5">
        <v>83.3</v>
      </c>
      <c r="J385" s="5">
        <v>0</v>
      </c>
      <c r="K385" s="5">
        <v>16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0.7</v>
      </c>
      <c r="R385" s="5">
        <v>0.16</v>
      </c>
      <c r="S385" s="5">
        <v>0.14000000000000001</v>
      </c>
      <c r="T385" s="5">
        <v>0.23</v>
      </c>
      <c r="U385" s="5">
        <v>37</v>
      </c>
      <c r="V385" s="5">
        <v>43</v>
      </c>
      <c r="W385" s="5">
        <v>43</v>
      </c>
      <c r="X385" s="5">
        <v>0</v>
      </c>
      <c r="Y385" s="5">
        <v>0</v>
      </c>
      <c r="Z385" s="5">
        <v>0.8</v>
      </c>
      <c r="AA385" s="5">
        <v>0.02</v>
      </c>
      <c r="AB385" s="5">
        <v>0.8</v>
      </c>
      <c r="AC385" s="5">
        <v>0.14000000000000001</v>
      </c>
      <c r="AD385" s="5">
        <v>3.3</v>
      </c>
      <c r="AE385" s="5">
        <v>0.32</v>
      </c>
      <c r="AF385" s="5">
        <v>11</v>
      </c>
      <c r="AG385" s="5">
        <v>2</v>
      </c>
      <c r="AH385" s="5">
        <v>0.75</v>
      </c>
      <c r="AI385" s="5">
        <v>0</v>
      </c>
      <c r="AJ385" s="5">
        <v>0</v>
      </c>
      <c r="AK385" s="5">
        <v>14</v>
      </c>
      <c r="AL385" s="5">
        <v>210</v>
      </c>
      <c r="AM385" s="5">
        <v>0.9</v>
      </c>
      <c r="AN385" s="5">
        <v>7</v>
      </c>
      <c r="AO385" s="5">
        <v>0.5</v>
      </c>
      <c r="AP385" s="5">
        <v>20</v>
      </c>
      <c r="AQ385" s="5">
        <v>80</v>
      </c>
      <c r="AR385" s="5">
        <v>255</v>
      </c>
      <c r="AS385" s="5">
        <v>0.02</v>
      </c>
      <c r="AT385" s="5">
        <v>0.02</v>
      </c>
      <c r="AU385" s="5">
        <v>36.5</v>
      </c>
      <c r="AV385" s="5">
        <f>IFERROR(VLOOKUP(IFERROR(VLOOKUP(D385,Mapa_Similitud!$A$2:$B$2000,2,FALSE()),D385),Hoja1!$A$2:$K$1000,2,FALSE()),IFERROR(VLOOKUP(IFERROR(VLOOKUP(D385,Mapa_Similitud!$A$2:$B$2000,2,FALSE()),D385),Omega3_Referencia!$A$2:$E$100,3,FALSE()),0))</f>
        <v>0.6</v>
      </c>
      <c r="AW385" s="3" t="str">
        <f>IFERROR(VLOOKUP(IFERROR(VLOOKUP(D385,Mapa_Similitud!$A$2:$B$2000,2,FALSE()),D385),Hoja1!$A$2:$K$1000,3,FALSE()),IFERROR(VLOOKUP(IFERROR(VLOOKUP(D385,Mapa_Similitud!$A$2:$B$2000,2,FALSE()),D385),Omega3_Referencia!$A$2:$E$100,4,FALSE()),"N/A"))</f>
        <v>EPA/DHA</v>
      </c>
      <c r="AX385" s="5">
        <f>IFERROR(VLOOKUP(IFERROR(VLOOKUP(D385,Mapa_Similitud!$A$2:$B$2000,2,FALSE()),D385),Hoja1!$A$2:$K$1000,5,FALSE()),0)</f>
        <v>0</v>
      </c>
      <c r="AY385" s="5">
        <f>IFERROR(VLOOKUP(IFERROR(VLOOKUP(D385,Mapa_Similitud!$A$2:$B$2000,2,FALSE()),D385),Hoja1!$A$2:$K$1000,7,FALSE()),0)</f>
        <v>0</v>
      </c>
      <c r="AZ385" s="5">
        <f>IFERROR(VLOOKUP(IFERROR(VLOOKUP(D385,Mapa_Similitud!$A$2:$B$2000,2,FALSE()),D385),Hoja1!$A$2:$K$1000,9,FALSE()),0)</f>
        <v>0</v>
      </c>
      <c r="BA385" s="25">
        <f t="shared" si="145"/>
        <v>0.22759601706970128</v>
      </c>
      <c r="BB385" s="25">
        <f t="shared" si="146"/>
        <v>0</v>
      </c>
      <c r="BC385" s="25">
        <f t="shared" si="147"/>
        <v>0.19914651493598862</v>
      </c>
      <c r="BD385" s="25">
        <f t="shared" si="148"/>
        <v>1.2802275960170698E-2</v>
      </c>
      <c r="BE385" s="25">
        <f t="shared" si="149"/>
        <v>1.1379800853485065</v>
      </c>
      <c r="BF385" s="25">
        <f t="shared" si="150"/>
        <v>1.4375</v>
      </c>
      <c r="BG385" s="25">
        <f t="shared" si="151"/>
        <v>6.6666666666666666E-2</v>
      </c>
      <c r="BH385" s="25">
        <f t="shared" si="152"/>
        <v>0.22857142857142859</v>
      </c>
      <c r="BI385" s="25">
        <f t="shared" si="153"/>
        <v>0.31372549019607843</v>
      </c>
      <c r="BJ385" s="25">
        <f t="shared" si="154"/>
        <v>0</v>
      </c>
      <c r="BK385" s="25">
        <f t="shared" si="155"/>
        <v>0</v>
      </c>
      <c r="BL385" s="25">
        <f t="shared" si="156"/>
        <v>8.9615931721194877E-2</v>
      </c>
      <c r="BM385" s="25">
        <f t="shared" si="157"/>
        <v>0.28449502133712662</v>
      </c>
      <c r="BN385" s="18" t="str">
        <f t="shared" si="163"/>
        <v>Muy alta fuente de proteína</v>
      </c>
      <c r="BO385" s="18" t="str">
        <f t="shared" si="164"/>
        <v>Baja fuente de fibra</v>
      </c>
      <c r="BP385" s="18" t="str">
        <f t="shared" si="165"/>
        <v>Baja fuente de calcio</v>
      </c>
      <c r="BQ385" s="18" t="str">
        <f t="shared" si="166"/>
        <v>Media fuente de hierro</v>
      </c>
      <c r="BR385" s="18" t="str">
        <f t="shared" si="167"/>
        <v>Alto en sodio</v>
      </c>
      <c r="BS385" s="6" t="str">
        <f t="shared" si="158"/>
        <v>Ligeramente antiinflamatorio</v>
      </c>
      <c r="BT385" s="6" t="str">
        <f t="shared" si="159"/>
        <v>Bajo en grasas</v>
      </c>
      <c r="BU385" s="18" t="str">
        <f t="shared" si="168"/>
        <v>Equilibrio de líquidos ideal</v>
      </c>
      <c r="BV385" s="18" t="str">
        <f t="shared" si="169"/>
        <v>Media fuente de magnesio</v>
      </c>
      <c r="BW385" s="18" t="str">
        <f t="shared" si="170"/>
        <v>Alta fuente de Omega 3</v>
      </c>
      <c r="BX385" s="18" t="str">
        <f t="shared" si="171"/>
        <v>Libre de grasas trans</v>
      </c>
      <c r="BY385" s="18" t="str">
        <f t="shared" si="172"/>
        <v>Bajo poder antioxidante</v>
      </c>
      <c r="BZ385" s="6" t="str">
        <f t="shared" si="160"/>
        <v>Sin probióticos</v>
      </c>
      <c r="CA385" s="18" t="str">
        <f t="shared" si="173"/>
        <v>Antiinflamatorio</v>
      </c>
      <c r="CB385" s="18" t="str">
        <f>IF(ISNUMBER(SEARCH("miel", D385)), "No irritante (Uso condicionado SII)", IF(OR(J385&gt;0, ISNUMBER(SEARCH("cacao", D385)), ISNUMBER(SEARCH("chocolate puro", D385))), "Altamente irritante", IF(OR(AND(O385&gt;15, BI385&gt;1), ISNUMBER(SEARCH("chocolate", D385))), "Moderadamente irritante", "No irritante")))</f>
        <v>No irritante</v>
      </c>
      <c r="CC385" s="6" t="str">
        <f t="shared" si="161"/>
        <v>Balance de omegas favorable</v>
      </c>
    </row>
    <row r="386" spans="1:81" ht="15" customHeight="1" x14ac:dyDescent="0.3">
      <c r="A386" s="2">
        <f t="shared" si="162"/>
        <v>385</v>
      </c>
      <c r="B386" s="3" t="s">
        <v>488</v>
      </c>
      <c r="C386" s="3" t="s">
        <v>521</v>
      </c>
      <c r="D386" s="3" t="s">
        <v>528</v>
      </c>
      <c r="E386" s="3"/>
      <c r="F386" s="4">
        <v>3</v>
      </c>
      <c r="G386" s="5">
        <v>0.49</v>
      </c>
      <c r="H386" s="5">
        <v>124</v>
      </c>
      <c r="I386" s="5">
        <v>74.5</v>
      </c>
      <c r="J386" s="5">
        <v>0</v>
      </c>
      <c r="K386" s="5">
        <v>20.399999999999999</v>
      </c>
      <c r="L386" s="5">
        <v>0.8</v>
      </c>
      <c r="M386" s="5">
        <v>0</v>
      </c>
      <c r="N386" s="5">
        <v>0.8</v>
      </c>
      <c r="O386" s="5">
        <v>0</v>
      </c>
      <c r="P386" s="5">
        <v>0</v>
      </c>
      <c r="Q386" s="5">
        <v>4.3</v>
      </c>
      <c r="R386" s="5">
        <v>1.3</v>
      </c>
      <c r="S386" s="5">
        <v>0.94</v>
      </c>
      <c r="T386" s="5">
        <v>0.81</v>
      </c>
      <c r="U386" s="5">
        <v>81</v>
      </c>
      <c r="V386" s="5">
        <v>37</v>
      </c>
      <c r="W386" s="5">
        <v>37</v>
      </c>
      <c r="X386" s="5">
        <v>0</v>
      </c>
      <c r="Y386" s="5">
        <v>0</v>
      </c>
      <c r="Z386" s="5">
        <v>1</v>
      </c>
      <c r="AA386" s="5">
        <v>0.01</v>
      </c>
      <c r="AB386" s="5">
        <v>0.06</v>
      </c>
      <c r="AC386" s="5">
        <v>0.15</v>
      </c>
      <c r="AD386" s="5">
        <v>5.7</v>
      </c>
      <c r="AE386" s="5">
        <v>0.43</v>
      </c>
      <c r="AF386" s="5">
        <v>9</v>
      </c>
      <c r="AG386" s="5">
        <v>2</v>
      </c>
      <c r="AH386" s="5">
        <v>0.22</v>
      </c>
      <c r="AI386" s="5">
        <v>0</v>
      </c>
      <c r="AJ386" s="5">
        <v>0</v>
      </c>
      <c r="AK386" s="5">
        <v>53</v>
      </c>
      <c r="AL386" s="5">
        <v>217</v>
      </c>
      <c r="AM386" s="5">
        <v>1.5</v>
      </c>
      <c r="AN386" s="5">
        <v>330</v>
      </c>
      <c r="AO386" s="5">
        <v>0.6</v>
      </c>
      <c r="AP386" s="5">
        <v>29</v>
      </c>
      <c r="AQ386" s="5">
        <v>69</v>
      </c>
      <c r="AR386" s="5">
        <v>404</v>
      </c>
      <c r="AS386" s="5">
        <v>0.05</v>
      </c>
      <c r="AT386" s="5">
        <v>7.4999999999999997E-3</v>
      </c>
      <c r="AU386" s="5">
        <v>51</v>
      </c>
      <c r="AV386" s="5">
        <f>IFERROR(VLOOKUP(IFERROR(VLOOKUP(D386,Mapa_Similitud!$A$2:$B$2000,2,FALSE()),D386),Hoja1!$A$2:$K$1000,2,FALSE()),IFERROR(VLOOKUP(IFERROR(VLOOKUP(D386,Mapa_Similitud!$A$2:$B$2000,2,FALSE()),D386),Omega3_Referencia!$A$2:$E$100,3,FALSE()),0))</f>
        <v>0.8</v>
      </c>
      <c r="AW386" s="3" t="str">
        <f>IFERROR(VLOOKUP(IFERROR(VLOOKUP(D386,Mapa_Similitud!$A$2:$B$2000,2,FALSE()),D386),Hoja1!$A$2:$K$1000,3,FALSE()),IFERROR(VLOOKUP(IFERROR(VLOOKUP(D386,Mapa_Similitud!$A$2:$B$2000,2,FALSE()),D386),Omega3_Referencia!$A$2:$E$100,4,FALSE()),"N/A"))</f>
        <v>EPA/DHA</v>
      </c>
      <c r="AX386" s="5">
        <f>IFERROR(VLOOKUP(IFERROR(VLOOKUP(D386,Mapa_Similitud!$A$2:$B$2000,2,FALSE()),D386),Hoja1!$A$2:$K$1000,5,FALSE()),0)</f>
        <v>0</v>
      </c>
      <c r="AY386" s="5">
        <f>IFERROR(VLOOKUP(IFERROR(VLOOKUP(D386,Mapa_Similitud!$A$2:$B$2000,2,FALSE()),D386),Hoja1!$A$2:$K$1000,7,FALSE()),0)</f>
        <v>0</v>
      </c>
      <c r="AZ386" s="5">
        <f>IFERROR(VLOOKUP(IFERROR(VLOOKUP(D386,Mapa_Similitud!$A$2:$B$2000,2,FALSE()),D386),Hoja1!$A$2:$K$1000,9,FALSE()),0)</f>
        <v>0</v>
      </c>
      <c r="BA386" s="25">
        <f t="shared" ref="BA386:BA449" si="174">IFERROR(K386/H386,0)</f>
        <v>0.16451612903225804</v>
      </c>
      <c r="BB386" s="25">
        <f t="shared" ref="BB386:BB449" si="175">IFERROR(P386/H386,0)</f>
        <v>0</v>
      </c>
      <c r="BC386" s="25">
        <f t="shared" ref="BC386:BC449" si="176">IFERROR(AK386/H386,0)</f>
        <v>0.42741935483870969</v>
      </c>
      <c r="BD386" s="25">
        <f t="shared" ref="BD386:BD449" si="177">IFERROR(AM386/H386,0)</f>
        <v>1.2096774193548387E-2</v>
      </c>
      <c r="BE386" s="25">
        <f t="shared" ref="BE386:BE449" si="178">IFERROR(AQ386/H386,0)</f>
        <v>0.55645161290322576</v>
      </c>
      <c r="BF386" s="25">
        <f t="shared" ref="BF386:BF449" si="179">IFERROR(T386/R386,0)</f>
        <v>0.62307692307692308</v>
      </c>
      <c r="BG386" s="25">
        <f t="shared" ref="BG386:BG449" si="180">IFERROR(AK386/AL386,0)</f>
        <v>0.24423963133640553</v>
      </c>
      <c r="BH386" s="25">
        <f t="shared" ref="BH386:BH449" si="181">IFERROR(R386/Q386,0)</f>
        <v>0.30232558139534887</v>
      </c>
      <c r="BI386" s="25">
        <f t="shared" ref="BI386:BI449" si="182">IFERROR(AQ386/AR386,0)</f>
        <v>0.1707920792079208</v>
      </c>
      <c r="BJ386" s="25">
        <f t="shared" ref="BJ386:BJ449" si="183">IFERROR(N386/L386,0)</f>
        <v>1</v>
      </c>
      <c r="BK386" s="25">
        <f t="shared" ref="BK386:BK449" si="184">IFERROR(P386/L386,0)</f>
        <v>0</v>
      </c>
      <c r="BL386" s="25">
        <f t="shared" ref="BL386:BL449" si="185">IFERROR((Q386*9)/H386,0)</f>
        <v>0.31209677419354837</v>
      </c>
      <c r="BM386" s="25">
        <f t="shared" ref="BM386:BM449" si="186">IFERROR(AP386/H386,0)</f>
        <v>0.23387096774193547</v>
      </c>
      <c r="BN386" s="18" t="str">
        <f t="shared" si="163"/>
        <v>Alta fuente de proteína</v>
      </c>
      <c r="BO386" s="18" t="str">
        <f t="shared" si="164"/>
        <v>Baja fuente de fibra</v>
      </c>
      <c r="BP386" s="18" t="str">
        <f t="shared" si="165"/>
        <v>Baja fuente de calcio</v>
      </c>
      <c r="BQ386" s="18" t="str">
        <f t="shared" si="166"/>
        <v>Media fuente de hierro</v>
      </c>
      <c r="BR386" s="18" t="str">
        <f t="shared" si="167"/>
        <v>Moderado en sodio</v>
      </c>
      <c r="BS386" s="6" t="str">
        <f t="shared" ref="BS386:BS449" si="187">IF(BF386&gt;2,"Altamente antiinflamatorio",IF(BF386&gt;1,"Ligeramente antiinflamatorio",IF(BF386&gt;0.5,"Neutro","Proinflamatorio")))</f>
        <v>Neutro</v>
      </c>
      <c r="BT386" s="6" t="str">
        <f t="shared" ref="BT386:BT449" si="188">IF(BL386&gt;0.4,"Muy alto en grasas",IF(BL386&gt;0.3,"Alto en grasas",IF(BL386&gt;0.2,"Moderado en grasas","Bajo en grasas")))</f>
        <v>Alto en grasas</v>
      </c>
      <c r="BU386" s="18" t="str">
        <f t="shared" si="168"/>
        <v>Equilibrio de líquidos ideal</v>
      </c>
      <c r="BV386" s="18" t="str">
        <f t="shared" si="169"/>
        <v>Media fuente de magnesio</v>
      </c>
      <c r="BW386" s="18" t="str">
        <f t="shared" si="170"/>
        <v>Alta fuente de Omega 3</v>
      </c>
      <c r="BX386" s="18" t="str">
        <f t="shared" si="171"/>
        <v>Libre de grasas trans</v>
      </c>
      <c r="BY386" s="18" t="str">
        <f t="shared" si="172"/>
        <v>Bajo poder antioxidante</v>
      </c>
      <c r="BZ386" s="6" t="str">
        <f t="shared" ref="BZ386:BZ449" si="189">IF(AZ386&gt;=1,"Probiótico activo","Sin probióticos")</f>
        <v>Sin probióticos</v>
      </c>
      <c r="CA386" s="18" t="str">
        <f t="shared" si="173"/>
        <v>Antiinflamatorio</v>
      </c>
      <c r="CB386" s="18" t="str">
        <f>IF(ISNUMBER(SEARCH("miel", D386)), "No irritante (Uso condicionado SII)", IF(OR(J386&gt;0, ISNUMBER(SEARCH("cacao", D386)), ISNUMBER(SEARCH("chocolate puro", D386))), "Altamente irritante", IF(OR(AND(O386&gt;15, BI386&gt;1), ISNUMBER(SEARCH("chocolate", D386))), "Moderadamente irritante", "No irritante")))</f>
        <v>No irritante</v>
      </c>
      <c r="CC386" s="6" t="str">
        <f t="shared" ref="CC386:CC449" si="190">IF(AV386=0,"Sin Omega 3 para evaluar",IFERROR(IF(((T386-AV386)/AV386)&gt;4,"Exceso relativo de Omega 6","Balance de omegas favorable"),"Sin Omega 3 para evaluar"))</f>
        <v>Balance de omegas favorable</v>
      </c>
    </row>
    <row r="387" spans="1:81" ht="15" customHeight="1" x14ac:dyDescent="0.3">
      <c r="A387" s="2">
        <f t="shared" ref="A387:A450" si="191">1+A386</f>
        <v>386</v>
      </c>
      <c r="B387" s="3" t="s">
        <v>488</v>
      </c>
      <c r="C387" s="3" t="s">
        <v>521</v>
      </c>
      <c r="D387" s="3" t="s">
        <v>529</v>
      </c>
      <c r="E387" s="3"/>
      <c r="F387" s="4">
        <v>1.5</v>
      </c>
      <c r="G387" s="5">
        <v>1</v>
      </c>
      <c r="H387" s="5">
        <v>65.599999999999994</v>
      </c>
      <c r="I387" s="5">
        <v>83.8</v>
      </c>
      <c r="J387" s="5">
        <v>0</v>
      </c>
      <c r="K387" s="5">
        <v>13.4</v>
      </c>
      <c r="L387" s="5">
        <v>0.3</v>
      </c>
      <c r="M387" s="5">
        <v>0</v>
      </c>
      <c r="N387" s="5">
        <v>0.3</v>
      </c>
      <c r="O387" s="5">
        <v>0</v>
      </c>
      <c r="P387" s="5">
        <v>0</v>
      </c>
      <c r="Q387" s="5">
        <v>1.2</v>
      </c>
      <c r="R387" s="5">
        <v>0.47</v>
      </c>
      <c r="S387" s="5">
        <v>0.44</v>
      </c>
      <c r="T387" s="5">
        <v>0.17</v>
      </c>
      <c r="U387" s="5">
        <v>29.8</v>
      </c>
      <c r="V387" s="5">
        <v>2</v>
      </c>
      <c r="W387" s="5">
        <v>0</v>
      </c>
      <c r="X387" s="5">
        <v>0</v>
      </c>
      <c r="Y387" s="5">
        <v>0.05</v>
      </c>
      <c r="Z387" s="5">
        <v>0.16</v>
      </c>
      <c r="AA387" s="5">
        <v>0</v>
      </c>
      <c r="AB387" s="5">
        <v>0.04</v>
      </c>
      <c r="AC387" s="5">
        <v>0.04</v>
      </c>
      <c r="AD387" s="5">
        <v>0.35</v>
      </c>
      <c r="AE387" s="5">
        <v>0.1</v>
      </c>
      <c r="AF387" s="5">
        <v>0</v>
      </c>
      <c r="AG387" s="5">
        <v>0.3</v>
      </c>
      <c r="AH387" s="5">
        <v>0</v>
      </c>
      <c r="AI387" s="5">
        <v>0</v>
      </c>
      <c r="AJ387" s="5">
        <v>0</v>
      </c>
      <c r="AK387" s="5">
        <v>36.700000000000003</v>
      </c>
      <c r="AL387" s="5">
        <v>107</v>
      </c>
      <c r="AM387" s="5">
        <v>0.21</v>
      </c>
      <c r="AN387" s="5">
        <v>8</v>
      </c>
      <c r="AO387" s="5">
        <v>0.24</v>
      </c>
      <c r="AP387" s="5">
        <v>17.600000000000001</v>
      </c>
      <c r="AQ387" s="5">
        <v>274</v>
      </c>
      <c r="AR387" s="5">
        <v>200</v>
      </c>
      <c r="AS387" s="5">
        <v>0</v>
      </c>
      <c r="AT387" s="5">
        <v>0</v>
      </c>
      <c r="AU387" s="5">
        <v>9.6</v>
      </c>
      <c r="AV387" s="5">
        <f>IFERROR(VLOOKUP(IFERROR(VLOOKUP(D387,Mapa_Similitud!$A$2:$B$2000,2,FALSE()),D387),Hoja1!$A$2:$K$1000,2,FALSE()),IFERROR(VLOOKUP(IFERROR(VLOOKUP(D387,Mapa_Similitud!$A$2:$B$2000,2,FALSE()),D387),Omega3_Referencia!$A$2:$E$100,3,FALSE()),0))</f>
        <v>0.15</v>
      </c>
      <c r="AW387" s="3" t="str">
        <f>IFERROR(VLOOKUP(IFERROR(VLOOKUP(D387,Mapa_Similitud!$A$2:$B$2000,2,FALSE()),D387),Hoja1!$A$2:$K$1000,3,FALSE()),IFERROR(VLOOKUP(IFERROR(VLOOKUP(D387,Mapa_Similitud!$A$2:$B$2000,2,FALSE()),D387),Omega3_Referencia!$A$2:$E$100,4,FALSE()),"N/A"))</f>
        <v>EPA/DHA</v>
      </c>
      <c r="AX387" s="5">
        <f>IFERROR(VLOOKUP(IFERROR(VLOOKUP(D387,Mapa_Similitud!$A$2:$B$2000,2,FALSE()),D387),Hoja1!$A$2:$K$1000,5,FALSE()),0)</f>
        <v>0</v>
      </c>
      <c r="AY387" s="5">
        <f>IFERROR(VLOOKUP(IFERROR(VLOOKUP(D387,Mapa_Similitud!$A$2:$B$2000,2,FALSE()),D387),Hoja1!$A$2:$K$1000,7,FALSE()),0)</f>
        <v>0</v>
      </c>
      <c r="AZ387" s="5">
        <f>IFERROR(VLOOKUP(IFERROR(VLOOKUP(D387,Mapa_Similitud!$A$2:$B$2000,2,FALSE()),D387),Hoja1!$A$2:$K$1000,9,FALSE()),0)</f>
        <v>0</v>
      </c>
      <c r="BA387" s="25">
        <f t="shared" si="174"/>
        <v>0.20426829268292684</v>
      </c>
      <c r="BB387" s="25">
        <f t="shared" si="175"/>
        <v>0</v>
      </c>
      <c r="BC387" s="25">
        <f t="shared" si="176"/>
        <v>0.55945121951219523</v>
      </c>
      <c r="BD387" s="25">
        <f t="shared" si="177"/>
        <v>3.2012195121951222E-3</v>
      </c>
      <c r="BE387" s="25">
        <f t="shared" si="178"/>
        <v>4.1768292682926829</v>
      </c>
      <c r="BF387" s="25">
        <f t="shared" si="179"/>
        <v>0.36170212765957449</v>
      </c>
      <c r="BG387" s="25">
        <f t="shared" si="180"/>
        <v>0.34299065420560748</v>
      </c>
      <c r="BH387" s="25">
        <f t="shared" si="181"/>
        <v>0.39166666666666666</v>
      </c>
      <c r="BI387" s="25">
        <f t="shared" si="182"/>
        <v>1.37</v>
      </c>
      <c r="BJ387" s="25">
        <f t="shared" si="183"/>
        <v>1</v>
      </c>
      <c r="BK387" s="25">
        <f t="shared" si="184"/>
        <v>0</v>
      </c>
      <c r="BL387" s="25">
        <f t="shared" si="185"/>
        <v>0.16463414634146342</v>
      </c>
      <c r="BM387" s="25">
        <f t="shared" si="186"/>
        <v>0.26829268292682934</v>
      </c>
      <c r="BN387" s="18" t="str">
        <f t="shared" ref="BN387:BN450" si="192">IF(BA387&gt;0.2,"Muy alta fuente de proteína",IF(BA387&gt;0.15,"Alta fuente de proteína",IF(BA387&gt;0.1,"Media fuente de proteína","Baja fuente de proteína")))</f>
        <v>Muy alta fuente de proteína</v>
      </c>
      <c r="BO387" s="18" t="str">
        <f t="shared" ref="BO387:BO450" si="193">IF(BB387&gt;0.03,"Alta",IF(BB387&gt;0.015,"Media","Baja")) &amp; " fuente de fibra"</f>
        <v>Baja fuente de fibra</v>
      </c>
      <c r="BP387" s="18" t="str">
        <f t="shared" ref="BP387:BP450" si="194">IF(BC387&gt;1.5,"Alta fuente de calcio",IF(BC387&gt;0.8,"Media fuente de calcio","Baja fuente de calcio"))</f>
        <v>Baja fuente de calcio</v>
      </c>
      <c r="BQ387" s="18" t="str">
        <f t="shared" ref="BQ387:BQ450" si="195">IF(BD387&gt;0.015,"Alta fuente de hierro",IF(BD387&gt;0.008,"Media fuente de hierro","Baja fuente de hierro"))</f>
        <v>Baja fuente de hierro</v>
      </c>
      <c r="BR387" s="18" t="str">
        <f t="shared" ref="BR387:BR450" si="196">IF(BE387&gt;2,"Muy alto",IF(BE387&gt;1,"Alto",IF(BE387&gt;0.5,"Moderado","Bajo"))) &amp; " en sodio"</f>
        <v>Muy alto en sodio</v>
      </c>
      <c r="BS387" s="6" t="str">
        <f t="shared" si="187"/>
        <v>Proinflamatorio</v>
      </c>
      <c r="BT387" s="6" t="str">
        <f t="shared" si="188"/>
        <v>Bajo en grasas</v>
      </c>
      <c r="BU387" s="18" t="str">
        <f t="shared" ref="BU387:BU450" si="197">IF(BI387&gt;1,"Alto riesgo de retención de líquidos",IF(BI387&gt;0.5,"Riesgo moderado de retención","Equilibrio de líquidos ideal"))</f>
        <v>Alto riesgo de retención de líquidos</v>
      </c>
      <c r="BV387" s="18" t="str">
        <f t="shared" ref="BV387:BV450" si="198">IF(BM387&gt;0.5,"Alta",IF(BM387&gt;0.2,"Media","Baja")) &amp; " fuente de magnesio"</f>
        <v>Media fuente de magnesio</v>
      </c>
      <c r="BW387" s="18" t="str">
        <f t="shared" ref="BW387:BW450" si="199">IF(AV387&gt;=0.5,"Alta fuente de Omega 3",IF(AV387&gt;0.1,"Ligera fuente de Omega 3","Sin aporte de Omega 3"))</f>
        <v>Ligera fuente de Omega 3</v>
      </c>
      <c r="BX387" s="18" t="str">
        <f t="shared" ref="BX387:BX450" si="200">IF(AX387&gt;0.5,"Alerta: Alto en grasas trans",IF(AX387&gt;0,"Contiene grasas trans","Libre de grasas trans"))</f>
        <v>Libre de grasas trans</v>
      </c>
      <c r="BY387" s="18" t="str">
        <f t="shared" ref="BY387:BY450" si="201">IF(AY387&gt;=50,"Alto",IF(AY387&gt;=10,"Medio","Bajo")) &amp; " poder antioxidante"</f>
        <v>Bajo poder antioxidante</v>
      </c>
      <c r="BZ387" s="6" t="str">
        <f t="shared" si="189"/>
        <v>Sin probióticos</v>
      </c>
      <c r="CA387" s="18" t="str">
        <f t="shared" ref="CA387:CA450" si="202">IF(OR(AX387&gt;0.5, O387&gt;15, J387&gt;0), "Altamente inflamatorio", IF(OR(AV387&gt;=0.5, AY387&gt;=50), "Antiinflamatorio", IF(OR(AX387&gt;0, O387&gt;5), "Moderadamente inflamatorio", "Poco inflamatorio")))</f>
        <v>Poco inflamatorio</v>
      </c>
      <c r="CB387" s="18" t="str">
        <f>IF(ISNUMBER(SEARCH("miel", D387)), "No irritante (Uso condicionado SII)", IF(OR(J387&gt;0, ISNUMBER(SEARCH("cacao", D387)), ISNUMBER(SEARCH("chocolate puro", D387))), "Altamente irritante", IF(OR(AND(O387&gt;15, BI387&gt;1), ISNUMBER(SEARCH("chocolate", D387))), "Moderadamente irritante", "No irritante")))</f>
        <v>No irritante</v>
      </c>
      <c r="CC387" s="6" t="str">
        <f t="shared" si="190"/>
        <v>Balance de omegas favorable</v>
      </c>
    </row>
    <row r="388" spans="1:81" ht="15" customHeight="1" x14ac:dyDescent="0.3">
      <c r="A388" s="2">
        <f t="shared" si="191"/>
        <v>387</v>
      </c>
      <c r="B388" s="3" t="s">
        <v>488</v>
      </c>
      <c r="C388" s="3" t="s">
        <v>521</v>
      </c>
      <c r="D388" s="3" t="s">
        <v>530</v>
      </c>
      <c r="E388" s="3"/>
      <c r="F388" s="4">
        <v>2.5</v>
      </c>
      <c r="G388" s="5">
        <v>1</v>
      </c>
      <c r="H388" s="5">
        <v>88.8</v>
      </c>
      <c r="I388" s="5">
        <v>79.8</v>
      </c>
      <c r="J388" s="5">
        <v>0</v>
      </c>
      <c r="K388" s="5">
        <v>18.600000000000001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1.6</v>
      </c>
      <c r="R388" s="5">
        <v>0.24</v>
      </c>
      <c r="S388" s="5">
        <v>0.63</v>
      </c>
      <c r="T388" s="5">
        <v>0.43</v>
      </c>
      <c r="U388" s="5">
        <v>42</v>
      </c>
      <c r="V388" s="5">
        <v>9</v>
      </c>
      <c r="W388" s="5">
        <v>9</v>
      </c>
      <c r="X388" s="5">
        <v>0</v>
      </c>
      <c r="Y388" s="5">
        <v>0</v>
      </c>
      <c r="Z388" s="5">
        <v>1.3</v>
      </c>
      <c r="AA388" s="5">
        <v>0</v>
      </c>
      <c r="AB388" s="5">
        <v>0.11</v>
      </c>
      <c r="AC388" s="5">
        <v>0.11</v>
      </c>
      <c r="AD388" s="5">
        <v>1.7</v>
      </c>
      <c r="AE388" s="5">
        <v>0</v>
      </c>
      <c r="AF388" s="5">
        <v>0</v>
      </c>
      <c r="AG388" s="5">
        <v>1</v>
      </c>
      <c r="AH388" s="5">
        <v>0.36</v>
      </c>
      <c r="AI388" s="5">
        <v>0</v>
      </c>
      <c r="AJ388" s="5">
        <v>0.8</v>
      </c>
      <c r="AK388" s="5">
        <v>20</v>
      </c>
      <c r="AL388" s="5">
        <v>198</v>
      </c>
      <c r="AM388" s="5">
        <v>0</v>
      </c>
      <c r="AN388" s="5">
        <v>0</v>
      </c>
      <c r="AO388" s="5">
        <v>0.48</v>
      </c>
      <c r="AP388" s="5">
        <v>20</v>
      </c>
      <c r="AQ388" s="5">
        <v>47</v>
      </c>
      <c r="AR388" s="5">
        <v>330</v>
      </c>
      <c r="AS388" s="5">
        <v>0</v>
      </c>
      <c r="AT388" s="5">
        <v>0.03</v>
      </c>
      <c r="AU388" s="5">
        <v>43.3</v>
      </c>
      <c r="AV388" s="5">
        <f>IFERROR(VLOOKUP(IFERROR(VLOOKUP(D388,Mapa_Similitud!$A$2:$B$2000,2,FALSE()),D388),Hoja1!$A$2:$K$1000,2,FALSE()),IFERROR(VLOOKUP(IFERROR(VLOOKUP(D388,Mapa_Similitud!$A$2:$B$2000,2,FALSE()),D388),Omega3_Referencia!$A$2:$E$100,3,FALSE()),0))</f>
        <v>0.15</v>
      </c>
      <c r="AW388" s="3" t="str">
        <f>IFERROR(VLOOKUP(IFERROR(VLOOKUP(D388,Mapa_Similitud!$A$2:$B$2000,2,FALSE()),D388),Hoja1!$A$2:$K$1000,3,FALSE()),IFERROR(VLOOKUP(IFERROR(VLOOKUP(D388,Mapa_Similitud!$A$2:$B$2000,2,FALSE()),D388),Omega3_Referencia!$A$2:$E$100,4,FALSE()),"N/A"))</f>
        <v>EPA/DHA</v>
      </c>
      <c r="AX388" s="5">
        <f>IFERROR(VLOOKUP(IFERROR(VLOOKUP(D388,Mapa_Similitud!$A$2:$B$2000,2,FALSE()),D388),Hoja1!$A$2:$K$1000,5,FALSE()),0)</f>
        <v>0</v>
      </c>
      <c r="AY388" s="5">
        <f>IFERROR(VLOOKUP(IFERROR(VLOOKUP(D388,Mapa_Similitud!$A$2:$B$2000,2,FALSE()),D388),Hoja1!$A$2:$K$1000,7,FALSE()),0)</f>
        <v>0</v>
      </c>
      <c r="AZ388" s="5">
        <f>IFERROR(VLOOKUP(IFERROR(VLOOKUP(D388,Mapa_Similitud!$A$2:$B$2000,2,FALSE()),D388),Hoja1!$A$2:$K$1000,9,FALSE()),0)</f>
        <v>0</v>
      </c>
      <c r="BA388" s="25">
        <f t="shared" si="174"/>
        <v>0.20945945945945948</v>
      </c>
      <c r="BB388" s="25">
        <f t="shared" si="175"/>
        <v>0</v>
      </c>
      <c r="BC388" s="25">
        <f t="shared" si="176"/>
        <v>0.22522522522522523</v>
      </c>
      <c r="BD388" s="25">
        <f t="shared" si="177"/>
        <v>0</v>
      </c>
      <c r="BE388" s="25">
        <f t="shared" si="178"/>
        <v>0.52927927927927931</v>
      </c>
      <c r="BF388" s="25">
        <f t="shared" si="179"/>
        <v>1.7916666666666667</v>
      </c>
      <c r="BG388" s="25">
        <f t="shared" si="180"/>
        <v>0.10101010101010101</v>
      </c>
      <c r="BH388" s="25">
        <f t="shared" si="181"/>
        <v>0.15</v>
      </c>
      <c r="BI388" s="25">
        <f t="shared" si="182"/>
        <v>0.14242424242424243</v>
      </c>
      <c r="BJ388" s="25">
        <f t="shared" si="183"/>
        <v>0</v>
      </c>
      <c r="BK388" s="25">
        <f t="shared" si="184"/>
        <v>0</v>
      </c>
      <c r="BL388" s="25">
        <f t="shared" si="185"/>
        <v>0.16216216216216217</v>
      </c>
      <c r="BM388" s="25">
        <f t="shared" si="186"/>
        <v>0.22522522522522523</v>
      </c>
      <c r="BN388" s="18" t="str">
        <f t="shared" si="192"/>
        <v>Muy alta fuente de proteína</v>
      </c>
      <c r="BO388" s="18" t="str">
        <f t="shared" si="193"/>
        <v>Baja fuente de fibra</v>
      </c>
      <c r="BP388" s="18" t="str">
        <f t="shared" si="194"/>
        <v>Baja fuente de calcio</v>
      </c>
      <c r="BQ388" s="18" t="str">
        <f t="shared" si="195"/>
        <v>Baja fuente de hierro</v>
      </c>
      <c r="BR388" s="18" t="str">
        <f t="shared" si="196"/>
        <v>Moderado en sodio</v>
      </c>
      <c r="BS388" s="6" t="str">
        <f t="shared" si="187"/>
        <v>Ligeramente antiinflamatorio</v>
      </c>
      <c r="BT388" s="6" t="str">
        <f t="shared" si="188"/>
        <v>Bajo en grasas</v>
      </c>
      <c r="BU388" s="18" t="str">
        <f t="shared" si="197"/>
        <v>Equilibrio de líquidos ideal</v>
      </c>
      <c r="BV388" s="18" t="str">
        <f t="shared" si="198"/>
        <v>Media fuente de magnesio</v>
      </c>
      <c r="BW388" s="18" t="str">
        <f t="shared" si="199"/>
        <v>Ligera fuente de Omega 3</v>
      </c>
      <c r="BX388" s="18" t="str">
        <f t="shared" si="200"/>
        <v>Libre de grasas trans</v>
      </c>
      <c r="BY388" s="18" t="str">
        <f t="shared" si="201"/>
        <v>Bajo poder antioxidante</v>
      </c>
      <c r="BZ388" s="6" t="str">
        <f t="shared" si="189"/>
        <v>Sin probióticos</v>
      </c>
      <c r="CA388" s="18" t="str">
        <f t="shared" si="202"/>
        <v>Poco inflamatorio</v>
      </c>
      <c r="CB388" s="18" t="str">
        <f>IF(ISNUMBER(SEARCH("miel", D388)), "No irritante (Uso condicionado SII)", IF(OR(J388&gt;0, ISNUMBER(SEARCH("cacao", D388)), ISNUMBER(SEARCH("chocolate puro", D388))), "Altamente irritante", IF(OR(AND(O388&gt;15, BI388&gt;1), ISNUMBER(SEARCH("chocolate", D388))), "Moderadamente irritante", "No irritante")))</f>
        <v>No irritante</v>
      </c>
      <c r="CC388" s="6" t="str">
        <f t="shared" si="190"/>
        <v>Balance de omegas favorable</v>
      </c>
    </row>
    <row r="389" spans="1:81" ht="15" customHeight="1" x14ac:dyDescent="0.3">
      <c r="A389" s="2">
        <f t="shared" si="191"/>
        <v>388</v>
      </c>
      <c r="B389" s="3" t="s">
        <v>488</v>
      </c>
      <c r="C389" s="3" t="s">
        <v>521</v>
      </c>
      <c r="D389" s="3" t="s">
        <v>531</v>
      </c>
      <c r="E389" s="3"/>
      <c r="F389" s="4">
        <v>5</v>
      </c>
      <c r="G389" s="5">
        <v>0.75</v>
      </c>
      <c r="H389" s="5">
        <v>74</v>
      </c>
      <c r="I389" s="5">
        <v>82.5</v>
      </c>
      <c r="J389" s="5">
        <v>0</v>
      </c>
      <c r="K389" s="5">
        <v>16.7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0.8</v>
      </c>
      <c r="R389" s="5">
        <v>0.09</v>
      </c>
      <c r="S389" s="5">
        <v>0.23</v>
      </c>
      <c r="T389" s="5">
        <v>0.17</v>
      </c>
      <c r="U389" s="5">
        <v>56.8</v>
      </c>
      <c r="V389" s="5">
        <v>30</v>
      </c>
      <c r="W389" s="5">
        <v>30</v>
      </c>
      <c r="X389" s="5">
        <v>0</v>
      </c>
      <c r="Y389" s="5">
        <v>0</v>
      </c>
      <c r="Z389" s="5">
        <v>0.5</v>
      </c>
      <c r="AA389" s="5">
        <v>0.02</v>
      </c>
      <c r="AB389" s="5">
        <v>0.09</v>
      </c>
      <c r="AC389" s="5">
        <v>0.06</v>
      </c>
      <c r="AD389" s="5">
        <v>7.3</v>
      </c>
      <c r="AE389" s="5">
        <v>0.22</v>
      </c>
      <c r="AF389" s="5">
        <v>13.7</v>
      </c>
      <c r="AG389" s="5">
        <v>1</v>
      </c>
      <c r="AH389" s="5">
        <v>0.22</v>
      </c>
      <c r="AI389" s="5">
        <v>0</v>
      </c>
      <c r="AJ389" s="5">
        <v>0</v>
      </c>
      <c r="AK389" s="5">
        <v>43.4</v>
      </c>
      <c r="AL389" s="5">
        <v>190</v>
      </c>
      <c r="AM389" s="5">
        <v>0.77</v>
      </c>
      <c r="AN389" s="5">
        <v>27</v>
      </c>
      <c r="AO389" s="5">
        <v>0.38</v>
      </c>
      <c r="AP389" s="5">
        <v>27.3</v>
      </c>
      <c r="AQ389" s="5">
        <v>100</v>
      </c>
      <c r="AR389" s="5">
        <v>270</v>
      </c>
      <c r="AS389" s="5">
        <v>0.02</v>
      </c>
      <c r="AT389" s="5">
        <v>0.02</v>
      </c>
      <c r="AU389" s="5">
        <v>36</v>
      </c>
      <c r="AV389" s="5">
        <f>IFERROR(VLOOKUP(IFERROR(VLOOKUP(D389,Mapa_Similitud!$A$2:$B$2000,2,FALSE()),D389),Hoja1!$A$2:$K$1000,2,FALSE()),IFERROR(VLOOKUP(IFERROR(VLOOKUP(D389,Mapa_Similitud!$A$2:$B$2000,2,FALSE()),D389),Omega3_Referencia!$A$2:$E$100,3,FALSE()),0))</f>
        <v>0.25</v>
      </c>
      <c r="AW389" s="3" t="str">
        <f>IFERROR(VLOOKUP(IFERROR(VLOOKUP(D389,Mapa_Similitud!$A$2:$B$2000,2,FALSE()),D389),Hoja1!$A$2:$K$1000,3,FALSE()),IFERROR(VLOOKUP(IFERROR(VLOOKUP(D389,Mapa_Similitud!$A$2:$B$2000,2,FALSE()),D389),Omega3_Referencia!$A$2:$E$100,4,FALSE()),"N/A"))</f>
        <v>EPA/DHA</v>
      </c>
      <c r="AX389" s="5">
        <f>IFERROR(VLOOKUP(IFERROR(VLOOKUP(D389,Mapa_Similitud!$A$2:$B$2000,2,FALSE()),D389),Hoja1!$A$2:$K$1000,5,FALSE()),0)</f>
        <v>0</v>
      </c>
      <c r="AY389" s="5">
        <f>IFERROR(VLOOKUP(IFERROR(VLOOKUP(D389,Mapa_Similitud!$A$2:$B$2000,2,FALSE()),D389),Hoja1!$A$2:$K$1000,7,FALSE()),0)</f>
        <v>0</v>
      </c>
      <c r="AZ389" s="5">
        <f>IFERROR(VLOOKUP(IFERROR(VLOOKUP(D389,Mapa_Similitud!$A$2:$B$2000,2,FALSE()),D389),Hoja1!$A$2:$K$1000,9,FALSE()),0)</f>
        <v>0</v>
      </c>
      <c r="BA389" s="25">
        <f t="shared" si="174"/>
        <v>0.22567567567567567</v>
      </c>
      <c r="BB389" s="25">
        <f t="shared" si="175"/>
        <v>0</v>
      </c>
      <c r="BC389" s="25">
        <f t="shared" si="176"/>
        <v>0.58648648648648649</v>
      </c>
      <c r="BD389" s="25">
        <f t="shared" si="177"/>
        <v>1.0405405405405405E-2</v>
      </c>
      <c r="BE389" s="25">
        <f t="shared" si="178"/>
        <v>1.3513513513513513</v>
      </c>
      <c r="BF389" s="25">
        <f t="shared" si="179"/>
        <v>1.8888888888888891</v>
      </c>
      <c r="BG389" s="25">
        <f t="shared" si="180"/>
        <v>0.22842105263157894</v>
      </c>
      <c r="BH389" s="25">
        <f t="shared" si="181"/>
        <v>0.11249999999999999</v>
      </c>
      <c r="BI389" s="25">
        <f t="shared" si="182"/>
        <v>0.37037037037037035</v>
      </c>
      <c r="BJ389" s="25">
        <f t="shared" si="183"/>
        <v>0</v>
      </c>
      <c r="BK389" s="25">
        <f t="shared" si="184"/>
        <v>0</v>
      </c>
      <c r="BL389" s="25">
        <f t="shared" si="185"/>
        <v>9.7297297297297303E-2</v>
      </c>
      <c r="BM389" s="25">
        <f t="shared" si="186"/>
        <v>0.36891891891891893</v>
      </c>
      <c r="BN389" s="18" t="str">
        <f t="shared" si="192"/>
        <v>Muy alta fuente de proteína</v>
      </c>
      <c r="BO389" s="18" t="str">
        <f t="shared" si="193"/>
        <v>Baja fuente de fibra</v>
      </c>
      <c r="BP389" s="18" t="str">
        <f t="shared" si="194"/>
        <v>Baja fuente de calcio</v>
      </c>
      <c r="BQ389" s="18" t="str">
        <f t="shared" si="195"/>
        <v>Media fuente de hierro</v>
      </c>
      <c r="BR389" s="18" t="str">
        <f t="shared" si="196"/>
        <v>Alto en sodio</v>
      </c>
      <c r="BS389" s="6" t="str">
        <f t="shared" si="187"/>
        <v>Ligeramente antiinflamatorio</v>
      </c>
      <c r="BT389" s="6" t="str">
        <f t="shared" si="188"/>
        <v>Bajo en grasas</v>
      </c>
      <c r="BU389" s="18" t="str">
        <f t="shared" si="197"/>
        <v>Equilibrio de líquidos ideal</v>
      </c>
      <c r="BV389" s="18" t="str">
        <f t="shared" si="198"/>
        <v>Media fuente de magnesio</v>
      </c>
      <c r="BW389" s="18" t="str">
        <f t="shared" si="199"/>
        <v>Ligera fuente de Omega 3</v>
      </c>
      <c r="BX389" s="18" t="str">
        <f t="shared" si="200"/>
        <v>Libre de grasas trans</v>
      </c>
      <c r="BY389" s="18" t="str">
        <f t="shared" si="201"/>
        <v>Bajo poder antioxidante</v>
      </c>
      <c r="BZ389" s="6" t="str">
        <f t="shared" si="189"/>
        <v>Sin probióticos</v>
      </c>
      <c r="CA389" s="18" t="str">
        <f t="shared" si="202"/>
        <v>Poco inflamatorio</v>
      </c>
      <c r="CB389" s="18" t="str">
        <f>IF(ISNUMBER(SEARCH("miel", D389)), "No irritante (Uso condicionado SII)", IF(OR(J389&gt;0, ISNUMBER(SEARCH("cacao", D389)), ISNUMBER(SEARCH("chocolate puro", D389))), "Altamente irritante", IF(OR(AND(O389&gt;15, BI389&gt;1), ISNUMBER(SEARCH("chocolate", D389))), "Moderadamente irritante", "No irritante")))</f>
        <v>No irritante</v>
      </c>
      <c r="CC389" s="6" t="str">
        <f t="shared" si="190"/>
        <v>Balance de omegas favorable</v>
      </c>
    </row>
    <row r="390" spans="1:81" ht="15" customHeight="1" x14ac:dyDescent="0.3">
      <c r="A390" s="2">
        <f t="shared" si="191"/>
        <v>389</v>
      </c>
      <c r="B390" s="3" t="s">
        <v>488</v>
      </c>
      <c r="C390" s="3" t="s">
        <v>521</v>
      </c>
      <c r="D390" s="3" t="s">
        <v>532</v>
      </c>
      <c r="E390" s="3"/>
      <c r="F390" s="4">
        <v>8.5</v>
      </c>
      <c r="G390" s="5">
        <v>0.71</v>
      </c>
      <c r="H390" s="5">
        <v>85.9</v>
      </c>
      <c r="I390" s="5">
        <v>80.900000000000006</v>
      </c>
      <c r="J390" s="5">
        <v>0</v>
      </c>
      <c r="K390" s="5">
        <v>17.2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1.9</v>
      </c>
      <c r="R390" s="5">
        <v>1.1000000000000001</v>
      </c>
      <c r="S390" s="5">
        <v>0.4</v>
      </c>
      <c r="T390" s="5">
        <v>0.13</v>
      </c>
      <c r="U390" s="5">
        <v>63</v>
      </c>
      <c r="V390" s="5">
        <v>10</v>
      </c>
      <c r="W390" s="5">
        <v>10</v>
      </c>
      <c r="X390" s="5">
        <v>0</v>
      </c>
      <c r="Y390" s="5">
        <v>0</v>
      </c>
      <c r="Z390" s="5">
        <v>0.36</v>
      </c>
      <c r="AA390" s="5">
        <v>0.2</v>
      </c>
      <c r="AB390" s="5">
        <v>0.21</v>
      </c>
      <c r="AC390" s="5">
        <v>0.22</v>
      </c>
      <c r="AD390" s="5">
        <v>6.5</v>
      </c>
      <c r="AE390" s="5">
        <v>0.2</v>
      </c>
      <c r="AF390" s="5">
        <v>11</v>
      </c>
      <c r="AG390" s="5">
        <v>1.5</v>
      </c>
      <c r="AH390" s="5">
        <v>0.8</v>
      </c>
      <c r="AI390" s="5">
        <v>0</v>
      </c>
      <c r="AJ390" s="5">
        <v>1.5</v>
      </c>
      <c r="AK390" s="5">
        <v>61</v>
      </c>
      <c r="AL390" s="5">
        <v>198</v>
      </c>
      <c r="AM390" s="5">
        <v>0.9</v>
      </c>
      <c r="AN390" s="5">
        <v>53</v>
      </c>
      <c r="AO390" s="5">
        <v>0.53</v>
      </c>
      <c r="AP390" s="5">
        <v>22</v>
      </c>
      <c r="AQ390" s="5">
        <v>104</v>
      </c>
      <c r="AR390" s="5">
        <v>310</v>
      </c>
      <c r="AS390" s="5">
        <v>0.03</v>
      </c>
      <c r="AT390" s="5">
        <v>4.2000000000000003E-2</v>
      </c>
      <c r="AU390" s="5">
        <v>33</v>
      </c>
      <c r="AV390" s="5">
        <f>IFERROR(VLOOKUP(IFERROR(VLOOKUP(D390,Mapa_Similitud!$A$2:$B$2000,2,FALSE()),D390),Hoja1!$A$2:$K$1000,2,FALSE()),IFERROR(VLOOKUP(IFERROR(VLOOKUP(D390,Mapa_Similitud!$A$2:$B$2000,2,FALSE()),D390),Omega3_Referencia!$A$2:$E$100,3,FALSE()),0))</f>
        <v>0.2</v>
      </c>
      <c r="AW390" s="3" t="str">
        <f>IFERROR(VLOOKUP(IFERROR(VLOOKUP(D390,Mapa_Similitud!$A$2:$B$2000,2,FALSE()),D390),Hoja1!$A$2:$K$1000,3,FALSE()),IFERROR(VLOOKUP(IFERROR(VLOOKUP(D390,Mapa_Similitud!$A$2:$B$2000,2,FALSE()),D390),Omega3_Referencia!$A$2:$E$100,4,FALSE()),"N/A"))</f>
        <v>EPA/DHA</v>
      </c>
      <c r="AX390" s="5">
        <f>IFERROR(VLOOKUP(IFERROR(VLOOKUP(D390,Mapa_Similitud!$A$2:$B$2000,2,FALSE()),D390),Hoja1!$A$2:$K$1000,5,FALSE()),0)</f>
        <v>0</v>
      </c>
      <c r="AY390" s="5">
        <f>IFERROR(VLOOKUP(IFERROR(VLOOKUP(D390,Mapa_Similitud!$A$2:$B$2000,2,FALSE()),D390),Hoja1!$A$2:$K$1000,7,FALSE()),0)</f>
        <v>0</v>
      </c>
      <c r="AZ390" s="5">
        <f>IFERROR(VLOOKUP(IFERROR(VLOOKUP(D390,Mapa_Similitud!$A$2:$B$2000,2,FALSE()),D390),Hoja1!$A$2:$K$1000,9,FALSE()),0)</f>
        <v>0</v>
      </c>
      <c r="BA390" s="25">
        <f t="shared" si="174"/>
        <v>0.20023282887077995</v>
      </c>
      <c r="BB390" s="25">
        <f t="shared" si="175"/>
        <v>0</v>
      </c>
      <c r="BC390" s="25">
        <f t="shared" si="176"/>
        <v>0.71012805587892891</v>
      </c>
      <c r="BD390" s="25">
        <f t="shared" si="177"/>
        <v>1.0477299185098952E-2</v>
      </c>
      <c r="BE390" s="25">
        <f t="shared" si="178"/>
        <v>1.2107101280558787</v>
      </c>
      <c r="BF390" s="25">
        <f t="shared" si="179"/>
        <v>0.11818181818181818</v>
      </c>
      <c r="BG390" s="25">
        <f t="shared" si="180"/>
        <v>0.30808080808080807</v>
      </c>
      <c r="BH390" s="25">
        <f t="shared" si="181"/>
        <v>0.57894736842105265</v>
      </c>
      <c r="BI390" s="25">
        <f t="shared" si="182"/>
        <v>0.33548387096774196</v>
      </c>
      <c r="BJ390" s="25">
        <f t="shared" si="183"/>
        <v>0</v>
      </c>
      <c r="BK390" s="25">
        <f t="shared" si="184"/>
        <v>0</v>
      </c>
      <c r="BL390" s="25">
        <f t="shared" si="185"/>
        <v>0.19906868451688006</v>
      </c>
      <c r="BM390" s="25">
        <f t="shared" si="186"/>
        <v>0.25611175785797435</v>
      </c>
      <c r="BN390" s="18" t="str">
        <f t="shared" si="192"/>
        <v>Muy alta fuente de proteína</v>
      </c>
      <c r="BO390" s="18" t="str">
        <f t="shared" si="193"/>
        <v>Baja fuente de fibra</v>
      </c>
      <c r="BP390" s="18" t="str">
        <f t="shared" si="194"/>
        <v>Baja fuente de calcio</v>
      </c>
      <c r="BQ390" s="18" t="str">
        <f t="shared" si="195"/>
        <v>Media fuente de hierro</v>
      </c>
      <c r="BR390" s="18" t="str">
        <f t="shared" si="196"/>
        <v>Alto en sodio</v>
      </c>
      <c r="BS390" s="6" t="str">
        <f t="shared" si="187"/>
        <v>Proinflamatorio</v>
      </c>
      <c r="BT390" s="6" t="str">
        <f t="shared" si="188"/>
        <v>Bajo en grasas</v>
      </c>
      <c r="BU390" s="18" t="str">
        <f t="shared" si="197"/>
        <v>Equilibrio de líquidos ideal</v>
      </c>
      <c r="BV390" s="18" t="str">
        <f t="shared" si="198"/>
        <v>Media fuente de magnesio</v>
      </c>
      <c r="BW390" s="18" t="str">
        <f t="shared" si="199"/>
        <v>Ligera fuente de Omega 3</v>
      </c>
      <c r="BX390" s="18" t="str">
        <f t="shared" si="200"/>
        <v>Libre de grasas trans</v>
      </c>
      <c r="BY390" s="18" t="str">
        <f t="shared" si="201"/>
        <v>Bajo poder antioxidante</v>
      </c>
      <c r="BZ390" s="6" t="str">
        <f t="shared" si="189"/>
        <v>Sin probióticos</v>
      </c>
      <c r="CA390" s="18" t="str">
        <f t="shared" si="202"/>
        <v>Poco inflamatorio</v>
      </c>
      <c r="CB390" s="18" t="str">
        <f>IF(ISNUMBER(SEARCH("miel", D390)), "No irritante (Uso condicionado SII)", IF(OR(J390&gt;0, ISNUMBER(SEARCH("cacao", D390)), ISNUMBER(SEARCH("chocolate puro", D390))), "Altamente irritante", IF(OR(AND(O390&gt;15, BI390&gt;1), ISNUMBER(SEARCH("chocolate", D390))), "Moderadamente irritante", "No irritante")))</f>
        <v>No irritante</v>
      </c>
      <c r="CC390" s="6" t="str">
        <f t="shared" si="190"/>
        <v>Balance de omegas favorable</v>
      </c>
    </row>
    <row r="391" spans="1:81" ht="15" customHeight="1" x14ac:dyDescent="0.3">
      <c r="A391" s="2">
        <f t="shared" si="191"/>
        <v>390</v>
      </c>
      <c r="B391" s="3" t="s">
        <v>488</v>
      </c>
      <c r="C391" s="3" t="s">
        <v>521</v>
      </c>
      <c r="D391" s="3" t="s">
        <v>533</v>
      </c>
      <c r="E391" s="3"/>
      <c r="F391" s="4">
        <v>4</v>
      </c>
      <c r="G391" s="5">
        <v>0.9</v>
      </c>
      <c r="H391" s="5">
        <v>65.599999999999994</v>
      </c>
      <c r="I391" s="5">
        <v>84.5</v>
      </c>
      <c r="J391" s="5">
        <v>0</v>
      </c>
      <c r="K391" s="5">
        <v>14.9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0.67</v>
      </c>
      <c r="R391" s="5">
        <v>0.17</v>
      </c>
      <c r="S391" s="5">
        <v>0.11</v>
      </c>
      <c r="T391" s="5">
        <v>0.31</v>
      </c>
      <c r="U391" s="5">
        <v>25</v>
      </c>
      <c r="V391" s="5">
        <v>12</v>
      </c>
      <c r="W391" s="5">
        <v>12</v>
      </c>
      <c r="X391" s="5">
        <v>0</v>
      </c>
      <c r="Y391" s="5">
        <v>0</v>
      </c>
      <c r="Z391" s="5">
        <v>0.85</v>
      </c>
      <c r="AA391" s="5">
        <v>0.02</v>
      </c>
      <c r="AB391" s="5">
        <v>0.03</v>
      </c>
      <c r="AC391" s="5">
        <v>0.05</v>
      </c>
      <c r="AD391" s="5">
        <v>4.3</v>
      </c>
      <c r="AE391" s="5">
        <v>0.01</v>
      </c>
      <c r="AF391" s="5">
        <v>1</v>
      </c>
      <c r="AG391" s="5">
        <v>1</v>
      </c>
      <c r="AH391" s="5">
        <v>0.15</v>
      </c>
      <c r="AI391" s="5">
        <v>0</v>
      </c>
      <c r="AJ391" s="5">
        <v>0</v>
      </c>
      <c r="AK391" s="5">
        <v>8</v>
      </c>
      <c r="AL391" s="5">
        <v>330</v>
      </c>
      <c r="AM391" s="5">
        <v>0.3</v>
      </c>
      <c r="AN391" s="5">
        <v>0</v>
      </c>
      <c r="AO391" s="5">
        <v>0.31</v>
      </c>
      <c r="AP391" s="5">
        <v>21</v>
      </c>
      <c r="AQ391" s="5">
        <v>109</v>
      </c>
      <c r="AR391" s="5">
        <v>235</v>
      </c>
      <c r="AS391" s="5">
        <v>2.4E-2</v>
      </c>
      <c r="AT391" s="5">
        <v>9.7000000000000003E-3</v>
      </c>
      <c r="AU391" s="5">
        <v>36.5</v>
      </c>
      <c r="AV391" s="5">
        <f>IFERROR(VLOOKUP(IFERROR(VLOOKUP(D391,Mapa_Similitud!$A$2:$B$2000,2,FALSE()),D391),Hoja1!$A$2:$K$1000,2,FALSE()),IFERROR(VLOOKUP(IFERROR(VLOOKUP(D391,Mapa_Similitud!$A$2:$B$2000,2,FALSE()),D391),Omega3_Referencia!$A$2:$E$100,3,FALSE()),0))</f>
        <v>0.2</v>
      </c>
      <c r="AW391" s="3" t="str">
        <f>IFERROR(VLOOKUP(IFERROR(VLOOKUP(D391,Mapa_Similitud!$A$2:$B$2000,2,FALSE()),D391),Hoja1!$A$2:$K$1000,3,FALSE()),IFERROR(VLOOKUP(IFERROR(VLOOKUP(D391,Mapa_Similitud!$A$2:$B$2000,2,FALSE()),D391),Omega3_Referencia!$A$2:$E$100,4,FALSE()),"N/A"))</f>
        <v>EPA/DHA</v>
      </c>
      <c r="AX391" s="5">
        <f>IFERROR(VLOOKUP(IFERROR(VLOOKUP(D391,Mapa_Similitud!$A$2:$B$2000,2,FALSE()),D391),Hoja1!$A$2:$K$1000,5,FALSE()),0)</f>
        <v>0</v>
      </c>
      <c r="AY391" s="5">
        <f>IFERROR(VLOOKUP(IFERROR(VLOOKUP(D391,Mapa_Similitud!$A$2:$B$2000,2,FALSE()),D391),Hoja1!$A$2:$K$1000,7,FALSE()),0)</f>
        <v>0</v>
      </c>
      <c r="AZ391" s="5">
        <f>IFERROR(VLOOKUP(IFERROR(VLOOKUP(D391,Mapa_Similitud!$A$2:$B$2000,2,FALSE()),D391),Hoja1!$A$2:$K$1000,9,FALSE()),0)</f>
        <v>0</v>
      </c>
      <c r="BA391" s="25">
        <f t="shared" si="174"/>
        <v>0.22713414634146345</v>
      </c>
      <c r="BB391" s="25">
        <f t="shared" si="175"/>
        <v>0</v>
      </c>
      <c r="BC391" s="25">
        <f t="shared" si="176"/>
        <v>0.12195121951219513</v>
      </c>
      <c r="BD391" s="25">
        <f t="shared" si="177"/>
        <v>4.5731707317073177E-3</v>
      </c>
      <c r="BE391" s="25">
        <f t="shared" si="178"/>
        <v>1.6615853658536588</v>
      </c>
      <c r="BF391" s="25">
        <f t="shared" si="179"/>
        <v>1.8235294117647058</v>
      </c>
      <c r="BG391" s="25">
        <f t="shared" si="180"/>
        <v>2.4242424242424242E-2</v>
      </c>
      <c r="BH391" s="25">
        <f t="shared" si="181"/>
        <v>0.2537313432835821</v>
      </c>
      <c r="BI391" s="25">
        <f t="shared" si="182"/>
        <v>0.46382978723404256</v>
      </c>
      <c r="BJ391" s="25">
        <f t="shared" si="183"/>
        <v>0</v>
      </c>
      <c r="BK391" s="25">
        <f t="shared" si="184"/>
        <v>0</v>
      </c>
      <c r="BL391" s="25">
        <f t="shared" si="185"/>
        <v>9.1920731707317085E-2</v>
      </c>
      <c r="BM391" s="25">
        <f t="shared" si="186"/>
        <v>0.3201219512195122</v>
      </c>
      <c r="BN391" s="18" t="str">
        <f t="shared" si="192"/>
        <v>Muy alta fuente de proteína</v>
      </c>
      <c r="BO391" s="18" t="str">
        <f t="shared" si="193"/>
        <v>Baja fuente de fibra</v>
      </c>
      <c r="BP391" s="18" t="str">
        <f t="shared" si="194"/>
        <v>Baja fuente de calcio</v>
      </c>
      <c r="BQ391" s="18" t="str">
        <f t="shared" si="195"/>
        <v>Baja fuente de hierro</v>
      </c>
      <c r="BR391" s="18" t="str">
        <f t="shared" si="196"/>
        <v>Alto en sodio</v>
      </c>
      <c r="BS391" s="6" t="str">
        <f t="shared" si="187"/>
        <v>Ligeramente antiinflamatorio</v>
      </c>
      <c r="BT391" s="6" t="str">
        <f t="shared" si="188"/>
        <v>Bajo en grasas</v>
      </c>
      <c r="BU391" s="18" t="str">
        <f t="shared" si="197"/>
        <v>Equilibrio de líquidos ideal</v>
      </c>
      <c r="BV391" s="18" t="str">
        <f t="shared" si="198"/>
        <v>Media fuente de magnesio</v>
      </c>
      <c r="BW391" s="18" t="str">
        <f t="shared" si="199"/>
        <v>Ligera fuente de Omega 3</v>
      </c>
      <c r="BX391" s="18" t="str">
        <f t="shared" si="200"/>
        <v>Libre de grasas trans</v>
      </c>
      <c r="BY391" s="18" t="str">
        <f t="shared" si="201"/>
        <v>Bajo poder antioxidante</v>
      </c>
      <c r="BZ391" s="6" t="str">
        <f t="shared" si="189"/>
        <v>Sin probióticos</v>
      </c>
      <c r="CA391" s="18" t="str">
        <f t="shared" si="202"/>
        <v>Poco inflamatorio</v>
      </c>
      <c r="CB391" s="18" t="str">
        <f>IF(ISNUMBER(SEARCH("miel", D391)), "No irritante (Uso condicionado SII)", IF(OR(J391&gt;0, ISNUMBER(SEARCH("cacao", D391)), ISNUMBER(SEARCH("chocolate puro", D391))), "Altamente irritante", IF(OR(AND(O391&gt;15, BI391&gt;1), ISNUMBER(SEARCH("chocolate", D391))), "Moderadamente irritante", "No irritante")))</f>
        <v>No irritante</v>
      </c>
      <c r="CC391" s="6" t="str">
        <f t="shared" si="190"/>
        <v>Balance de omegas favorable</v>
      </c>
    </row>
    <row r="392" spans="1:81" ht="15" customHeight="1" x14ac:dyDescent="0.3">
      <c r="A392" s="2">
        <f t="shared" si="191"/>
        <v>391</v>
      </c>
      <c r="B392" s="3" t="s">
        <v>488</v>
      </c>
      <c r="C392" s="3" t="s">
        <v>521</v>
      </c>
      <c r="D392" s="3" t="s">
        <v>534</v>
      </c>
      <c r="E392" s="3"/>
      <c r="F392" s="4">
        <v>1.2</v>
      </c>
      <c r="G392" s="5">
        <v>0.55000000000000004</v>
      </c>
      <c r="H392" s="5">
        <v>97.3</v>
      </c>
      <c r="I392" s="5">
        <v>77.3</v>
      </c>
      <c r="J392" s="5">
        <v>0</v>
      </c>
      <c r="K392" s="5">
        <v>20.6</v>
      </c>
      <c r="L392" s="5">
        <v>0.8</v>
      </c>
      <c r="M392" s="5">
        <v>0</v>
      </c>
      <c r="N392" s="5">
        <v>0.8</v>
      </c>
      <c r="O392" s="5">
        <v>0</v>
      </c>
      <c r="P392" s="5">
        <v>0</v>
      </c>
      <c r="Q392" s="5">
        <v>1.3</v>
      </c>
      <c r="R392" s="5">
        <v>0.28999999999999998</v>
      </c>
      <c r="S392" s="5">
        <v>0.28999999999999998</v>
      </c>
      <c r="T392" s="5">
        <v>0.53</v>
      </c>
      <c r="U392" s="5">
        <v>65</v>
      </c>
      <c r="V392" s="5">
        <v>27</v>
      </c>
      <c r="W392" s="5">
        <v>27</v>
      </c>
      <c r="X392" s="5">
        <v>0</v>
      </c>
      <c r="Y392" s="5">
        <v>0</v>
      </c>
      <c r="Z392" s="5">
        <v>0</v>
      </c>
      <c r="AA392" s="5">
        <v>0.01</v>
      </c>
      <c r="AB392" s="5">
        <v>0.02</v>
      </c>
      <c r="AC392" s="5">
        <v>0.01</v>
      </c>
      <c r="AD392" s="5">
        <v>5.9</v>
      </c>
      <c r="AE392" s="5">
        <v>0.37</v>
      </c>
      <c r="AF392" s="5">
        <v>3</v>
      </c>
      <c r="AG392" s="5">
        <v>6</v>
      </c>
      <c r="AH392" s="5">
        <v>0.22</v>
      </c>
      <c r="AI392" s="5">
        <v>0</v>
      </c>
      <c r="AJ392" s="5">
        <v>0</v>
      </c>
      <c r="AK392" s="5">
        <v>38</v>
      </c>
      <c r="AL392" s="5">
        <v>155</v>
      </c>
      <c r="AM392" s="5">
        <v>0.75</v>
      </c>
      <c r="AN392" s="5">
        <v>3</v>
      </c>
      <c r="AO392" s="5">
        <v>0.98</v>
      </c>
      <c r="AP392" s="5">
        <v>30</v>
      </c>
      <c r="AQ392" s="5">
        <v>90</v>
      </c>
      <c r="AR392" s="5">
        <v>250</v>
      </c>
      <c r="AS392" s="5">
        <v>0.02</v>
      </c>
      <c r="AT392" s="5">
        <v>0.01</v>
      </c>
      <c r="AU392" s="5">
        <v>36.5</v>
      </c>
      <c r="AV392" s="5">
        <f>IFERROR(VLOOKUP(IFERROR(VLOOKUP(D392,Mapa_Similitud!$A$2:$B$2000,2,FALSE()),D392),Hoja1!$A$2:$K$1000,2,FALSE()),IFERROR(VLOOKUP(IFERROR(VLOOKUP(D392,Mapa_Similitud!$A$2:$B$2000,2,FALSE()),D392),Omega3_Referencia!$A$2:$E$100,3,FALSE()),0))</f>
        <v>0.3</v>
      </c>
      <c r="AW392" s="3" t="str">
        <f>IFERROR(VLOOKUP(IFERROR(VLOOKUP(D392,Mapa_Similitud!$A$2:$B$2000,2,FALSE()),D392),Hoja1!$A$2:$K$1000,3,FALSE()),IFERROR(VLOOKUP(IFERROR(VLOOKUP(D392,Mapa_Similitud!$A$2:$B$2000,2,FALSE()),D392),Omega3_Referencia!$A$2:$E$100,4,FALSE()),"N/A"))</f>
        <v>EPA/DHA</v>
      </c>
      <c r="AX392" s="5">
        <f>IFERROR(VLOOKUP(IFERROR(VLOOKUP(D392,Mapa_Similitud!$A$2:$B$2000,2,FALSE()),D392),Hoja1!$A$2:$K$1000,5,FALSE()),0)</f>
        <v>0</v>
      </c>
      <c r="AY392" s="5">
        <f>IFERROR(VLOOKUP(IFERROR(VLOOKUP(D392,Mapa_Similitud!$A$2:$B$2000,2,FALSE()),D392),Hoja1!$A$2:$K$1000,7,FALSE()),0)</f>
        <v>0</v>
      </c>
      <c r="AZ392" s="5">
        <f>IFERROR(VLOOKUP(IFERROR(VLOOKUP(D392,Mapa_Similitud!$A$2:$B$2000,2,FALSE()),D392),Hoja1!$A$2:$K$1000,9,FALSE()),0)</f>
        <v>0</v>
      </c>
      <c r="BA392" s="25">
        <f t="shared" si="174"/>
        <v>0.2117163412127441</v>
      </c>
      <c r="BB392" s="25">
        <f t="shared" si="175"/>
        <v>0</v>
      </c>
      <c r="BC392" s="25">
        <f t="shared" si="176"/>
        <v>0.39054470709146971</v>
      </c>
      <c r="BD392" s="25">
        <f t="shared" si="177"/>
        <v>7.7081192189105861E-3</v>
      </c>
      <c r="BE392" s="25">
        <f t="shared" si="178"/>
        <v>0.92497430626927035</v>
      </c>
      <c r="BF392" s="25">
        <f t="shared" si="179"/>
        <v>1.827586206896552</v>
      </c>
      <c r="BG392" s="25">
        <f t="shared" si="180"/>
        <v>0.24516129032258063</v>
      </c>
      <c r="BH392" s="25">
        <f t="shared" si="181"/>
        <v>0.22307692307692306</v>
      </c>
      <c r="BI392" s="25">
        <f t="shared" si="182"/>
        <v>0.36</v>
      </c>
      <c r="BJ392" s="25">
        <f t="shared" si="183"/>
        <v>1</v>
      </c>
      <c r="BK392" s="25">
        <f t="shared" si="184"/>
        <v>0</v>
      </c>
      <c r="BL392" s="25">
        <f t="shared" si="185"/>
        <v>0.12024665981500515</v>
      </c>
      <c r="BM392" s="25">
        <f t="shared" si="186"/>
        <v>0.30832476875642345</v>
      </c>
      <c r="BN392" s="18" t="str">
        <f t="shared" si="192"/>
        <v>Muy alta fuente de proteína</v>
      </c>
      <c r="BO392" s="18" t="str">
        <f t="shared" si="193"/>
        <v>Baja fuente de fibra</v>
      </c>
      <c r="BP392" s="18" t="str">
        <f t="shared" si="194"/>
        <v>Baja fuente de calcio</v>
      </c>
      <c r="BQ392" s="18" t="str">
        <f t="shared" si="195"/>
        <v>Baja fuente de hierro</v>
      </c>
      <c r="BR392" s="18" t="str">
        <f t="shared" si="196"/>
        <v>Moderado en sodio</v>
      </c>
      <c r="BS392" s="6" t="str">
        <f t="shared" si="187"/>
        <v>Ligeramente antiinflamatorio</v>
      </c>
      <c r="BT392" s="6" t="str">
        <f t="shared" si="188"/>
        <v>Bajo en grasas</v>
      </c>
      <c r="BU392" s="18" t="str">
        <f t="shared" si="197"/>
        <v>Equilibrio de líquidos ideal</v>
      </c>
      <c r="BV392" s="18" t="str">
        <f t="shared" si="198"/>
        <v>Media fuente de magnesio</v>
      </c>
      <c r="BW392" s="18" t="str">
        <f t="shared" si="199"/>
        <v>Ligera fuente de Omega 3</v>
      </c>
      <c r="BX392" s="18" t="str">
        <f t="shared" si="200"/>
        <v>Libre de grasas trans</v>
      </c>
      <c r="BY392" s="18" t="str">
        <f t="shared" si="201"/>
        <v>Bajo poder antioxidante</v>
      </c>
      <c r="BZ392" s="6" t="str">
        <f t="shared" si="189"/>
        <v>Sin probióticos</v>
      </c>
      <c r="CA392" s="18" t="str">
        <f t="shared" si="202"/>
        <v>Poco inflamatorio</v>
      </c>
      <c r="CB392" s="18" t="str">
        <f>IF(ISNUMBER(SEARCH("miel", D392)), "No irritante (Uso condicionado SII)", IF(OR(J392&gt;0, ISNUMBER(SEARCH("cacao", D392)), ISNUMBER(SEARCH("chocolate puro", D392))), "Altamente irritante", IF(OR(AND(O392&gt;15, BI392&gt;1), ISNUMBER(SEARCH("chocolate", D392))), "Moderadamente irritante", "No irritante")))</f>
        <v>No irritante</v>
      </c>
      <c r="CC392" s="6" t="str">
        <f t="shared" si="190"/>
        <v>Balance de omegas favorable</v>
      </c>
    </row>
    <row r="393" spans="1:81" ht="15" customHeight="1" x14ac:dyDescent="0.3">
      <c r="A393" s="2">
        <f t="shared" si="191"/>
        <v>392</v>
      </c>
      <c r="B393" s="3" t="s">
        <v>488</v>
      </c>
      <c r="C393" s="3" t="s">
        <v>521</v>
      </c>
      <c r="D393" s="3" t="s">
        <v>535</v>
      </c>
      <c r="E393" s="3"/>
      <c r="F393" s="4">
        <v>2.8</v>
      </c>
      <c r="G393" s="5">
        <v>0.48</v>
      </c>
      <c r="H393" s="5">
        <v>82.1</v>
      </c>
      <c r="I393" s="5">
        <v>81.599999999999994</v>
      </c>
      <c r="J393" s="5">
        <v>0</v>
      </c>
      <c r="K393" s="5">
        <v>16.7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1.7</v>
      </c>
      <c r="R393" s="5">
        <v>0.53</v>
      </c>
      <c r="S393" s="5">
        <v>0.39</v>
      </c>
      <c r="T393" s="5">
        <v>0.56000000000000005</v>
      </c>
      <c r="U393" s="5">
        <v>25</v>
      </c>
      <c r="V393" s="5">
        <v>11</v>
      </c>
      <c r="W393" s="5">
        <v>11</v>
      </c>
      <c r="X393" s="5">
        <v>0</v>
      </c>
      <c r="Y393" s="5">
        <v>0</v>
      </c>
      <c r="Z393" s="5">
        <v>0.4</v>
      </c>
      <c r="AA393" s="5">
        <v>0.2</v>
      </c>
      <c r="AB393" s="5">
        <v>0.02</v>
      </c>
      <c r="AC393" s="5">
        <v>0.15</v>
      </c>
      <c r="AD393" s="5">
        <v>5.2</v>
      </c>
      <c r="AE393" s="5">
        <v>0.15</v>
      </c>
      <c r="AF393" s="5">
        <v>10</v>
      </c>
      <c r="AG393" s="5">
        <v>2</v>
      </c>
      <c r="AH393" s="5">
        <v>0.56999999999999995</v>
      </c>
      <c r="AI393" s="5">
        <v>0</v>
      </c>
      <c r="AJ393" s="5">
        <v>0</v>
      </c>
      <c r="AK393" s="5">
        <v>17</v>
      </c>
      <c r="AL393" s="5">
        <v>159</v>
      </c>
      <c r="AM393" s="5">
        <v>0.5</v>
      </c>
      <c r="AN393" s="5">
        <v>16</v>
      </c>
      <c r="AO393" s="5">
        <v>0.4</v>
      </c>
      <c r="AP393" s="5">
        <v>45</v>
      </c>
      <c r="AQ393" s="5">
        <v>114</v>
      </c>
      <c r="AR393" s="5">
        <v>290</v>
      </c>
      <c r="AS393" s="5">
        <v>3.6999999999999998E-2</v>
      </c>
      <c r="AT393" s="5">
        <v>1.4E-2</v>
      </c>
      <c r="AU393" s="5">
        <v>36.5</v>
      </c>
      <c r="AV393" s="5">
        <f>IFERROR(VLOOKUP(IFERROR(VLOOKUP(D393,Mapa_Similitud!$A$2:$B$2000,2,FALSE()),D393),Hoja1!$A$2:$K$1000,2,FALSE()),IFERROR(VLOOKUP(IFERROR(VLOOKUP(D393,Mapa_Similitud!$A$2:$B$2000,2,FALSE()),D393),Omega3_Referencia!$A$2:$E$100,3,FALSE()),0))</f>
        <v>0.3</v>
      </c>
      <c r="AW393" s="3" t="str">
        <f>IFERROR(VLOOKUP(IFERROR(VLOOKUP(D393,Mapa_Similitud!$A$2:$B$2000,2,FALSE()),D393),Hoja1!$A$2:$K$1000,3,FALSE()),IFERROR(VLOOKUP(IFERROR(VLOOKUP(D393,Mapa_Similitud!$A$2:$B$2000,2,FALSE()),D393),Omega3_Referencia!$A$2:$E$100,4,FALSE()),"N/A"))</f>
        <v>EPA/DHA</v>
      </c>
      <c r="AX393" s="5">
        <f>IFERROR(VLOOKUP(IFERROR(VLOOKUP(D393,Mapa_Similitud!$A$2:$B$2000,2,FALSE()),D393),Hoja1!$A$2:$K$1000,5,FALSE()),0)</f>
        <v>0</v>
      </c>
      <c r="AY393" s="5">
        <f>IFERROR(VLOOKUP(IFERROR(VLOOKUP(D393,Mapa_Similitud!$A$2:$B$2000,2,FALSE()),D393),Hoja1!$A$2:$K$1000,7,FALSE()),0)</f>
        <v>0</v>
      </c>
      <c r="AZ393" s="5">
        <f>IFERROR(VLOOKUP(IFERROR(VLOOKUP(D393,Mapa_Similitud!$A$2:$B$2000,2,FALSE()),D393),Hoja1!$A$2:$K$1000,9,FALSE()),0)</f>
        <v>0</v>
      </c>
      <c r="BA393" s="25">
        <f t="shared" si="174"/>
        <v>0.20341047503045068</v>
      </c>
      <c r="BB393" s="25">
        <f t="shared" si="175"/>
        <v>0</v>
      </c>
      <c r="BC393" s="25">
        <f t="shared" si="176"/>
        <v>0.20706455542021926</v>
      </c>
      <c r="BD393" s="25">
        <f t="shared" si="177"/>
        <v>6.0901339829476254E-3</v>
      </c>
      <c r="BE393" s="25">
        <f t="shared" si="178"/>
        <v>1.3885505481120586</v>
      </c>
      <c r="BF393" s="25">
        <f t="shared" si="179"/>
        <v>1.0566037735849056</v>
      </c>
      <c r="BG393" s="25">
        <f t="shared" si="180"/>
        <v>0.1069182389937107</v>
      </c>
      <c r="BH393" s="25">
        <f t="shared" si="181"/>
        <v>0.31176470588235294</v>
      </c>
      <c r="BI393" s="25">
        <f t="shared" si="182"/>
        <v>0.39310344827586208</v>
      </c>
      <c r="BJ393" s="25">
        <f t="shared" si="183"/>
        <v>0</v>
      </c>
      <c r="BK393" s="25">
        <f t="shared" si="184"/>
        <v>0</v>
      </c>
      <c r="BL393" s="25">
        <f t="shared" si="185"/>
        <v>0.18635809987819732</v>
      </c>
      <c r="BM393" s="25">
        <f t="shared" si="186"/>
        <v>0.54811205846528632</v>
      </c>
      <c r="BN393" s="18" t="str">
        <f t="shared" si="192"/>
        <v>Muy alta fuente de proteína</v>
      </c>
      <c r="BO393" s="18" t="str">
        <f t="shared" si="193"/>
        <v>Baja fuente de fibra</v>
      </c>
      <c r="BP393" s="18" t="str">
        <f t="shared" si="194"/>
        <v>Baja fuente de calcio</v>
      </c>
      <c r="BQ393" s="18" t="str">
        <f t="shared" si="195"/>
        <v>Baja fuente de hierro</v>
      </c>
      <c r="BR393" s="18" t="str">
        <f t="shared" si="196"/>
        <v>Alto en sodio</v>
      </c>
      <c r="BS393" s="6" t="str">
        <f t="shared" si="187"/>
        <v>Ligeramente antiinflamatorio</v>
      </c>
      <c r="BT393" s="6" t="str">
        <f t="shared" si="188"/>
        <v>Bajo en grasas</v>
      </c>
      <c r="BU393" s="18" t="str">
        <f t="shared" si="197"/>
        <v>Equilibrio de líquidos ideal</v>
      </c>
      <c r="BV393" s="18" t="str">
        <f t="shared" si="198"/>
        <v>Alta fuente de magnesio</v>
      </c>
      <c r="BW393" s="18" t="str">
        <f t="shared" si="199"/>
        <v>Ligera fuente de Omega 3</v>
      </c>
      <c r="BX393" s="18" t="str">
        <f t="shared" si="200"/>
        <v>Libre de grasas trans</v>
      </c>
      <c r="BY393" s="18" t="str">
        <f t="shared" si="201"/>
        <v>Bajo poder antioxidante</v>
      </c>
      <c r="BZ393" s="6" t="str">
        <f t="shared" si="189"/>
        <v>Sin probióticos</v>
      </c>
      <c r="CA393" s="18" t="str">
        <f t="shared" si="202"/>
        <v>Poco inflamatorio</v>
      </c>
      <c r="CB393" s="18" t="str">
        <f>IF(ISNUMBER(SEARCH("miel", D393)), "No irritante (Uso condicionado SII)", IF(OR(J393&gt;0, ISNUMBER(SEARCH("cacao", D393)), ISNUMBER(SEARCH("chocolate puro", D393))), "Altamente irritante", IF(OR(AND(O393&gt;15, BI393&gt;1), ISNUMBER(SEARCH("chocolate", D393))), "Moderadamente irritante", "No irritante")))</f>
        <v>No irritante</v>
      </c>
      <c r="CC393" s="6" t="str">
        <f t="shared" si="190"/>
        <v>Balance de omegas favorable</v>
      </c>
    </row>
    <row r="394" spans="1:81" ht="15" customHeight="1" x14ac:dyDescent="0.3">
      <c r="A394" s="2">
        <f t="shared" si="191"/>
        <v>393</v>
      </c>
      <c r="B394" s="3" t="s">
        <v>488</v>
      </c>
      <c r="C394" s="3" t="s">
        <v>521</v>
      </c>
      <c r="D394" s="3" t="s">
        <v>536</v>
      </c>
      <c r="E394" s="3"/>
      <c r="F394" s="4">
        <v>2.5</v>
      </c>
      <c r="G394" s="5">
        <v>0.8</v>
      </c>
      <c r="H394" s="5">
        <v>70.5</v>
      </c>
      <c r="I394" s="5">
        <v>81.400000000000006</v>
      </c>
      <c r="J394" s="5">
        <v>0</v>
      </c>
      <c r="K394" s="5">
        <v>16.5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0.5</v>
      </c>
      <c r="R394" s="5">
        <v>0</v>
      </c>
      <c r="S394" s="5">
        <v>7.0000000000000007E-2</v>
      </c>
      <c r="T394" s="5">
        <v>0.17</v>
      </c>
      <c r="U394" s="5">
        <v>65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112</v>
      </c>
      <c r="AR394" s="5">
        <v>254</v>
      </c>
      <c r="AS394" s="5">
        <v>0</v>
      </c>
      <c r="AT394" s="5">
        <v>0</v>
      </c>
      <c r="AU394" s="5">
        <v>0</v>
      </c>
      <c r="AV394" s="5">
        <f>IFERROR(VLOOKUP(IFERROR(VLOOKUP(D394,Mapa_Similitud!$A$2:$B$2000,2,FALSE()),D394),Hoja1!$A$2:$K$1000,2,FALSE()),IFERROR(VLOOKUP(IFERROR(VLOOKUP(D394,Mapa_Similitud!$A$2:$B$2000,2,FALSE()),D394),Omega3_Referencia!$A$2:$E$100,3,FALSE()),0))</f>
        <v>0.3</v>
      </c>
      <c r="AW394" s="3" t="str">
        <f>IFERROR(VLOOKUP(IFERROR(VLOOKUP(D394,Mapa_Similitud!$A$2:$B$2000,2,FALSE()),D394),Hoja1!$A$2:$K$1000,3,FALSE()),IFERROR(VLOOKUP(IFERROR(VLOOKUP(D394,Mapa_Similitud!$A$2:$B$2000,2,FALSE()),D394),Omega3_Referencia!$A$2:$E$100,4,FALSE()),"N/A"))</f>
        <v>EPA/DHA</v>
      </c>
      <c r="AX394" s="5">
        <f>IFERROR(VLOOKUP(IFERROR(VLOOKUP(D394,Mapa_Similitud!$A$2:$B$2000,2,FALSE()),D394),Hoja1!$A$2:$K$1000,5,FALSE()),0)</f>
        <v>0</v>
      </c>
      <c r="AY394" s="5">
        <f>IFERROR(VLOOKUP(IFERROR(VLOOKUP(D394,Mapa_Similitud!$A$2:$B$2000,2,FALSE()),D394),Hoja1!$A$2:$K$1000,7,FALSE()),0)</f>
        <v>0</v>
      </c>
      <c r="AZ394" s="5">
        <f>IFERROR(VLOOKUP(IFERROR(VLOOKUP(D394,Mapa_Similitud!$A$2:$B$2000,2,FALSE()),D394),Hoja1!$A$2:$K$1000,9,FALSE()),0)</f>
        <v>0</v>
      </c>
      <c r="BA394" s="25">
        <f t="shared" si="174"/>
        <v>0.23404255319148937</v>
      </c>
      <c r="BB394" s="25">
        <f t="shared" si="175"/>
        <v>0</v>
      </c>
      <c r="BC394" s="25">
        <f t="shared" si="176"/>
        <v>0</v>
      </c>
      <c r="BD394" s="25">
        <f t="shared" si="177"/>
        <v>0</v>
      </c>
      <c r="BE394" s="25">
        <f t="shared" si="178"/>
        <v>1.5886524822695036</v>
      </c>
      <c r="BF394" s="25">
        <f t="shared" si="179"/>
        <v>0</v>
      </c>
      <c r="BG394" s="25">
        <f t="shared" si="180"/>
        <v>0</v>
      </c>
      <c r="BH394" s="25">
        <f t="shared" si="181"/>
        <v>0</v>
      </c>
      <c r="BI394" s="25">
        <f t="shared" si="182"/>
        <v>0.44094488188976377</v>
      </c>
      <c r="BJ394" s="25">
        <f t="shared" si="183"/>
        <v>0</v>
      </c>
      <c r="BK394" s="25">
        <f t="shared" si="184"/>
        <v>0</v>
      </c>
      <c r="BL394" s="25">
        <f t="shared" si="185"/>
        <v>6.3829787234042548E-2</v>
      </c>
      <c r="BM394" s="25">
        <f t="shared" si="186"/>
        <v>0</v>
      </c>
      <c r="BN394" s="18" t="str">
        <f t="shared" si="192"/>
        <v>Muy alta fuente de proteína</v>
      </c>
      <c r="BO394" s="18" t="str">
        <f t="shared" si="193"/>
        <v>Baja fuente de fibra</v>
      </c>
      <c r="BP394" s="18" t="str">
        <f t="shared" si="194"/>
        <v>Baja fuente de calcio</v>
      </c>
      <c r="BQ394" s="18" t="str">
        <f t="shared" si="195"/>
        <v>Baja fuente de hierro</v>
      </c>
      <c r="BR394" s="18" t="str">
        <f t="shared" si="196"/>
        <v>Alto en sodio</v>
      </c>
      <c r="BS394" s="6" t="str">
        <f t="shared" si="187"/>
        <v>Proinflamatorio</v>
      </c>
      <c r="BT394" s="6" t="str">
        <f t="shared" si="188"/>
        <v>Bajo en grasas</v>
      </c>
      <c r="BU394" s="18" t="str">
        <f t="shared" si="197"/>
        <v>Equilibrio de líquidos ideal</v>
      </c>
      <c r="BV394" s="18" t="str">
        <f t="shared" si="198"/>
        <v>Baja fuente de magnesio</v>
      </c>
      <c r="BW394" s="18" t="str">
        <f t="shared" si="199"/>
        <v>Ligera fuente de Omega 3</v>
      </c>
      <c r="BX394" s="18" t="str">
        <f t="shared" si="200"/>
        <v>Libre de grasas trans</v>
      </c>
      <c r="BY394" s="18" t="str">
        <f t="shared" si="201"/>
        <v>Bajo poder antioxidante</v>
      </c>
      <c r="BZ394" s="6" t="str">
        <f t="shared" si="189"/>
        <v>Sin probióticos</v>
      </c>
      <c r="CA394" s="18" t="str">
        <f t="shared" si="202"/>
        <v>Poco inflamatorio</v>
      </c>
      <c r="CB394" s="18" t="str">
        <f>IF(ISNUMBER(SEARCH("miel", D394)), "No irritante (Uso condicionado SII)", IF(OR(J394&gt;0, ISNUMBER(SEARCH("cacao", D394)), ISNUMBER(SEARCH("chocolate puro", D394))), "Altamente irritante", IF(OR(AND(O394&gt;15, BI394&gt;1), ISNUMBER(SEARCH("chocolate", D394))), "Moderadamente irritante", "No irritante")))</f>
        <v>No irritante</v>
      </c>
      <c r="CC394" s="6" t="str">
        <f t="shared" si="190"/>
        <v>Balance de omegas favorable</v>
      </c>
    </row>
    <row r="395" spans="1:81" ht="15" customHeight="1" x14ac:dyDescent="0.3">
      <c r="A395" s="2">
        <f t="shared" si="191"/>
        <v>394</v>
      </c>
      <c r="B395" s="3" t="s">
        <v>488</v>
      </c>
      <c r="C395" s="3" t="s">
        <v>537</v>
      </c>
      <c r="D395" s="3" t="s">
        <v>538</v>
      </c>
      <c r="E395" s="3"/>
      <c r="F395" s="4">
        <v>4.5</v>
      </c>
      <c r="G395" s="5">
        <v>1</v>
      </c>
      <c r="H395" s="5">
        <v>140</v>
      </c>
      <c r="I395" s="5">
        <v>67.7</v>
      </c>
      <c r="J395" s="5">
        <v>0</v>
      </c>
      <c r="K395" s="5">
        <v>25.4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4.3</v>
      </c>
      <c r="R395" s="5">
        <v>0.8</v>
      </c>
      <c r="S395" s="5">
        <v>1.8</v>
      </c>
      <c r="T395" s="5">
        <v>1.4</v>
      </c>
      <c r="U395" s="5">
        <v>35</v>
      </c>
      <c r="V395" s="5">
        <v>26</v>
      </c>
      <c r="W395" s="5">
        <v>26</v>
      </c>
      <c r="X395" s="5">
        <v>0</v>
      </c>
      <c r="Y395" s="5">
        <v>19</v>
      </c>
      <c r="Z395" s="5">
        <v>1.7</v>
      </c>
      <c r="AA395" s="5">
        <v>0.3</v>
      </c>
      <c r="AB395" s="5">
        <v>0.16</v>
      </c>
      <c r="AC395" s="5">
        <v>0.17</v>
      </c>
      <c r="AD395" s="5">
        <v>13.7</v>
      </c>
      <c r="AE395" s="5">
        <v>0.28000000000000003</v>
      </c>
      <c r="AF395" s="5">
        <v>2</v>
      </c>
      <c r="AG395" s="5">
        <v>3</v>
      </c>
      <c r="AH395" s="5">
        <v>0.8</v>
      </c>
      <c r="AI395" s="5">
        <v>0</v>
      </c>
      <c r="AJ395" s="5">
        <v>0</v>
      </c>
      <c r="AK395" s="5">
        <v>19</v>
      </c>
      <c r="AL395" s="5">
        <v>250</v>
      </c>
      <c r="AM395" s="5">
        <v>0.6</v>
      </c>
      <c r="AN395" s="5">
        <v>28</v>
      </c>
      <c r="AO395" s="5">
        <v>0.4</v>
      </c>
      <c r="AP395" s="5">
        <v>32</v>
      </c>
      <c r="AQ395" s="5">
        <v>1008</v>
      </c>
      <c r="AR395" s="5">
        <v>420</v>
      </c>
      <c r="AS395" s="5">
        <v>1.7000000000000001E-2</v>
      </c>
      <c r="AT395" s="5">
        <v>0.2</v>
      </c>
      <c r="AU395" s="5">
        <v>32.4</v>
      </c>
      <c r="AV395" s="5">
        <f>IFERROR(VLOOKUP(IFERROR(VLOOKUP(D395,Mapa_Similitud!$A$2:$B$2000,2,FALSE()),D395),Hoja1!$A$2:$K$1000,2,FALSE()),IFERROR(VLOOKUP(IFERROR(VLOOKUP(D395,Mapa_Similitud!$A$2:$B$2000,2,FALSE()),D395),Omega3_Referencia!$A$2:$E$100,3,FALSE()),0))</f>
        <v>1.8</v>
      </c>
      <c r="AW395" s="3" t="str">
        <f>IFERROR(VLOOKUP(IFERROR(VLOOKUP(D395,Mapa_Similitud!$A$2:$B$2000,2,FALSE()),D395),Hoja1!$A$2:$K$1000,3,FALSE()),IFERROR(VLOOKUP(IFERROR(VLOOKUP(D395,Mapa_Similitud!$A$2:$B$2000,2,FALSE()),D395),Omega3_Referencia!$A$2:$E$100,4,FALSE()),"N/A"))</f>
        <v>EPA+DHA</v>
      </c>
      <c r="AX395" s="5">
        <f>IFERROR(VLOOKUP(IFERROR(VLOOKUP(D395,Mapa_Similitud!$A$2:$B$2000,2,FALSE()),D395),Hoja1!$A$2:$K$1000,5,FALSE()),0)</f>
        <v>0</v>
      </c>
      <c r="AY395" s="5">
        <f>IFERROR(VLOOKUP(IFERROR(VLOOKUP(D395,Mapa_Similitud!$A$2:$B$2000,2,FALSE()),D395),Hoja1!$A$2:$K$1000,7,FALSE()),0)</f>
        <v>0</v>
      </c>
      <c r="AZ395" s="5">
        <f>IFERROR(VLOOKUP(IFERROR(VLOOKUP(D395,Mapa_Similitud!$A$2:$B$2000,2,FALSE()),D395),Hoja1!$A$2:$K$1000,9,FALSE()),0)</f>
        <v>0</v>
      </c>
      <c r="BA395" s="25">
        <f t="shared" si="174"/>
        <v>0.18142857142857141</v>
      </c>
      <c r="BB395" s="25">
        <f t="shared" si="175"/>
        <v>0</v>
      </c>
      <c r="BC395" s="25">
        <f t="shared" si="176"/>
        <v>0.1357142857142857</v>
      </c>
      <c r="BD395" s="25">
        <f t="shared" si="177"/>
        <v>4.2857142857142859E-3</v>
      </c>
      <c r="BE395" s="25">
        <f t="shared" si="178"/>
        <v>7.2</v>
      </c>
      <c r="BF395" s="25">
        <f t="shared" si="179"/>
        <v>1.7499999999999998</v>
      </c>
      <c r="BG395" s="25">
        <f t="shared" si="180"/>
        <v>7.5999999999999998E-2</v>
      </c>
      <c r="BH395" s="25">
        <f t="shared" si="181"/>
        <v>0.186046511627907</v>
      </c>
      <c r="BI395" s="25">
        <f t="shared" si="182"/>
        <v>2.4</v>
      </c>
      <c r="BJ395" s="25">
        <f t="shared" si="183"/>
        <v>0</v>
      </c>
      <c r="BK395" s="25">
        <f t="shared" si="184"/>
        <v>0</v>
      </c>
      <c r="BL395" s="25">
        <f t="shared" si="185"/>
        <v>0.27642857142857141</v>
      </c>
      <c r="BM395" s="25">
        <f t="shared" si="186"/>
        <v>0.22857142857142856</v>
      </c>
      <c r="BN395" s="18" t="str">
        <f t="shared" si="192"/>
        <v>Alta fuente de proteína</v>
      </c>
      <c r="BO395" s="18" t="str">
        <f t="shared" si="193"/>
        <v>Baja fuente de fibra</v>
      </c>
      <c r="BP395" s="18" t="str">
        <f t="shared" si="194"/>
        <v>Baja fuente de calcio</v>
      </c>
      <c r="BQ395" s="18" t="str">
        <f t="shared" si="195"/>
        <v>Baja fuente de hierro</v>
      </c>
      <c r="BR395" s="18" t="str">
        <f t="shared" si="196"/>
        <v>Muy alto en sodio</v>
      </c>
      <c r="BS395" s="6" t="str">
        <f t="shared" si="187"/>
        <v>Ligeramente antiinflamatorio</v>
      </c>
      <c r="BT395" s="6" t="str">
        <f t="shared" si="188"/>
        <v>Moderado en grasas</v>
      </c>
      <c r="BU395" s="18" t="str">
        <f t="shared" si="197"/>
        <v>Alto riesgo de retención de líquidos</v>
      </c>
      <c r="BV395" s="18" t="str">
        <f t="shared" si="198"/>
        <v>Media fuente de magnesio</v>
      </c>
      <c r="BW395" s="18" t="str">
        <f t="shared" si="199"/>
        <v>Alta fuente de Omega 3</v>
      </c>
      <c r="BX395" s="18" t="str">
        <f t="shared" si="200"/>
        <v>Libre de grasas trans</v>
      </c>
      <c r="BY395" s="18" t="str">
        <f t="shared" si="201"/>
        <v>Bajo poder antioxidante</v>
      </c>
      <c r="BZ395" s="6" t="str">
        <f t="shared" si="189"/>
        <v>Sin probióticos</v>
      </c>
      <c r="CA395" s="18" t="str">
        <f t="shared" si="202"/>
        <v>Antiinflamatorio</v>
      </c>
      <c r="CB395" s="18" t="str">
        <f>IF(ISNUMBER(SEARCH("miel", D395)), "No irritante (Uso condicionado SII)", IF(OR(J395&gt;0, ISNUMBER(SEARCH("cacao", D395)), ISNUMBER(SEARCH("chocolate puro", D395))), "Altamente irritante", IF(OR(AND(O395&gt;15, BI395&gt;1), ISNUMBER(SEARCH("chocolate", D395))), "Moderadamente irritante", "No irritante")))</f>
        <v>No irritante</v>
      </c>
      <c r="CC395" s="6" t="str">
        <f t="shared" si="190"/>
        <v>Balance de omegas favorable</v>
      </c>
    </row>
    <row r="396" spans="1:81" ht="15" customHeight="1" x14ac:dyDescent="0.3">
      <c r="A396" s="2">
        <f t="shared" si="191"/>
        <v>395</v>
      </c>
      <c r="B396" s="3" t="s">
        <v>488</v>
      </c>
      <c r="C396" s="3" t="s">
        <v>539</v>
      </c>
      <c r="D396" s="3" t="s">
        <v>540</v>
      </c>
      <c r="E396" s="3"/>
      <c r="F396" s="4">
        <v>0.45</v>
      </c>
      <c r="G396" s="5">
        <v>1</v>
      </c>
      <c r="H396" s="5">
        <v>253</v>
      </c>
      <c r="I396" s="5">
        <v>55.8</v>
      </c>
      <c r="J396" s="5">
        <v>0</v>
      </c>
      <c r="K396" s="5">
        <v>28.6</v>
      </c>
      <c r="L396" s="5">
        <v>0.37</v>
      </c>
      <c r="M396" s="5">
        <v>0</v>
      </c>
      <c r="N396" s="5">
        <v>0.37</v>
      </c>
      <c r="O396" s="5">
        <v>0</v>
      </c>
      <c r="P396" s="5">
        <v>0</v>
      </c>
      <c r="Q396" s="5">
        <v>15.2</v>
      </c>
      <c r="R396" s="5">
        <v>2.8</v>
      </c>
      <c r="S396" s="5">
        <v>2.8</v>
      </c>
      <c r="T396" s="5">
        <v>8.3000000000000007</v>
      </c>
      <c r="U396" s="5">
        <v>70.599999999999994</v>
      </c>
      <c r="V396" s="5">
        <v>67.400000000000006</v>
      </c>
      <c r="W396" s="5">
        <v>67.400000000000006</v>
      </c>
      <c r="X396" s="5">
        <v>0</v>
      </c>
      <c r="Y396" s="5">
        <v>11.8</v>
      </c>
      <c r="Z396" s="5">
        <v>0.98</v>
      </c>
      <c r="AA396" s="5">
        <v>0.04</v>
      </c>
      <c r="AB396" s="5">
        <v>0.06</v>
      </c>
      <c r="AC396" s="5">
        <v>0.21</v>
      </c>
      <c r="AD396" s="5">
        <v>9.1</v>
      </c>
      <c r="AE396" s="5">
        <v>0.19</v>
      </c>
      <c r="AF396" s="5">
        <v>18.5</v>
      </c>
      <c r="AG396" s="5">
        <v>3.4</v>
      </c>
      <c r="AH396" s="5">
        <v>0.9</v>
      </c>
      <c r="AI396" s="5">
        <v>0</v>
      </c>
      <c r="AJ396" s="5">
        <v>0</v>
      </c>
      <c r="AK396" s="5">
        <v>273</v>
      </c>
      <c r="AL396" s="5">
        <v>300</v>
      </c>
      <c r="AM396" s="5">
        <v>4.2</v>
      </c>
      <c r="AN396" s="5">
        <v>18.8</v>
      </c>
      <c r="AO396" s="5">
        <v>3.4</v>
      </c>
      <c r="AP396" s="5">
        <v>54.8</v>
      </c>
      <c r="AQ396" s="5">
        <v>4348</v>
      </c>
      <c r="AR396" s="5">
        <v>230</v>
      </c>
      <c r="AS396" s="5">
        <v>0.18</v>
      </c>
      <c r="AT396" s="5">
        <v>0.17</v>
      </c>
      <c r="AU396" s="5">
        <v>68.099999999999994</v>
      </c>
      <c r="AV396" s="5">
        <f>IFERROR(VLOOKUP(IFERROR(VLOOKUP(D396,Mapa_Similitud!$A$2:$B$2000,2,FALSE()),D396),Hoja1!$A$2:$K$1000,2,FALSE()),IFERROR(VLOOKUP(IFERROR(VLOOKUP(D396,Mapa_Similitud!$A$2:$B$2000,2,FALSE()),D396),Omega3_Referencia!$A$2:$E$100,3,FALSE()),0))</f>
        <v>1.2</v>
      </c>
      <c r="AW396" s="3" t="str">
        <f>IFERROR(VLOOKUP(IFERROR(VLOOKUP(D396,Mapa_Similitud!$A$2:$B$2000,2,FALSE()),D396),Hoja1!$A$2:$K$1000,3,FALSE()),IFERROR(VLOOKUP(IFERROR(VLOOKUP(D396,Mapa_Similitud!$A$2:$B$2000,2,FALSE()),D396),Omega3_Referencia!$A$2:$E$100,4,FALSE()),"N/A"))</f>
        <v>EPA/DHA</v>
      </c>
      <c r="AX396" s="5">
        <f>IFERROR(VLOOKUP(IFERROR(VLOOKUP(D396,Mapa_Similitud!$A$2:$B$2000,2,FALSE()),D396),Hoja1!$A$2:$K$1000,5,FALSE()),0)</f>
        <v>0</v>
      </c>
      <c r="AY396" s="5">
        <f>IFERROR(VLOOKUP(IFERROR(VLOOKUP(D396,Mapa_Similitud!$A$2:$B$2000,2,FALSE()),D396),Hoja1!$A$2:$K$1000,7,FALSE()),0)</f>
        <v>0</v>
      </c>
      <c r="AZ396" s="5">
        <f>IFERROR(VLOOKUP(IFERROR(VLOOKUP(D396,Mapa_Similitud!$A$2:$B$2000,2,FALSE()),D396),Hoja1!$A$2:$K$1000,9,FALSE()),0)</f>
        <v>0</v>
      </c>
      <c r="BA396" s="25">
        <f t="shared" si="174"/>
        <v>0.11304347826086956</v>
      </c>
      <c r="BB396" s="25">
        <f t="shared" si="175"/>
        <v>0</v>
      </c>
      <c r="BC396" s="25">
        <f t="shared" si="176"/>
        <v>1.0790513833992095</v>
      </c>
      <c r="BD396" s="25">
        <f t="shared" si="177"/>
        <v>1.6600790513833993E-2</v>
      </c>
      <c r="BE396" s="25">
        <f t="shared" si="178"/>
        <v>17.185770750988141</v>
      </c>
      <c r="BF396" s="25">
        <f t="shared" si="179"/>
        <v>2.9642857142857149</v>
      </c>
      <c r="BG396" s="25">
        <f t="shared" si="180"/>
        <v>0.91</v>
      </c>
      <c r="BH396" s="25">
        <f t="shared" si="181"/>
        <v>0.18421052631578946</v>
      </c>
      <c r="BI396" s="25">
        <f t="shared" si="182"/>
        <v>18.904347826086955</v>
      </c>
      <c r="BJ396" s="25">
        <f t="shared" si="183"/>
        <v>1</v>
      </c>
      <c r="BK396" s="25">
        <f t="shared" si="184"/>
        <v>0</v>
      </c>
      <c r="BL396" s="25">
        <f t="shared" si="185"/>
        <v>0.54071146245059287</v>
      </c>
      <c r="BM396" s="25">
        <f t="shared" si="186"/>
        <v>0.21660079051383399</v>
      </c>
      <c r="BN396" s="18" t="str">
        <f t="shared" si="192"/>
        <v>Media fuente de proteína</v>
      </c>
      <c r="BO396" s="18" t="str">
        <f t="shared" si="193"/>
        <v>Baja fuente de fibra</v>
      </c>
      <c r="BP396" s="18" t="str">
        <f t="shared" si="194"/>
        <v>Media fuente de calcio</v>
      </c>
      <c r="BQ396" s="18" t="str">
        <f t="shared" si="195"/>
        <v>Alta fuente de hierro</v>
      </c>
      <c r="BR396" s="18" t="str">
        <f t="shared" si="196"/>
        <v>Muy alto en sodio</v>
      </c>
      <c r="BS396" s="6" t="str">
        <f t="shared" si="187"/>
        <v>Altamente antiinflamatorio</v>
      </c>
      <c r="BT396" s="6" t="str">
        <f t="shared" si="188"/>
        <v>Muy alto en grasas</v>
      </c>
      <c r="BU396" s="18" t="str">
        <f t="shared" si="197"/>
        <v>Alto riesgo de retención de líquidos</v>
      </c>
      <c r="BV396" s="18" t="str">
        <f t="shared" si="198"/>
        <v>Media fuente de magnesio</v>
      </c>
      <c r="BW396" s="18" t="str">
        <f t="shared" si="199"/>
        <v>Alta fuente de Omega 3</v>
      </c>
      <c r="BX396" s="18" t="str">
        <f t="shared" si="200"/>
        <v>Libre de grasas trans</v>
      </c>
      <c r="BY396" s="18" t="str">
        <f t="shared" si="201"/>
        <v>Bajo poder antioxidante</v>
      </c>
      <c r="BZ396" s="6" t="str">
        <f t="shared" si="189"/>
        <v>Sin probióticos</v>
      </c>
      <c r="CA396" s="18" t="str">
        <f t="shared" si="202"/>
        <v>Antiinflamatorio</v>
      </c>
      <c r="CB396" s="18" t="str">
        <f>IF(ISNUMBER(SEARCH("miel", D396)), "No irritante (Uso condicionado SII)", IF(OR(J396&gt;0, ISNUMBER(SEARCH("cacao", D396)), ISNUMBER(SEARCH("chocolate puro", D396))), "Altamente irritante", IF(OR(AND(O396&gt;15, BI396&gt;1), ISNUMBER(SEARCH("chocolate", D396))), "Moderadamente irritante", "No irritante")))</f>
        <v>No irritante</v>
      </c>
      <c r="CC396" s="6" t="str">
        <f t="shared" si="190"/>
        <v>Exceso relativo de Omega 6</v>
      </c>
    </row>
    <row r="397" spans="1:81" ht="15" customHeight="1" x14ac:dyDescent="0.3">
      <c r="A397" s="2">
        <f t="shared" si="191"/>
        <v>396</v>
      </c>
      <c r="B397" s="3" t="s">
        <v>488</v>
      </c>
      <c r="C397" s="3" t="s">
        <v>539</v>
      </c>
      <c r="D397" s="3" t="s">
        <v>541</v>
      </c>
      <c r="E397" s="3"/>
      <c r="F397" s="4">
        <v>0.6</v>
      </c>
      <c r="G397" s="5">
        <v>1</v>
      </c>
      <c r="H397" s="5">
        <v>99.4</v>
      </c>
      <c r="I397" s="5">
        <v>75.900000000000006</v>
      </c>
      <c r="J397" s="5">
        <v>0</v>
      </c>
      <c r="K397" s="5">
        <v>23.5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0.6</v>
      </c>
      <c r="R397" s="5">
        <v>0.2</v>
      </c>
      <c r="S397" s="5">
        <v>0.1</v>
      </c>
      <c r="T397" s="5">
        <v>0.2</v>
      </c>
      <c r="U397" s="5">
        <v>51</v>
      </c>
      <c r="V397" s="5">
        <v>17</v>
      </c>
      <c r="W397" s="5">
        <v>17</v>
      </c>
      <c r="X397" s="5">
        <v>0</v>
      </c>
      <c r="Y397" s="5">
        <v>4</v>
      </c>
      <c r="Z397" s="5">
        <v>0.55000000000000004</v>
      </c>
      <c r="AA397" s="5">
        <v>0.03</v>
      </c>
      <c r="AB397" s="5">
        <v>0.02</v>
      </c>
      <c r="AC397" s="5">
        <v>0.11</v>
      </c>
      <c r="AD397" s="5">
        <v>18.8</v>
      </c>
      <c r="AE397" s="5">
        <v>0.47</v>
      </c>
      <c r="AF397" s="5">
        <v>7</v>
      </c>
      <c r="AG397" s="5">
        <v>4</v>
      </c>
      <c r="AH397" s="5">
        <v>0.21</v>
      </c>
      <c r="AI397" s="5">
        <v>0</v>
      </c>
      <c r="AJ397" s="5">
        <v>0</v>
      </c>
      <c r="AK397" s="5">
        <v>28</v>
      </c>
      <c r="AL397" s="5">
        <v>170</v>
      </c>
      <c r="AM397" s="5">
        <v>1</v>
      </c>
      <c r="AN397" s="5">
        <v>13</v>
      </c>
      <c r="AO397" s="5">
        <v>0.7</v>
      </c>
      <c r="AP397" s="5">
        <v>27</v>
      </c>
      <c r="AQ397" s="5">
        <v>320</v>
      </c>
      <c r="AR397" s="5">
        <v>230</v>
      </c>
      <c r="AS397" s="5">
        <v>1.0999999999999999E-2</v>
      </c>
      <c r="AT397" s="5">
        <v>5.0999999999999997E-2</v>
      </c>
      <c r="AU397" s="5">
        <v>80.400000000000006</v>
      </c>
      <c r="AV397" s="5">
        <f>IFERROR(VLOOKUP(IFERROR(VLOOKUP(D397,Mapa_Similitud!$A$2:$B$2000,2,FALSE()),D397),Hoja1!$A$2:$K$1000,2,FALSE()),IFERROR(VLOOKUP(IFERROR(VLOOKUP(D397,Mapa_Similitud!$A$2:$B$2000,2,FALSE()),D397),Omega3_Referencia!$A$2:$E$100,3,FALSE()),0))</f>
        <v>0.26</v>
      </c>
      <c r="AW397" s="3" t="str">
        <f>IFERROR(VLOOKUP(IFERROR(VLOOKUP(D397,Mapa_Similitud!$A$2:$B$2000,2,FALSE()),D397),Hoja1!$A$2:$K$1000,3,FALSE()),IFERROR(VLOOKUP(IFERROR(VLOOKUP(D397,Mapa_Similitud!$A$2:$B$2000,2,FALSE()),D397),Omega3_Referencia!$A$2:$E$100,4,FALSE()),"N/A"))</f>
        <v>EPA/DHA</v>
      </c>
      <c r="AX397" s="5">
        <f>IFERROR(VLOOKUP(IFERROR(VLOOKUP(D397,Mapa_Similitud!$A$2:$B$2000,2,FALSE()),D397),Hoja1!$A$2:$K$1000,5,FALSE()),0)</f>
        <v>0</v>
      </c>
      <c r="AY397" s="5">
        <f>IFERROR(VLOOKUP(IFERROR(VLOOKUP(D397,Mapa_Similitud!$A$2:$B$2000,2,FALSE()),D397),Hoja1!$A$2:$K$1000,7,FALSE()),0)</f>
        <v>0</v>
      </c>
      <c r="AZ397" s="5">
        <f>IFERROR(VLOOKUP(IFERROR(VLOOKUP(D397,Mapa_Similitud!$A$2:$B$2000,2,FALSE()),D397),Hoja1!$A$2:$K$1000,9,FALSE()),0)</f>
        <v>0</v>
      </c>
      <c r="BA397" s="25">
        <f t="shared" si="174"/>
        <v>0.23641851106639838</v>
      </c>
      <c r="BB397" s="25">
        <f t="shared" si="175"/>
        <v>0</v>
      </c>
      <c r="BC397" s="25">
        <f t="shared" si="176"/>
        <v>0.28169014084507038</v>
      </c>
      <c r="BD397" s="25">
        <f t="shared" si="177"/>
        <v>1.0060362173038229E-2</v>
      </c>
      <c r="BE397" s="25">
        <f t="shared" si="178"/>
        <v>3.2193158953722332</v>
      </c>
      <c r="BF397" s="25">
        <f t="shared" si="179"/>
        <v>1</v>
      </c>
      <c r="BG397" s="25">
        <f t="shared" si="180"/>
        <v>0.16470588235294117</v>
      </c>
      <c r="BH397" s="25">
        <f t="shared" si="181"/>
        <v>0.33333333333333337</v>
      </c>
      <c r="BI397" s="25">
        <f t="shared" si="182"/>
        <v>1.3913043478260869</v>
      </c>
      <c r="BJ397" s="25">
        <f t="shared" si="183"/>
        <v>0</v>
      </c>
      <c r="BK397" s="25">
        <f t="shared" si="184"/>
        <v>0</v>
      </c>
      <c r="BL397" s="25">
        <f t="shared" si="185"/>
        <v>5.4325955734406427E-2</v>
      </c>
      <c r="BM397" s="25">
        <f t="shared" si="186"/>
        <v>0.2716297786720322</v>
      </c>
      <c r="BN397" s="18" t="str">
        <f t="shared" si="192"/>
        <v>Muy alta fuente de proteína</v>
      </c>
      <c r="BO397" s="18" t="str">
        <f t="shared" si="193"/>
        <v>Baja fuente de fibra</v>
      </c>
      <c r="BP397" s="18" t="str">
        <f t="shared" si="194"/>
        <v>Baja fuente de calcio</v>
      </c>
      <c r="BQ397" s="18" t="str">
        <f t="shared" si="195"/>
        <v>Media fuente de hierro</v>
      </c>
      <c r="BR397" s="18" t="str">
        <f t="shared" si="196"/>
        <v>Muy alto en sodio</v>
      </c>
      <c r="BS397" s="6" t="str">
        <f t="shared" si="187"/>
        <v>Neutro</v>
      </c>
      <c r="BT397" s="6" t="str">
        <f t="shared" si="188"/>
        <v>Bajo en grasas</v>
      </c>
      <c r="BU397" s="18" t="str">
        <f t="shared" si="197"/>
        <v>Alto riesgo de retención de líquidos</v>
      </c>
      <c r="BV397" s="18" t="str">
        <f t="shared" si="198"/>
        <v>Media fuente de magnesio</v>
      </c>
      <c r="BW397" s="18" t="str">
        <f t="shared" si="199"/>
        <v>Ligera fuente de Omega 3</v>
      </c>
      <c r="BX397" s="18" t="str">
        <f t="shared" si="200"/>
        <v>Libre de grasas trans</v>
      </c>
      <c r="BY397" s="18" t="str">
        <f t="shared" si="201"/>
        <v>Bajo poder antioxidante</v>
      </c>
      <c r="BZ397" s="6" t="str">
        <f t="shared" si="189"/>
        <v>Sin probióticos</v>
      </c>
      <c r="CA397" s="18" t="str">
        <f t="shared" si="202"/>
        <v>Poco inflamatorio</v>
      </c>
      <c r="CB397" s="18" t="str">
        <f>IF(ISNUMBER(SEARCH("miel", D397)), "No irritante (Uso condicionado SII)", IF(OR(J397&gt;0, ISNUMBER(SEARCH("cacao", D397)), ISNUMBER(SEARCH("chocolate puro", D397))), "Altamente irritante", IF(OR(AND(O397&gt;15, BI397&gt;1), ISNUMBER(SEARCH("chocolate", D397))), "Moderadamente irritante", "No irritante")))</f>
        <v>No irritante</v>
      </c>
      <c r="CC397" s="6" t="str">
        <f t="shared" si="190"/>
        <v>Balance de omegas favorable</v>
      </c>
    </row>
    <row r="398" spans="1:81" ht="15" customHeight="1" x14ac:dyDescent="0.3">
      <c r="A398" s="2">
        <f t="shared" si="191"/>
        <v>397</v>
      </c>
      <c r="B398" s="3" t="s">
        <v>488</v>
      </c>
      <c r="C398" s="3" t="s">
        <v>539</v>
      </c>
      <c r="D398" s="3" t="s">
        <v>542</v>
      </c>
      <c r="E398" s="3"/>
      <c r="F398" s="4">
        <v>3</v>
      </c>
      <c r="G398" s="5">
        <v>1</v>
      </c>
      <c r="H398" s="5">
        <v>208</v>
      </c>
      <c r="I398" s="5">
        <v>60.8</v>
      </c>
      <c r="J398" s="5">
        <v>0</v>
      </c>
      <c r="K398" s="5">
        <v>24.8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12.1</v>
      </c>
      <c r="R398" s="5">
        <v>1.8</v>
      </c>
      <c r="S398" s="5">
        <v>3.6</v>
      </c>
      <c r="T398" s="5">
        <v>5.6</v>
      </c>
      <c r="U398" s="5">
        <v>39.799999999999997</v>
      </c>
      <c r="V398" s="5">
        <v>62.2</v>
      </c>
      <c r="W398" s="5">
        <v>62.2</v>
      </c>
      <c r="X398" s="5">
        <v>0</v>
      </c>
      <c r="Y398" s="5">
        <v>4.9000000000000004</v>
      </c>
      <c r="Z398" s="5">
        <v>6.3</v>
      </c>
      <c r="AA398" s="5">
        <v>0.04</v>
      </c>
      <c r="AB398" s="5">
        <v>0.1</v>
      </c>
      <c r="AC398" s="5">
        <v>0.1</v>
      </c>
      <c r="AD398" s="5">
        <v>18.2</v>
      </c>
      <c r="AE398" s="5">
        <v>0.42</v>
      </c>
      <c r="AF398" s="5">
        <v>16.8</v>
      </c>
      <c r="AG398" s="5">
        <v>5</v>
      </c>
      <c r="AH398" s="5">
        <v>0.22</v>
      </c>
      <c r="AI398" s="5">
        <v>2.1</v>
      </c>
      <c r="AJ398" s="5">
        <v>0</v>
      </c>
      <c r="AK398" s="5">
        <v>27.7</v>
      </c>
      <c r="AL398" s="5">
        <v>200</v>
      </c>
      <c r="AM398" s="5">
        <v>1.2</v>
      </c>
      <c r="AN398" s="5">
        <v>34.200000000000003</v>
      </c>
      <c r="AO398" s="5">
        <v>0.3</v>
      </c>
      <c r="AP398" s="5">
        <v>28.2</v>
      </c>
      <c r="AQ398" s="5">
        <v>360</v>
      </c>
      <c r="AR398" s="5">
        <v>248</v>
      </c>
      <c r="AS398" s="5">
        <v>1.6E-2</v>
      </c>
      <c r="AT398" s="5">
        <v>0.23</v>
      </c>
      <c r="AU398" s="5">
        <v>90</v>
      </c>
      <c r="AV398" s="5">
        <f>IFERROR(VLOOKUP(IFERROR(VLOOKUP(D398,Mapa_Similitud!$A$2:$B$2000,2,FALSE()),D398),Hoja1!$A$2:$K$1000,2,FALSE()),IFERROR(VLOOKUP(IFERROR(VLOOKUP(D398,Mapa_Similitud!$A$2:$B$2000,2,FALSE()),D398),Omega3_Referencia!$A$2:$E$100,3,FALSE()),0))</f>
        <v>0.23</v>
      </c>
      <c r="AW398" s="3" t="str">
        <f>IFERROR(VLOOKUP(IFERROR(VLOOKUP(D398,Mapa_Similitud!$A$2:$B$2000,2,FALSE()),D398),Hoja1!$A$2:$K$1000,3,FALSE()),IFERROR(VLOOKUP(IFERROR(VLOOKUP(D398,Mapa_Similitud!$A$2:$B$2000,2,FALSE()),D398),Omega3_Referencia!$A$2:$E$100,4,FALSE()),"N/A"))</f>
        <v>EPA+DHA</v>
      </c>
      <c r="AX398" s="5">
        <f>IFERROR(VLOOKUP(IFERROR(VLOOKUP(D398,Mapa_Similitud!$A$2:$B$2000,2,FALSE()),D398),Hoja1!$A$2:$K$1000,5,FALSE()),0)</f>
        <v>0</v>
      </c>
      <c r="AY398" s="5">
        <f>IFERROR(VLOOKUP(IFERROR(VLOOKUP(D398,Mapa_Similitud!$A$2:$B$2000,2,FALSE()),D398),Hoja1!$A$2:$K$1000,7,FALSE()),0)</f>
        <v>0</v>
      </c>
      <c r="AZ398" s="5">
        <f>IFERROR(VLOOKUP(IFERROR(VLOOKUP(D398,Mapa_Similitud!$A$2:$B$2000,2,FALSE()),D398),Hoja1!$A$2:$K$1000,9,FALSE()),0)</f>
        <v>0</v>
      </c>
      <c r="BA398" s="25">
        <f t="shared" si="174"/>
        <v>0.11923076923076924</v>
      </c>
      <c r="BB398" s="25">
        <f t="shared" si="175"/>
        <v>0</v>
      </c>
      <c r="BC398" s="25">
        <f t="shared" si="176"/>
        <v>0.13317307692307692</v>
      </c>
      <c r="BD398" s="25">
        <f t="shared" si="177"/>
        <v>5.7692307692307687E-3</v>
      </c>
      <c r="BE398" s="25">
        <f t="shared" si="178"/>
        <v>1.7307692307692308</v>
      </c>
      <c r="BF398" s="25">
        <f t="shared" si="179"/>
        <v>3.1111111111111107</v>
      </c>
      <c r="BG398" s="25">
        <f t="shared" si="180"/>
        <v>0.13849999999999998</v>
      </c>
      <c r="BH398" s="25">
        <f t="shared" si="181"/>
        <v>0.1487603305785124</v>
      </c>
      <c r="BI398" s="25">
        <f t="shared" si="182"/>
        <v>1.4516129032258065</v>
      </c>
      <c r="BJ398" s="25">
        <f t="shared" si="183"/>
        <v>0</v>
      </c>
      <c r="BK398" s="25">
        <f t="shared" si="184"/>
        <v>0</v>
      </c>
      <c r="BL398" s="25">
        <f t="shared" si="185"/>
        <v>0.52355769230769222</v>
      </c>
      <c r="BM398" s="25">
        <f t="shared" si="186"/>
        <v>0.13557692307692307</v>
      </c>
      <c r="BN398" s="18" t="str">
        <f t="shared" si="192"/>
        <v>Media fuente de proteína</v>
      </c>
      <c r="BO398" s="18" t="str">
        <f t="shared" si="193"/>
        <v>Baja fuente de fibra</v>
      </c>
      <c r="BP398" s="18" t="str">
        <f t="shared" si="194"/>
        <v>Baja fuente de calcio</v>
      </c>
      <c r="BQ398" s="18" t="str">
        <f t="shared" si="195"/>
        <v>Baja fuente de hierro</v>
      </c>
      <c r="BR398" s="18" t="str">
        <f t="shared" si="196"/>
        <v>Alto en sodio</v>
      </c>
      <c r="BS398" s="6" t="str">
        <f t="shared" si="187"/>
        <v>Altamente antiinflamatorio</v>
      </c>
      <c r="BT398" s="6" t="str">
        <f t="shared" si="188"/>
        <v>Muy alto en grasas</v>
      </c>
      <c r="BU398" s="18" t="str">
        <f t="shared" si="197"/>
        <v>Alto riesgo de retención de líquidos</v>
      </c>
      <c r="BV398" s="18" t="str">
        <f t="shared" si="198"/>
        <v>Baja fuente de magnesio</v>
      </c>
      <c r="BW398" s="18" t="str">
        <f t="shared" si="199"/>
        <v>Ligera fuente de Omega 3</v>
      </c>
      <c r="BX398" s="18" t="str">
        <f t="shared" si="200"/>
        <v>Libre de grasas trans</v>
      </c>
      <c r="BY398" s="18" t="str">
        <f t="shared" si="201"/>
        <v>Bajo poder antioxidante</v>
      </c>
      <c r="BZ398" s="6" t="str">
        <f t="shared" si="189"/>
        <v>Sin probióticos</v>
      </c>
      <c r="CA398" s="18" t="str">
        <f t="shared" si="202"/>
        <v>Poco inflamatorio</v>
      </c>
      <c r="CB398" s="18" t="str">
        <f>IF(ISNUMBER(SEARCH("miel", D398)), "No irritante (Uso condicionado SII)", IF(OR(J398&gt;0, ISNUMBER(SEARCH("cacao", D398)), ISNUMBER(SEARCH("chocolate puro", D398))), "Altamente irritante", IF(OR(AND(O398&gt;15, BI398&gt;1), ISNUMBER(SEARCH("chocolate", D398))), "Moderadamente irritante", "No irritante")))</f>
        <v>No irritante</v>
      </c>
      <c r="CC398" s="6" t="str">
        <f t="shared" si="190"/>
        <v>Exceso relativo de Omega 6</v>
      </c>
    </row>
    <row r="399" spans="1:81" ht="15" customHeight="1" x14ac:dyDescent="0.3">
      <c r="A399" s="2">
        <f t="shared" si="191"/>
        <v>398</v>
      </c>
      <c r="B399" s="3" t="s">
        <v>488</v>
      </c>
      <c r="C399" s="3" t="s">
        <v>539</v>
      </c>
      <c r="D399" s="3" t="s">
        <v>543</v>
      </c>
      <c r="E399" s="3"/>
      <c r="F399" s="4">
        <v>4</v>
      </c>
      <c r="G399" s="5">
        <v>1</v>
      </c>
      <c r="H399" s="5">
        <v>99.4</v>
      </c>
      <c r="I399" s="5">
        <v>75.900000000000006</v>
      </c>
      <c r="J399" s="5">
        <v>0</v>
      </c>
      <c r="K399" s="5">
        <v>23.5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0.6</v>
      </c>
      <c r="R399" s="5">
        <v>0.23</v>
      </c>
      <c r="S399" s="5">
        <v>0.1</v>
      </c>
      <c r="T399" s="5">
        <v>0.21</v>
      </c>
      <c r="U399" s="5">
        <v>51</v>
      </c>
      <c r="V399" s="5">
        <v>65</v>
      </c>
      <c r="W399" s="5">
        <v>65</v>
      </c>
      <c r="X399" s="5">
        <v>0</v>
      </c>
      <c r="Y399" s="5">
        <v>4</v>
      </c>
      <c r="Z399" s="5">
        <v>0.55000000000000004</v>
      </c>
      <c r="AA399" s="5">
        <v>0.03</v>
      </c>
      <c r="AB399" s="5">
        <v>0.02</v>
      </c>
      <c r="AC399" s="5">
        <v>0.11</v>
      </c>
      <c r="AD399" s="5">
        <v>18.8</v>
      </c>
      <c r="AE399" s="5">
        <v>0.47</v>
      </c>
      <c r="AF399" s="5">
        <v>16</v>
      </c>
      <c r="AG399" s="5">
        <v>4.3</v>
      </c>
      <c r="AH399" s="5">
        <v>0.3</v>
      </c>
      <c r="AI399" s="5">
        <v>2</v>
      </c>
      <c r="AJ399" s="5">
        <v>0</v>
      </c>
      <c r="AK399" s="5">
        <v>8</v>
      </c>
      <c r="AL399" s="5">
        <v>170</v>
      </c>
      <c r="AM399" s="5">
        <v>1</v>
      </c>
      <c r="AN399" s="5">
        <v>13</v>
      </c>
      <c r="AO399" s="5">
        <v>0.7</v>
      </c>
      <c r="AP399" s="5">
        <v>27</v>
      </c>
      <c r="AQ399" s="5">
        <v>562</v>
      </c>
      <c r="AR399" s="5">
        <v>230</v>
      </c>
      <c r="AS399" s="5">
        <v>0.01</v>
      </c>
      <c r="AT399" s="5">
        <v>0.05</v>
      </c>
      <c r="AU399" s="5">
        <v>78</v>
      </c>
      <c r="AV399" s="5">
        <f>IFERROR(VLOOKUP(IFERROR(VLOOKUP(D399,Mapa_Similitud!$A$2:$B$2000,2,FALSE()),D399),Hoja1!$A$2:$K$1000,2,FALSE()),IFERROR(VLOOKUP(IFERROR(VLOOKUP(D399,Mapa_Similitud!$A$2:$B$2000,2,FALSE()),D399),Omega3_Referencia!$A$2:$E$100,3,FALSE()),0))</f>
        <v>1.1399999999999999</v>
      </c>
      <c r="AW399" s="3" t="str">
        <f>IFERROR(VLOOKUP(IFERROR(VLOOKUP(D399,Mapa_Similitud!$A$2:$B$2000,2,FALSE()),D399),Hoja1!$A$2:$K$1000,3,FALSE()),IFERROR(VLOOKUP(IFERROR(VLOOKUP(D399,Mapa_Similitud!$A$2:$B$2000,2,FALSE()),D399),Omega3_Referencia!$A$2:$E$100,4,FALSE()),"N/A"))</f>
        <v>EPA/DHA</v>
      </c>
      <c r="AX399" s="5">
        <f>IFERROR(VLOOKUP(IFERROR(VLOOKUP(D399,Mapa_Similitud!$A$2:$B$2000,2,FALSE()),D399),Hoja1!$A$2:$K$1000,5,FALSE()),0)</f>
        <v>0</v>
      </c>
      <c r="AY399" s="5">
        <f>IFERROR(VLOOKUP(IFERROR(VLOOKUP(D399,Mapa_Similitud!$A$2:$B$2000,2,FALSE()),D399),Hoja1!$A$2:$K$1000,7,FALSE()),0)</f>
        <v>0</v>
      </c>
      <c r="AZ399" s="5">
        <f>IFERROR(VLOOKUP(IFERROR(VLOOKUP(D399,Mapa_Similitud!$A$2:$B$2000,2,FALSE()),D399),Hoja1!$A$2:$K$1000,9,FALSE()),0)</f>
        <v>0</v>
      </c>
      <c r="BA399" s="25">
        <f t="shared" si="174"/>
        <v>0.23641851106639838</v>
      </c>
      <c r="BB399" s="25">
        <f t="shared" si="175"/>
        <v>0</v>
      </c>
      <c r="BC399" s="25">
        <f t="shared" si="176"/>
        <v>8.0482897384305835E-2</v>
      </c>
      <c r="BD399" s="25">
        <f t="shared" si="177"/>
        <v>1.0060362173038229E-2</v>
      </c>
      <c r="BE399" s="25">
        <f t="shared" si="178"/>
        <v>5.6539235412474849</v>
      </c>
      <c r="BF399" s="25">
        <f t="shared" si="179"/>
        <v>0.91304347826086951</v>
      </c>
      <c r="BG399" s="25">
        <f t="shared" si="180"/>
        <v>4.7058823529411764E-2</v>
      </c>
      <c r="BH399" s="25">
        <f t="shared" si="181"/>
        <v>0.38333333333333336</v>
      </c>
      <c r="BI399" s="25">
        <f t="shared" si="182"/>
        <v>2.4434782608695653</v>
      </c>
      <c r="BJ399" s="25">
        <f t="shared" si="183"/>
        <v>0</v>
      </c>
      <c r="BK399" s="25">
        <f t="shared" si="184"/>
        <v>0</v>
      </c>
      <c r="BL399" s="25">
        <f t="shared" si="185"/>
        <v>5.4325955734406427E-2</v>
      </c>
      <c r="BM399" s="25">
        <f t="shared" si="186"/>
        <v>0.2716297786720322</v>
      </c>
      <c r="BN399" s="18" t="str">
        <f t="shared" si="192"/>
        <v>Muy alta fuente de proteína</v>
      </c>
      <c r="BO399" s="18" t="str">
        <f t="shared" si="193"/>
        <v>Baja fuente de fibra</v>
      </c>
      <c r="BP399" s="18" t="str">
        <f t="shared" si="194"/>
        <v>Baja fuente de calcio</v>
      </c>
      <c r="BQ399" s="18" t="str">
        <f t="shared" si="195"/>
        <v>Media fuente de hierro</v>
      </c>
      <c r="BR399" s="18" t="str">
        <f t="shared" si="196"/>
        <v>Muy alto en sodio</v>
      </c>
      <c r="BS399" s="6" t="str">
        <f t="shared" si="187"/>
        <v>Neutro</v>
      </c>
      <c r="BT399" s="6" t="str">
        <f t="shared" si="188"/>
        <v>Bajo en grasas</v>
      </c>
      <c r="BU399" s="18" t="str">
        <f t="shared" si="197"/>
        <v>Alto riesgo de retención de líquidos</v>
      </c>
      <c r="BV399" s="18" t="str">
        <f t="shared" si="198"/>
        <v>Media fuente de magnesio</v>
      </c>
      <c r="BW399" s="18" t="str">
        <f t="shared" si="199"/>
        <v>Alta fuente de Omega 3</v>
      </c>
      <c r="BX399" s="18" t="str">
        <f t="shared" si="200"/>
        <v>Libre de grasas trans</v>
      </c>
      <c r="BY399" s="18" t="str">
        <f t="shared" si="201"/>
        <v>Bajo poder antioxidante</v>
      </c>
      <c r="BZ399" s="6" t="str">
        <f t="shared" si="189"/>
        <v>Sin probióticos</v>
      </c>
      <c r="CA399" s="18" t="str">
        <f t="shared" si="202"/>
        <v>Antiinflamatorio</v>
      </c>
      <c r="CB399" s="18" t="str">
        <f>IF(ISNUMBER(SEARCH("miel", D399)), "No irritante (Uso condicionado SII)", IF(OR(J399&gt;0, ISNUMBER(SEARCH("cacao", D399)), ISNUMBER(SEARCH("chocolate puro", D399))), "Altamente irritante", IF(OR(AND(O399&gt;15, BI399&gt;1), ISNUMBER(SEARCH("chocolate", D399))), "Moderadamente irritante", "No irritante")))</f>
        <v>No irritante</v>
      </c>
      <c r="CC399" s="6" t="str">
        <f t="shared" si="190"/>
        <v>Balance de omegas favorable</v>
      </c>
    </row>
    <row r="400" spans="1:81" ht="15" customHeight="1" x14ac:dyDescent="0.3">
      <c r="A400" s="2">
        <f t="shared" si="191"/>
        <v>399</v>
      </c>
      <c r="B400" s="3" t="s">
        <v>488</v>
      </c>
      <c r="C400" s="3" t="s">
        <v>539</v>
      </c>
      <c r="D400" s="3" t="s">
        <v>544</v>
      </c>
      <c r="E400" s="3"/>
      <c r="F400" s="4">
        <v>8</v>
      </c>
      <c r="G400" s="5">
        <v>1</v>
      </c>
      <c r="H400" s="5">
        <v>203</v>
      </c>
      <c r="I400" s="5">
        <v>63.6</v>
      </c>
      <c r="J400" s="5">
        <v>0</v>
      </c>
      <c r="K400" s="5">
        <v>24.9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11.5</v>
      </c>
      <c r="R400" s="5">
        <v>1.8</v>
      </c>
      <c r="S400" s="5">
        <v>3.1</v>
      </c>
      <c r="T400" s="5">
        <v>5.4</v>
      </c>
      <c r="U400" s="5">
        <v>46.7</v>
      </c>
      <c r="V400" s="5">
        <v>26</v>
      </c>
      <c r="W400" s="5">
        <v>26</v>
      </c>
      <c r="X400" s="5">
        <v>0</v>
      </c>
      <c r="Y400" s="5">
        <v>3.1</v>
      </c>
      <c r="Z400" s="5">
        <v>7.2</v>
      </c>
      <c r="AA400" s="5">
        <v>0.04</v>
      </c>
      <c r="AB400" s="5">
        <v>0.05</v>
      </c>
      <c r="AC400" s="5">
        <v>0.11</v>
      </c>
      <c r="AD400" s="5">
        <v>17.8</v>
      </c>
      <c r="AE400" s="5">
        <v>0.42</v>
      </c>
      <c r="AF400" s="5">
        <v>15.5</v>
      </c>
      <c r="AG400" s="5">
        <v>5</v>
      </c>
      <c r="AH400" s="5">
        <v>0.33</v>
      </c>
      <c r="AI400" s="5">
        <v>0</v>
      </c>
      <c r="AJ400" s="5">
        <v>0</v>
      </c>
      <c r="AK400" s="5">
        <v>8</v>
      </c>
      <c r="AL400" s="5">
        <v>200</v>
      </c>
      <c r="AM400" s="5">
        <v>1</v>
      </c>
      <c r="AN400" s="5">
        <v>37</v>
      </c>
      <c r="AO400" s="5">
        <v>1.1000000000000001</v>
      </c>
      <c r="AP400" s="5">
        <v>29</v>
      </c>
      <c r="AQ400" s="5">
        <v>400</v>
      </c>
      <c r="AR400" s="5">
        <v>230</v>
      </c>
      <c r="AS400" s="5">
        <v>0.02</v>
      </c>
      <c r="AT400" s="5">
        <v>0.05</v>
      </c>
      <c r="AU400" s="5">
        <v>82</v>
      </c>
      <c r="AV400" s="5">
        <f>IFERROR(VLOOKUP(IFERROR(VLOOKUP(D400,Mapa_Similitud!$A$2:$B$2000,2,FALSE()),D400),Hoja1!$A$2:$K$1000,2,FALSE()),IFERROR(VLOOKUP(IFERROR(VLOOKUP(D400,Mapa_Similitud!$A$2:$B$2000,2,FALSE()),D400),Omega3_Referencia!$A$2:$E$100,3,FALSE()),0))</f>
        <v>1.2</v>
      </c>
      <c r="AW400" s="3" t="str">
        <f>IFERROR(VLOOKUP(IFERROR(VLOOKUP(D400,Mapa_Similitud!$A$2:$B$2000,2,FALSE()),D400),Hoja1!$A$2:$K$1000,3,FALSE()),IFERROR(VLOOKUP(IFERROR(VLOOKUP(D400,Mapa_Similitud!$A$2:$B$2000,2,FALSE()),D400),Omega3_Referencia!$A$2:$E$100,4,FALSE()),"N/A"))</f>
        <v>EPA/DHA</v>
      </c>
      <c r="AX400" s="5">
        <f>IFERROR(VLOOKUP(IFERROR(VLOOKUP(D400,Mapa_Similitud!$A$2:$B$2000,2,FALSE()),D400),Hoja1!$A$2:$K$1000,5,FALSE()),0)</f>
        <v>0</v>
      </c>
      <c r="AY400" s="5">
        <f>IFERROR(VLOOKUP(IFERROR(VLOOKUP(D400,Mapa_Similitud!$A$2:$B$2000,2,FALSE()),D400),Hoja1!$A$2:$K$1000,7,FALSE()),0)</f>
        <v>0</v>
      </c>
      <c r="AZ400" s="5">
        <f>IFERROR(VLOOKUP(IFERROR(VLOOKUP(D400,Mapa_Similitud!$A$2:$B$2000,2,FALSE()),D400),Hoja1!$A$2:$K$1000,9,FALSE()),0)</f>
        <v>0</v>
      </c>
      <c r="BA400" s="25">
        <f t="shared" si="174"/>
        <v>0.12266009852216748</v>
      </c>
      <c r="BB400" s="25">
        <f t="shared" si="175"/>
        <v>0</v>
      </c>
      <c r="BC400" s="25">
        <f t="shared" si="176"/>
        <v>3.9408866995073892E-2</v>
      </c>
      <c r="BD400" s="25">
        <f t="shared" si="177"/>
        <v>4.9261083743842365E-3</v>
      </c>
      <c r="BE400" s="25">
        <f t="shared" si="178"/>
        <v>1.9704433497536946</v>
      </c>
      <c r="BF400" s="25">
        <f t="shared" si="179"/>
        <v>3</v>
      </c>
      <c r="BG400" s="25">
        <f t="shared" si="180"/>
        <v>0.04</v>
      </c>
      <c r="BH400" s="25">
        <f t="shared" si="181"/>
        <v>0.15652173913043479</v>
      </c>
      <c r="BI400" s="25">
        <f t="shared" si="182"/>
        <v>1.7391304347826086</v>
      </c>
      <c r="BJ400" s="25">
        <f t="shared" si="183"/>
        <v>0</v>
      </c>
      <c r="BK400" s="25">
        <f t="shared" si="184"/>
        <v>0</v>
      </c>
      <c r="BL400" s="25">
        <f t="shared" si="185"/>
        <v>0.50985221674876846</v>
      </c>
      <c r="BM400" s="25">
        <f t="shared" si="186"/>
        <v>0.14285714285714285</v>
      </c>
      <c r="BN400" s="18" t="str">
        <f t="shared" si="192"/>
        <v>Media fuente de proteína</v>
      </c>
      <c r="BO400" s="18" t="str">
        <f t="shared" si="193"/>
        <v>Baja fuente de fibra</v>
      </c>
      <c r="BP400" s="18" t="str">
        <f t="shared" si="194"/>
        <v>Baja fuente de calcio</v>
      </c>
      <c r="BQ400" s="18" t="str">
        <f t="shared" si="195"/>
        <v>Baja fuente de hierro</v>
      </c>
      <c r="BR400" s="18" t="str">
        <f t="shared" si="196"/>
        <v>Alto en sodio</v>
      </c>
      <c r="BS400" s="6" t="str">
        <f t="shared" si="187"/>
        <v>Altamente antiinflamatorio</v>
      </c>
      <c r="BT400" s="6" t="str">
        <f t="shared" si="188"/>
        <v>Muy alto en grasas</v>
      </c>
      <c r="BU400" s="18" t="str">
        <f t="shared" si="197"/>
        <v>Alto riesgo de retención de líquidos</v>
      </c>
      <c r="BV400" s="18" t="str">
        <f t="shared" si="198"/>
        <v>Baja fuente de magnesio</v>
      </c>
      <c r="BW400" s="18" t="str">
        <f t="shared" si="199"/>
        <v>Alta fuente de Omega 3</v>
      </c>
      <c r="BX400" s="18" t="str">
        <f t="shared" si="200"/>
        <v>Libre de grasas trans</v>
      </c>
      <c r="BY400" s="18" t="str">
        <f t="shared" si="201"/>
        <v>Bajo poder antioxidante</v>
      </c>
      <c r="BZ400" s="6" t="str">
        <f t="shared" si="189"/>
        <v>Sin probióticos</v>
      </c>
      <c r="CA400" s="18" t="str">
        <f t="shared" si="202"/>
        <v>Antiinflamatorio</v>
      </c>
      <c r="CB400" s="18" t="str">
        <f>IF(ISNUMBER(SEARCH("miel", D400)), "No irritante (Uso condicionado SII)", IF(OR(J400&gt;0, ISNUMBER(SEARCH("cacao", D400)), ISNUMBER(SEARCH("chocolate puro", D400))), "Altamente irritante", IF(OR(AND(O400&gt;15, BI400&gt;1), ISNUMBER(SEARCH("chocolate", D400))), "Moderadamente irritante", "No irritante")))</f>
        <v>No irritante</v>
      </c>
      <c r="CC400" s="6" t="str">
        <f t="shared" si="190"/>
        <v>Balance de omegas favorable</v>
      </c>
    </row>
    <row r="401" spans="1:81" ht="15" customHeight="1" x14ac:dyDescent="0.3">
      <c r="A401" s="2">
        <f t="shared" si="191"/>
        <v>400</v>
      </c>
      <c r="B401" s="3" t="s">
        <v>488</v>
      </c>
      <c r="C401" s="3" t="s">
        <v>539</v>
      </c>
      <c r="D401" s="3" t="s">
        <v>545</v>
      </c>
      <c r="E401" s="3"/>
      <c r="F401" s="4">
        <v>5</v>
      </c>
      <c r="G401" s="5">
        <v>1</v>
      </c>
      <c r="H401" s="5">
        <v>207</v>
      </c>
      <c r="I401" s="5">
        <v>59.1</v>
      </c>
      <c r="J401" s="5">
        <v>0</v>
      </c>
      <c r="K401" s="5">
        <v>32.200000000000003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8.6999999999999993</v>
      </c>
      <c r="R401" s="5">
        <v>1.8</v>
      </c>
      <c r="S401" s="5">
        <v>1.8</v>
      </c>
      <c r="T401" s="5">
        <v>4.2</v>
      </c>
      <c r="U401" s="5">
        <v>33</v>
      </c>
      <c r="V401" s="5">
        <v>18</v>
      </c>
      <c r="W401" s="5">
        <v>18</v>
      </c>
      <c r="X401" s="5">
        <v>0</v>
      </c>
      <c r="Y401" s="5">
        <v>3.1</v>
      </c>
      <c r="Z401" s="5">
        <v>7.2</v>
      </c>
      <c r="AA401" s="5">
        <v>0.04</v>
      </c>
      <c r="AB401" s="5">
        <v>0.1</v>
      </c>
      <c r="AC401" s="5">
        <v>0.1</v>
      </c>
      <c r="AD401" s="5">
        <v>17.8</v>
      </c>
      <c r="AE401" s="5">
        <v>0.52</v>
      </c>
      <c r="AF401" s="5">
        <v>15</v>
      </c>
      <c r="AG401" s="5">
        <v>5</v>
      </c>
      <c r="AH401" s="5">
        <v>0.33</v>
      </c>
      <c r="AI401" s="5">
        <v>0</v>
      </c>
      <c r="AJ401" s="5">
        <v>0</v>
      </c>
      <c r="AK401" s="5">
        <v>10</v>
      </c>
      <c r="AL401" s="5">
        <v>200</v>
      </c>
      <c r="AM401" s="5">
        <v>1.2</v>
      </c>
      <c r="AN401" s="5">
        <v>37</v>
      </c>
      <c r="AO401" s="5">
        <v>1.1000000000000001</v>
      </c>
      <c r="AP401" s="5">
        <v>33</v>
      </c>
      <c r="AQ401" s="5">
        <v>347</v>
      </c>
      <c r="AR401" s="5">
        <v>267</v>
      </c>
      <c r="AS401" s="5">
        <v>0.02</v>
      </c>
      <c r="AT401" s="5">
        <v>0.05</v>
      </c>
      <c r="AU401" s="5">
        <v>82</v>
      </c>
      <c r="AV401" s="5">
        <f>IFERROR(VLOOKUP(IFERROR(VLOOKUP(D401,Mapa_Similitud!$A$2:$B$2000,2,FALSE()),D401),Hoja1!$A$2:$K$1000,2,FALSE()),IFERROR(VLOOKUP(IFERROR(VLOOKUP(D401,Mapa_Similitud!$A$2:$B$2000,2,FALSE()),D401),Omega3_Referencia!$A$2:$E$100,3,FALSE()),0))</f>
        <v>1.2</v>
      </c>
      <c r="AW401" s="3" t="str">
        <f>IFERROR(VLOOKUP(IFERROR(VLOOKUP(D401,Mapa_Similitud!$A$2:$B$2000,2,FALSE()),D401),Hoja1!$A$2:$K$1000,3,FALSE()),IFERROR(VLOOKUP(IFERROR(VLOOKUP(D401,Mapa_Similitud!$A$2:$B$2000,2,FALSE()),D401),Omega3_Referencia!$A$2:$E$100,4,FALSE()),"N/A"))</f>
        <v>EPA/DHA</v>
      </c>
      <c r="AX401" s="5">
        <f>IFERROR(VLOOKUP(IFERROR(VLOOKUP(D401,Mapa_Similitud!$A$2:$B$2000,2,FALSE()),D401),Hoja1!$A$2:$K$1000,5,FALSE()),0)</f>
        <v>0</v>
      </c>
      <c r="AY401" s="5">
        <f>IFERROR(VLOOKUP(IFERROR(VLOOKUP(D401,Mapa_Similitud!$A$2:$B$2000,2,FALSE()),D401),Hoja1!$A$2:$K$1000,7,FALSE()),0)</f>
        <v>0</v>
      </c>
      <c r="AZ401" s="5">
        <f>IFERROR(VLOOKUP(IFERROR(VLOOKUP(D401,Mapa_Similitud!$A$2:$B$2000,2,FALSE()),D401),Hoja1!$A$2:$K$1000,9,FALSE()),0)</f>
        <v>0</v>
      </c>
      <c r="BA401" s="25">
        <f t="shared" si="174"/>
        <v>0.15555555555555556</v>
      </c>
      <c r="BB401" s="25">
        <f t="shared" si="175"/>
        <v>0</v>
      </c>
      <c r="BC401" s="25">
        <f t="shared" si="176"/>
        <v>4.8309178743961352E-2</v>
      </c>
      <c r="BD401" s="25">
        <f t="shared" si="177"/>
        <v>5.7971014492753624E-3</v>
      </c>
      <c r="BE401" s="25">
        <f t="shared" si="178"/>
        <v>1.6763285024154588</v>
      </c>
      <c r="BF401" s="25">
        <f t="shared" si="179"/>
        <v>2.3333333333333335</v>
      </c>
      <c r="BG401" s="25">
        <f t="shared" si="180"/>
        <v>0.05</v>
      </c>
      <c r="BH401" s="25">
        <f t="shared" si="181"/>
        <v>0.20689655172413796</v>
      </c>
      <c r="BI401" s="25">
        <f t="shared" si="182"/>
        <v>1.2996254681647941</v>
      </c>
      <c r="BJ401" s="25">
        <f t="shared" si="183"/>
        <v>0</v>
      </c>
      <c r="BK401" s="25">
        <f t="shared" si="184"/>
        <v>0</v>
      </c>
      <c r="BL401" s="25">
        <f t="shared" si="185"/>
        <v>0.37826086956521737</v>
      </c>
      <c r="BM401" s="25">
        <f t="shared" si="186"/>
        <v>0.15942028985507245</v>
      </c>
      <c r="BN401" s="18" t="str">
        <f t="shared" si="192"/>
        <v>Alta fuente de proteína</v>
      </c>
      <c r="BO401" s="18" t="str">
        <f t="shared" si="193"/>
        <v>Baja fuente de fibra</v>
      </c>
      <c r="BP401" s="18" t="str">
        <f t="shared" si="194"/>
        <v>Baja fuente de calcio</v>
      </c>
      <c r="BQ401" s="18" t="str">
        <f t="shared" si="195"/>
        <v>Baja fuente de hierro</v>
      </c>
      <c r="BR401" s="18" t="str">
        <f t="shared" si="196"/>
        <v>Alto en sodio</v>
      </c>
      <c r="BS401" s="6" t="str">
        <f t="shared" si="187"/>
        <v>Altamente antiinflamatorio</v>
      </c>
      <c r="BT401" s="6" t="str">
        <f t="shared" si="188"/>
        <v>Alto en grasas</v>
      </c>
      <c r="BU401" s="18" t="str">
        <f t="shared" si="197"/>
        <v>Alto riesgo de retención de líquidos</v>
      </c>
      <c r="BV401" s="18" t="str">
        <f t="shared" si="198"/>
        <v>Baja fuente de magnesio</v>
      </c>
      <c r="BW401" s="18" t="str">
        <f t="shared" si="199"/>
        <v>Alta fuente de Omega 3</v>
      </c>
      <c r="BX401" s="18" t="str">
        <f t="shared" si="200"/>
        <v>Libre de grasas trans</v>
      </c>
      <c r="BY401" s="18" t="str">
        <f t="shared" si="201"/>
        <v>Bajo poder antioxidante</v>
      </c>
      <c r="BZ401" s="6" t="str">
        <f t="shared" si="189"/>
        <v>Sin probióticos</v>
      </c>
      <c r="CA401" s="18" t="str">
        <f t="shared" si="202"/>
        <v>Antiinflamatorio</v>
      </c>
      <c r="CB401" s="18" t="str">
        <f>IF(ISNUMBER(SEARCH("miel", D401)), "No irritante (Uso condicionado SII)", IF(OR(J401&gt;0, ISNUMBER(SEARCH("cacao", D401)), ISNUMBER(SEARCH("chocolate puro", D401))), "Altamente irritante", IF(OR(AND(O401&gt;15, BI401&gt;1), ISNUMBER(SEARCH("chocolate", D401))), "Moderadamente irritante", "No irritante")))</f>
        <v>No irritante</v>
      </c>
      <c r="CC401" s="6" t="str">
        <f t="shared" si="190"/>
        <v>Balance de omegas favorable</v>
      </c>
    </row>
    <row r="402" spans="1:81" ht="15" customHeight="1" x14ac:dyDescent="0.3">
      <c r="A402" s="2">
        <f t="shared" si="191"/>
        <v>401</v>
      </c>
      <c r="B402" s="3" t="s">
        <v>488</v>
      </c>
      <c r="C402" s="3" t="s">
        <v>539</v>
      </c>
      <c r="D402" s="3" t="s">
        <v>546</v>
      </c>
      <c r="E402" s="3"/>
      <c r="F402" s="4">
        <v>4.5</v>
      </c>
      <c r="G402" s="5">
        <v>1</v>
      </c>
      <c r="H402" s="5">
        <v>184</v>
      </c>
      <c r="I402" s="5">
        <v>63.2</v>
      </c>
      <c r="J402" s="5">
        <v>0</v>
      </c>
      <c r="K402" s="5">
        <v>27.5</v>
      </c>
      <c r="L402" s="5">
        <v>2</v>
      </c>
      <c r="M402" s="5">
        <v>0</v>
      </c>
      <c r="N402" s="5">
        <v>0</v>
      </c>
      <c r="O402" s="5">
        <v>0</v>
      </c>
      <c r="P402" s="5">
        <v>0</v>
      </c>
      <c r="Q402" s="5">
        <v>7.3</v>
      </c>
      <c r="R402" s="5">
        <v>1.1000000000000001</v>
      </c>
      <c r="S402" s="5">
        <v>5.5</v>
      </c>
      <c r="T402" s="5">
        <v>0.65</v>
      </c>
      <c r="U402" s="5">
        <v>40</v>
      </c>
      <c r="V402" s="5">
        <v>5</v>
      </c>
      <c r="W402" s="5">
        <v>5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0.35</v>
      </c>
      <c r="AR402" s="5">
        <v>0</v>
      </c>
      <c r="AS402" s="5">
        <v>0</v>
      </c>
      <c r="AT402" s="5">
        <v>0</v>
      </c>
      <c r="AU402" s="5">
        <v>0</v>
      </c>
      <c r="AV402" s="5">
        <f>IFERROR(VLOOKUP(IFERROR(VLOOKUP(D402,Mapa_Similitud!$A$2:$B$2000,2,FALSE()),D402),Hoja1!$A$2:$K$1000,2,FALSE()),IFERROR(VLOOKUP(IFERROR(VLOOKUP(D402,Mapa_Similitud!$A$2:$B$2000,2,FALSE()),D402),Omega3_Referencia!$A$2:$E$100,3,FALSE()),0))</f>
        <v>1</v>
      </c>
      <c r="AW402" s="3" t="str">
        <f>IFERROR(VLOOKUP(IFERROR(VLOOKUP(D402,Mapa_Similitud!$A$2:$B$2000,2,FALSE()),D402),Hoja1!$A$2:$K$1000,3,FALSE()),IFERROR(VLOOKUP(IFERROR(VLOOKUP(D402,Mapa_Similitud!$A$2:$B$2000,2,FALSE()),D402),Omega3_Referencia!$A$2:$E$100,4,FALSE()),"N/A"))</f>
        <v>EPA/DHA</v>
      </c>
      <c r="AX402" s="5">
        <f>IFERROR(VLOOKUP(IFERROR(VLOOKUP(D402,Mapa_Similitud!$A$2:$B$2000,2,FALSE()),D402),Hoja1!$A$2:$K$1000,5,FALSE()),0)</f>
        <v>0</v>
      </c>
      <c r="AY402" s="5">
        <f>IFERROR(VLOOKUP(IFERROR(VLOOKUP(D402,Mapa_Similitud!$A$2:$B$2000,2,FALSE()),D402),Hoja1!$A$2:$K$1000,7,FALSE()),0)</f>
        <v>0</v>
      </c>
      <c r="AZ402" s="5">
        <f>IFERROR(VLOOKUP(IFERROR(VLOOKUP(D402,Mapa_Similitud!$A$2:$B$2000,2,FALSE()),D402),Hoja1!$A$2:$K$1000,9,FALSE()),0)</f>
        <v>0</v>
      </c>
      <c r="BA402" s="25">
        <f t="shared" si="174"/>
        <v>0.14945652173913043</v>
      </c>
      <c r="BB402" s="25">
        <f t="shared" si="175"/>
        <v>0</v>
      </c>
      <c r="BC402" s="25">
        <f t="shared" si="176"/>
        <v>0</v>
      </c>
      <c r="BD402" s="25">
        <f t="shared" si="177"/>
        <v>0</v>
      </c>
      <c r="BE402" s="25">
        <f t="shared" si="178"/>
        <v>1.9021739130434781E-3</v>
      </c>
      <c r="BF402" s="25">
        <f t="shared" si="179"/>
        <v>0.59090909090909083</v>
      </c>
      <c r="BG402" s="25">
        <f t="shared" si="180"/>
        <v>0</v>
      </c>
      <c r="BH402" s="25">
        <f t="shared" si="181"/>
        <v>0.15068493150684933</v>
      </c>
      <c r="BI402" s="25">
        <f t="shared" si="182"/>
        <v>0</v>
      </c>
      <c r="BJ402" s="25">
        <f t="shared" si="183"/>
        <v>0</v>
      </c>
      <c r="BK402" s="25">
        <f t="shared" si="184"/>
        <v>0</v>
      </c>
      <c r="BL402" s="25">
        <f t="shared" si="185"/>
        <v>0.35706521739130437</v>
      </c>
      <c r="BM402" s="25">
        <f t="shared" si="186"/>
        <v>0</v>
      </c>
      <c r="BN402" s="18" t="str">
        <f t="shared" si="192"/>
        <v>Media fuente de proteína</v>
      </c>
      <c r="BO402" s="18" t="str">
        <f t="shared" si="193"/>
        <v>Baja fuente de fibra</v>
      </c>
      <c r="BP402" s="18" t="str">
        <f t="shared" si="194"/>
        <v>Baja fuente de calcio</v>
      </c>
      <c r="BQ402" s="18" t="str">
        <f t="shared" si="195"/>
        <v>Baja fuente de hierro</v>
      </c>
      <c r="BR402" s="18" t="str">
        <f t="shared" si="196"/>
        <v>Bajo en sodio</v>
      </c>
      <c r="BS402" s="6" t="str">
        <f t="shared" si="187"/>
        <v>Neutro</v>
      </c>
      <c r="BT402" s="6" t="str">
        <f t="shared" si="188"/>
        <v>Alto en grasas</v>
      </c>
      <c r="BU402" s="18" t="str">
        <f t="shared" si="197"/>
        <v>Equilibrio de líquidos ideal</v>
      </c>
      <c r="BV402" s="18" t="str">
        <f t="shared" si="198"/>
        <v>Baja fuente de magnesio</v>
      </c>
      <c r="BW402" s="18" t="str">
        <f t="shared" si="199"/>
        <v>Alta fuente de Omega 3</v>
      </c>
      <c r="BX402" s="18" t="str">
        <f t="shared" si="200"/>
        <v>Libre de grasas trans</v>
      </c>
      <c r="BY402" s="18" t="str">
        <f t="shared" si="201"/>
        <v>Bajo poder antioxidante</v>
      </c>
      <c r="BZ402" s="6" t="str">
        <f t="shared" si="189"/>
        <v>Sin probióticos</v>
      </c>
      <c r="CA402" s="18" t="str">
        <f t="shared" si="202"/>
        <v>Antiinflamatorio</v>
      </c>
      <c r="CB402" s="18" t="str">
        <f>IF(ISNUMBER(SEARCH("miel", D402)), "No irritante (Uso condicionado SII)", IF(OR(J402&gt;0, ISNUMBER(SEARCH("cacao", D402)), ISNUMBER(SEARCH("chocolate puro", D402))), "Altamente irritante", IF(OR(AND(O402&gt;15, BI402&gt;1), ISNUMBER(SEARCH("chocolate", D402))), "Moderadamente irritante", "No irritante")))</f>
        <v>No irritante</v>
      </c>
      <c r="CC402" s="6" t="str">
        <f t="shared" si="190"/>
        <v>Balance de omegas favorable</v>
      </c>
    </row>
    <row r="403" spans="1:81" ht="15" customHeight="1" x14ac:dyDescent="0.3">
      <c r="A403" s="2">
        <f t="shared" si="191"/>
        <v>402</v>
      </c>
      <c r="B403" s="3" t="s">
        <v>488</v>
      </c>
      <c r="C403" s="3" t="s">
        <v>539</v>
      </c>
      <c r="D403" s="3" t="s">
        <v>547</v>
      </c>
      <c r="E403" s="3"/>
      <c r="F403" s="4">
        <v>3</v>
      </c>
      <c r="G403" s="5">
        <v>1</v>
      </c>
      <c r="H403" s="5">
        <v>174</v>
      </c>
      <c r="I403" s="5">
        <v>68.400000000000006</v>
      </c>
      <c r="J403" s="5">
        <v>0</v>
      </c>
      <c r="K403" s="5">
        <v>13.8</v>
      </c>
      <c r="L403" s="5">
        <v>1.9</v>
      </c>
      <c r="M403" s="5">
        <v>0</v>
      </c>
      <c r="N403" s="5">
        <v>1.9</v>
      </c>
      <c r="O403" s="5">
        <v>1.9</v>
      </c>
      <c r="P403" s="5">
        <v>0</v>
      </c>
      <c r="Q403" s="5">
        <v>12.3</v>
      </c>
      <c r="R403" s="5">
        <v>3.3</v>
      </c>
      <c r="S403" s="5">
        <v>3.9</v>
      </c>
      <c r="T403" s="5">
        <v>3.8</v>
      </c>
      <c r="U403" s="5">
        <v>78.5</v>
      </c>
      <c r="V403" s="5">
        <v>13.2</v>
      </c>
      <c r="W403" s="5">
        <v>4.7</v>
      </c>
      <c r="X403" s="5">
        <v>50.8</v>
      </c>
      <c r="Y403" s="5">
        <v>7.5</v>
      </c>
      <c r="Z403" s="5">
        <v>0.52</v>
      </c>
      <c r="AA403" s="5">
        <v>0.06</v>
      </c>
      <c r="AB403" s="5">
        <v>0.02</v>
      </c>
      <c r="AC403" s="5">
        <v>0.2</v>
      </c>
      <c r="AD403" s="5">
        <v>5.0999999999999996</v>
      </c>
      <c r="AE403" s="5">
        <v>1.6</v>
      </c>
      <c r="AF403" s="5">
        <v>13</v>
      </c>
      <c r="AG403" s="5">
        <v>26</v>
      </c>
      <c r="AH403" s="5">
        <v>0.73</v>
      </c>
      <c r="AI403" s="5">
        <v>5</v>
      </c>
      <c r="AJ403" s="5">
        <v>0.28999999999999998</v>
      </c>
      <c r="AK403" s="5">
        <v>344</v>
      </c>
      <c r="AL403" s="5">
        <v>380</v>
      </c>
      <c r="AM403" s="5">
        <v>2.6</v>
      </c>
      <c r="AN403" s="5">
        <v>17.899999999999999</v>
      </c>
      <c r="AO403" s="5">
        <v>1.8</v>
      </c>
      <c r="AP403" s="5">
        <v>39.200000000000003</v>
      </c>
      <c r="AQ403" s="5">
        <v>468</v>
      </c>
      <c r="AR403" s="5">
        <v>376</v>
      </c>
      <c r="AS403" s="5">
        <v>0.24</v>
      </c>
      <c r="AT403" s="5">
        <v>0.23</v>
      </c>
      <c r="AU403" s="5">
        <v>37</v>
      </c>
      <c r="AV403" s="5">
        <f>IFERROR(VLOOKUP(IFERROR(VLOOKUP(D403,Mapa_Similitud!$A$2:$B$2000,2,FALSE()),D403),Hoja1!$A$2:$K$1000,2,FALSE()),IFERROR(VLOOKUP(IFERROR(VLOOKUP(D403,Mapa_Similitud!$A$2:$B$2000,2,FALSE()),D403),Omega3_Referencia!$A$2:$E$100,3,FALSE()),0))</f>
        <v>1.5</v>
      </c>
      <c r="AW403" s="3" t="str">
        <f>IFERROR(VLOOKUP(IFERROR(VLOOKUP(D403,Mapa_Similitud!$A$2:$B$2000,2,FALSE()),D403),Hoja1!$A$2:$K$1000,3,FALSE()),IFERROR(VLOOKUP(IFERROR(VLOOKUP(D403,Mapa_Similitud!$A$2:$B$2000,2,FALSE()),D403),Omega3_Referencia!$A$2:$E$100,4,FALSE()),"N/A"))</f>
        <v>EPA/DHA</v>
      </c>
      <c r="AX403" s="5">
        <f>IFERROR(VLOOKUP(IFERROR(VLOOKUP(D403,Mapa_Similitud!$A$2:$B$2000,2,FALSE()),D403),Hoja1!$A$2:$K$1000,5,FALSE()),0)</f>
        <v>0</v>
      </c>
      <c r="AY403" s="5">
        <f>IFERROR(VLOOKUP(IFERROR(VLOOKUP(D403,Mapa_Similitud!$A$2:$B$2000,2,FALSE()),D403),Hoja1!$A$2:$K$1000,7,FALSE()),0)</f>
        <v>0</v>
      </c>
      <c r="AZ403" s="5">
        <f>IFERROR(VLOOKUP(IFERROR(VLOOKUP(D403,Mapa_Similitud!$A$2:$B$2000,2,FALSE()),D403),Hoja1!$A$2:$K$1000,9,FALSE()),0)</f>
        <v>0</v>
      </c>
      <c r="BA403" s="25">
        <f t="shared" si="174"/>
        <v>7.9310344827586213E-2</v>
      </c>
      <c r="BB403" s="25">
        <f t="shared" si="175"/>
        <v>0</v>
      </c>
      <c r="BC403" s="25">
        <f t="shared" si="176"/>
        <v>1.9770114942528736</v>
      </c>
      <c r="BD403" s="25">
        <f t="shared" si="177"/>
        <v>1.4942528735632184E-2</v>
      </c>
      <c r="BE403" s="25">
        <f t="shared" si="178"/>
        <v>2.6896551724137931</v>
      </c>
      <c r="BF403" s="25">
        <f t="shared" si="179"/>
        <v>1.1515151515151516</v>
      </c>
      <c r="BG403" s="25">
        <f t="shared" si="180"/>
        <v>0.90526315789473688</v>
      </c>
      <c r="BH403" s="25">
        <f t="shared" si="181"/>
        <v>0.26829268292682923</v>
      </c>
      <c r="BI403" s="25">
        <f t="shared" si="182"/>
        <v>1.2446808510638299</v>
      </c>
      <c r="BJ403" s="25">
        <f t="shared" si="183"/>
        <v>1</v>
      </c>
      <c r="BK403" s="25">
        <f t="shared" si="184"/>
        <v>0</v>
      </c>
      <c r="BL403" s="25">
        <f t="shared" si="185"/>
        <v>0.63620689655172413</v>
      </c>
      <c r="BM403" s="25">
        <f t="shared" si="186"/>
        <v>0.22528735632183911</v>
      </c>
      <c r="BN403" s="18" t="str">
        <f t="shared" si="192"/>
        <v>Baja fuente de proteína</v>
      </c>
      <c r="BO403" s="18" t="str">
        <f t="shared" si="193"/>
        <v>Baja fuente de fibra</v>
      </c>
      <c r="BP403" s="18" t="str">
        <f t="shared" si="194"/>
        <v>Alta fuente de calcio</v>
      </c>
      <c r="BQ403" s="18" t="str">
        <f t="shared" si="195"/>
        <v>Media fuente de hierro</v>
      </c>
      <c r="BR403" s="18" t="str">
        <f t="shared" si="196"/>
        <v>Muy alto en sodio</v>
      </c>
      <c r="BS403" s="6" t="str">
        <f t="shared" si="187"/>
        <v>Ligeramente antiinflamatorio</v>
      </c>
      <c r="BT403" s="6" t="str">
        <f t="shared" si="188"/>
        <v>Muy alto en grasas</v>
      </c>
      <c r="BU403" s="18" t="str">
        <f t="shared" si="197"/>
        <v>Alto riesgo de retención de líquidos</v>
      </c>
      <c r="BV403" s="18" t="str">
        <f t="shared" si="198"/>
        <v>Media fuente de magnesio</v>
      </c>
      <c r="BW403" s="18" t="str">
        <f t="shared" si="199"/>
        <v>Alta fuente de Omega 3</v>
      </c>
      <c r="BX403" s="18" t="str">
        <f t="shared" si="200"/>
        <v>Libre de grasas trans</v>
      </c>
      <c r="BY403" s="18" t="str">
        <f t="shared" si="201"/>
        <v>Bajo poder antioxidante</v>
      </c>
      <c r="BZ403" s="6" t="str">
        <f t="shared" si="189"/>
        <v>Sin probióticos</v>
      </c>
      <c r="CA403" s="18" t="str">
        <f t="shared" si="202"/>
        <v>Antiinflamatorio</v>
      </c>
      <c r="CB403" s="18" t="str">
        <f>IF(ISNUMBER(SEARCH("miel", D403)), "No irritante (Uso condicionado SII)", IF(OR(J403&gt;0, ISNUMBER(SEARCH("cacao", D403)), ISNUMBER(SEARCH("chocolate puro", D403))), "Altamente irritante", IF(OR(AND(O403&gt;15, BI403&gt;1), ISNUMBER(SEARCH("chocolate", D403))), "Moderadamente irritante", "No irritante")))</f>
        <v>No irritante</v>
      </c>
      <c r="CC403" s="6" t="str">
        <f t="shared" si="190"/>
        <v>Balance de omegas favorable</v>
      </c>
    </row>
    <row r="404" spans="1:81" ht="15" customHeight="1" x14ac:dyDescent="0.3">
      <c r="A404" s="2">
        <f t="shared" si="191"/>
        <v>403</v>
      </c>
      <c r="B404" s="3" t="s">
        <v>488</v>
      </c>
      <c r="C404" s="3" t="s">
        <v>539</v>
      </c>
      <c r="D404" s="3" t="s">
        <v>548</v>
      </c>
      <c r="E404" s="3"/>
      <c r="F404" s="4">
        <v>2</v>
      </c>
      <c r="G404" s="5">
        <v>1</v>
      </c>
      <c r="H404" s="5">
        <v>218</v>
      </c>
      <c r="I404" s="5">
        <v>58.9</v>
      </c>
      <c r="J404" s="5">
        <v>0</v>
      </c>
      <c r="K404" s="5">
        <v>23.9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13.6</v>
      </c>
      <c r="R404" s="5">
        <v>2.8</v>
      </c>
      <c r="S404" s="5">
        <v>4.7</v>
      </c>
      <c r="T404" s="5">
        <v>4.9000000000000004</v>
      </c>
      <c r="U404" s="5">
        <v>65</v>
      </c>
      <c r="V404" s="5">
        <v>49</v>
      </c>
      <c r="W404" s="5">
        <v>49</v>
      </c>
      <c r="X404" s="5">
        <v>0</v>
      </c>
      <c r="Y404" s="5">
        <v>8.1999999999999993</v>
      </c>
      <c r="Z404" s="5">
        <v>0.3</v>
      </c>
      <c r="AA404" s="5">
        <v>0.04</v>
      </c>
      <c r="AB404" s="5">
        <v>0.04</v>
      </c>
      <c r="AC404" s="5">
        <v>0.31</v>
      </c>
      <c r="AD404" s="5">
        <v>12.6</v>
      </c>
      <c r="AE404" s="5">
        <v>0.47</v>
      </c>
      <c r="AF404" s="5">
        <v>8.6999999999999993</v>
      </c>
      <c r="AG404" s="5">
        <v>29.6</v>
      </c>
      <c r="AH404" s="5">
        <v>0.5</v>
      </c>
      <c r="AI404" s="5">
        <v>5</v>
      </c>
      <c r="AJ404" s="5">
        <v>0</v>
      </c>
      <c r="AK404" s="5">
        <v>314</v>
      </c>
      <c r="AL404" s="5">
        <v>430</v>
      </c>
      <c r="AM404" s="5">
        <v>2.9</v>
      </c>
      <c r="AN404" s="5">
        <v>33.4</v>
      </c>
      <c r="AO404" s="5">
        <v>2.8</v>
      </c>
      <c r="AP404" s="5">
        <v>49.3</v>
      </c>
      <c r="AQ404" s="5">
        <v>418</v>
      </c>
      <c r="AR404" s="5">
        <v>388</v>
      </c>
      <c r="AS404" s="5">
        <v>0.11</v>
      </c>
      <c r="AT404" s="5">
        <v>0.19</v>
      </c>
      <c r="AU404" s="5">
        <v>50</v>
      </c>
      <c r="AV404" s="5">
        <f>IFERROR(VLOOKUP(IFERROR(VLOOKUP(D404,Mapa_Similitud!$A$2:$B$2000,2,FALSE()),D404),Hoja1!$A$2:$K$1000,2,FALSE()),IFERROR(VLOOKUP(IFERROR(VLOOKUP(D404,Mapa_Similitud!$A$2:$B$2000,2,FALSE()),D404),Omega3_Referencia!$A$2:$E$100,3,FALSE()),0))</f>
        <v>2.2000000000000002</v>
      </c>
      <c r="AW404" s="3" t="str">
        <f>IFERROR(VLOOKUP(IFERROR(VLOOKUP(D404,Mapa_Similitud!$A$2:$B$2000,2,FALSE()),D404),Hoja1!$A$2:$K$1000,3,FALSE()),IFERROR(VLOOKUP(IFERROR(VLOOKUP(D404,Mapa_Similitud!$A$2:$B$2000,2,FALSE()),D404),Omega3_Referencia!$A$2:$E$100,4,FALSE()),"N/A"))</f>
        <v>EPA+DHA</v>
      </c>
      <c r="AX404" s="5">
        <f>IFERROR(VLOOKUP(IFERROR(VLOOKUP(D404,Mapa_Similitud!$A$2:$B$2000,2,FALSE()),D404),Hoja1!$A$2:$K$1000,5,FALSE()),0)</f>
        <v>0</v>
      </c>
      <c r="AY404" s="5">
        <f>IFERROR(VLOOKUP(IFERROR(VLOOKUP(D404,Mapa_Similitud!$A$2:$B$2000,2,FALSE()),D404),Hoja1!$A$2:$K$1000,7,FALSE()),0)</f>
        <v>0</v>
      </c>
      <c r="AZ404" s="5">
        <f>IFERROR(VLOOKUP(IFERROR(VLOOKUP(D404,Mapa_Similitud!$A$2:$B$2000,2,FALSE()),D404),Hoja1!$A$2:$K$1000,9,FALSE()),0)</f>
        <v>0</v>
      </c>
      <c r="BA404" s="25">
        <f t="shared" si="174"/>
        <v>0.10963302752293577</v>
      </c>
      <c r="BB404" s="25">
        <f t="shared" si="175"/>
        <v>0</v>
      </c>
      <c r="BC404" s="25">
        <f t="shared" si="176"/>
        <v>1.4403669724770642</v>
      </c>
      <c r="BD404" s="25">
        <f t="shared" si="177"/>
        <v>1.3302752293577981E-2</v>
      </c>
      <c r="BE404" s="25">
        <f t="shared" si="178"/>
        <v>1.9174311926605505</v>
      </c>
      <c r="BF404" s="25">
        <f t="shared" si="179"/>
        <v>1.7500000000000002</v>
      </c>
      <c r="BG404" s="25">
        <f t="shared" si="180"/>
        <v>0.73023255813953492</v>
      </c>
      <c r="BH404" s="25">
        <f t="shared" si="181"/>
        <v>0.20588235294117646</v>
      </c>
      <c r="BI404" s="25">
        <f t="shared" si="182"/>
        <v>1.0773195876288659</v>
      </c>
      <c r="BJ404" s="25">
        <f t="shared" si="183"/>
        <v>0</v>
      </c>
      <c r="BK404" s="25">
        <f t="shared" si="184"/>
        <v>0</v>
      </c>
      <c r="BL404" s="25">
        <f t="shared" si="185"/>
        <v>0.5614678899082568</v>
      </c>
      <c r="BM404" s="25">
        <f t="shared" si="186"/>
        <v>0.22614678899082569</v>
      </c>
      <c r="BN404" s="18" t="str">
        <f t="shared" si="192"/>
        <v>Media fuente de proteína</v>
      </c>
      <c r="BO404" s="18" t="str">
        <f t="shared" si="193"/>
        <v>Baja fuente de fibra</v>
      </c>
      <c r="BP404" s="18" t="str">
        <f t="shared" si="194"/>
        <v>Media fuente de calcio</v>
      </c>
      <c r="BQ404" s="18" t="str">
        <f t="shared" si="195"/>
        <v>Media fuente de hierro</v>
      </c>
      <c r="BR404" s="18" t="str">
        <f t="shared" si="196"/>
        <v>Alto en sodio</v>
      </c>
      <c r="BS404" s="6" t="str">
        <f t="shared" si="187"/>
        <v>Ligeramente antiinflamatorio</v>
      </c>
      <c r="BT404" s="6" t="str">
        <f t="shared" si="188"/>
        <v>Muy alto en grasas</v>
      </c>
      <c r="BU404" s="18" t="str">
        <f t="shared" si="197"/>
        <v>Alto riesgo de retención de líquidos</v>
      </c>
      <c r="BV404" s="18" t="str">
        <f t="shared" si="198"/>
        <v>Media fuente de magnesio</v>
      </c>
      <c r="BW404" s="18" t="str">
        <f t="shared" si="199"/>
        <v>Alta fuente de Omega 3</v>
      </c>
      <c r="BX404" s="18" t="str">
        <f t="shared" si="200"/>
        <v>Libre de grasas trans</v>
      </c>
      <c r="BY404" s="18" t="str">
        <f t="shared" si="201"/>
        <v>Bajo poder antioxidante</v>
      </c>
      <c r="BZ404" s="6" t="str">
        <f t="shared" si="189"/>
        <v>Sin probióticos</v>
      </c>
      <c r="CA404" s="18" t="str">
        <f t="shared" si="202"/>
        <v>Antiinflamatorio</v>
      </c>
      <c r="CB404" s="18" t="str">
        <f>IF(ISNUMBER(SEARCH("miel", D404)), "No irritante (Uso condicionado SII)", IF(OR(J404&gt;0, ISNUMBER(SEARCH("cacao", D404)), ISNUMBER(SEARCH("chocolate puro", D404))), "Altamente irritante", IF(OR(AND(O404&gt;15, BI404&gt;1), ISNUMBER(SEARCH("chocolate", D404))), "Moderadamente irritante", "No irritante")))</f>
        <v>No irritante</v>
      </c>
      <c r="CC404" s="6" t="str">
        <f t="shared" si="190"/>
        <v>Balance de omegas favorable</v>
      </c>
    </row>
    <row r="405" spans="1:81" ht="15" customHeight="1" x14ac:dyDescent="0.3">
      <c r="A405" s="2">
        <f t="shared" si="191"/>
        <v>404</v>
      </c>
      <c r="B405" s="3" t="s">
        <v>488</v>
      </c>
      <c r="C405" s="3" t="s">
        <v>539</v>
      </c>
      <c r="D405" s="3" t="s">
        <v>549</v>
      </c>
      <c r="E405" s="3"/>
      <c r="F405" s="4">
        <v>6</v>
      </c>
      <c r="G405" s="5">
        <v>1</v>
      </c>
      <c r="H405" s="5">
        <v>131</v>
      </c>
      <c r="I405" s="5">
        <v>76.7</v>
      </c>
      <c r="J405" s="5">
        <v>0</v>
      </c>
      <c r="K405" s="5">
        <v>15</v>
      </c>
      <c r="L405" s="5">
        <v>0.8</v>
      </c>
      <c r="M405" s="5">
        <v>0</v>
      </c>
      <c r="N405" s="5">
        <v>0.8</v>
      </c>
      <c r="O405" s="5">
        <v>0</v>
      </c>
      <c r="P405" s="5">
        <v>0</v>
      </c>
      <c r="Q405" s="5">
        <v>7.5</v>
      </c>
      <c r="R405" s="5">
        <v>2.6</v>
      </c>
      <c r="S405" s="5">
        <v>1.8</v>
      </c>
      <c r="T405" s="5">
        <v>2.2999999999999998</v>
      </c>
      <c r="U405" s="5">
        <v>100</v>
      </c>
      <c r="V405" s="5">
        <v>32</v>
      </c>
      <c r="W405" s="5">
        <v>32</v>
      </c>
      <c r="X405" s="5">
        <v>0</v>
      </c>
      <c r="Y405" s="5">
        <v>7</v>
      </c>
      <c r="Z405" s="5">
        <v>1.6</v>
      </c>
      <c r="AA405" s="5">
        <v>0.03</v>
      </c>
      <c r="AB405" s="5">
        <v>0.11</v>
      </c>
      <c r="AC405" s="5">
        <v>0.34</v>
      </c>
      <c r="AD405" s="5">
        <v>5.9</v>
      </c>
      <c r="AE405" s="5">
        <v>0.96</v>
      </c>
      <c r="AF405" s="5">
        <v>7</v>
      </c>
      <c r="AG405" s="5">
        <v>26</v>
      </c>
      <c r="AH405" s="5">
        <v>0.81</v>
      </c>
      <c r="AI405" s="5">
        <v>0</v>
      </c>
      <c r="AJ405" s="5">
        <v>0</v>
      </c>
      <c r="AK405" s="5">
        <v>30</v>
      </c>
      <c r="AL405" s="5">
        <v>270</v>
      </c>
      <c r="AM405" s="5">
        <v>0.9</v>
      </c>
      <c r="AN405" s="5">
        <v>10</v>
      </c>
      <c r="AO405" s="5">
        <v>0.4</v>
      </c>
      <c r="AP405" s="5">
        <v>26</v>
      </c>
      <c r="AQ405" s="5">
        <v>446</v>
      </c>
      <c r="AR405" s="5">
        <v>260</v>
      </c>
      <c r="AS405" s="5">
        <v>0.11</v>
      </c>
      <c r="AT405" s="5">
        <v>0.17</v>
      </c>
      <c r="AU405" s="5">
        <v>60</v>
      </c>
      <c r="AV405" s="5">
        <f>IFERROR(VLOOKUP(IFERROR(VLOOKUP(D405,Mapa_Similitud!$A$2:$B$2000,2,FALSE()),D405),Hoja1!$A$2:$K$1000,2,FALSE()),IFERROR(VLOOKUP(IFERROR(VLOOKUP(D405,Mapa_Similitud!$A$2:$B$2000,2,FALSE()),D405),Omega3_Referencia!$A$2:$E$100,3,FALSE()),0))</f>
        <v>1.4</v>
      </c>
      <c r="AW405" s="3" t="str">
        <f>IFERROR(VLOOKUP(IFERROR(VLOOKUP(D405,Mapa_Similitud!$A$2:$B$2000,2,FALSE()),D405),Hoja1!$A$2:$K$1000,3,FALSE()),IFERROR(VLOOKUP(IFERROR(VLOOKUP(D405,Mapa_Similitud!$A$2:$B$2000,2,FALSE()),D405),Omega3_Referencia!$A$2:$E$100,4,FALSE()),"N/A"))</f>
        <v>EPA/DHA</v>
      </c>
      <c r="AX405" s="5">
        <f>IFERROR(VLOOKUP(IFERROR(VLOOKUP(D405,Mapa_Similitud!$A$2:$B$2000,2,FALSE()),D405),Hoja1!$A$2:$K$1000,5,FALSE()),0)</f>
        <v>0</v>
      </c>
      <c r="AY405" s="5">
        <f>IFERROR(VLOOKUP(IFERROR(VLOOKUP(D405,Mapa_Similitud!$A$2:$B$2000,2,FALSE()),D405),Hoja1!$A$2:$K$1000,7,FALSE()),0)</f>
        <v>0</v>
      </c>
      <c r="AZ405" s="5">
        <f>IFERROR(VLOOKUP(IFERROR(VLOOKUP(D405,Mapa_Similitud!$A$2:$B$2000,2,FALSE()),D405),Hoja1!$A$2:$K$1000,9,FALSE()),0)</f>
        <v>0</v>
      </c>
      <c r="BA405" s="25">
        <f t="shared" si="174"/>
        <v>0.11450381679389313</v>
      </c>
      <c r="BB405" s="25">
        <f t="shared" si="175"/>
        <v>0</v>
      </c>
      <c r="BC405" s="25">
        <f t="shared" si="176"/>
        <v>0.22900763358778625</v>
      </c>
      <c r="BD405" s="25">
        <f t="shared" si="177"/>
        <v>6.8702290076335876E-3</v>
      </c>
      <c r="BE405" s="25">
        <f t="shared" si="178"/>
        <v>3.4045801526717558</v>
      </c>
      <c r="BF405" s="25">
        <f t="shared" si="179"/>
        <v>0.88461538461538447</v>
      </c>
      <c r="BG405" s="25">
        <f t="shared" si="180"/>
        <v>0.1111111111111111</v>
      </c>
      <c r="BH405" s="25">
        <f t="shared" si="181"/>
        <v>0.34666666666666668</v>
      </c>
      <c r="BI405" s="25">
        <f t="shared" si="182"/>
        <v>1.7153846153846153</v>
      </c>
      <c r="BJ405" s="25">
        <f t="shared" si="183"/>
        <v>1</v>
      </c>
      <c r="BK405" s="25">
        <f t="shared" si="184"/>
        <v>0</v>
      </c>
      <c r="BL405" s="25">
        <f t="shared" si="185"/>
        <v>0.51526717557251911</v>
      </c>
      <c r="BM405" s="25">
        <f t="shared" si="186"/>
        <v>0.19847328244274809</v>
      </c>
      <c r="BN405" s="18" t="str">
        <f t="shared" si="192"/>
        <v>Media fuente de proteína</v>
      </c>
      <c r="BO405" s="18" t="str">
        <f t="shared" si="193"/>
        <v>Baja fuente de fibra</v>
      </c>
      <c r="BP405" s="18" t="str">
        <f t="shared" si="194"/>
        <v>Baja fuente de calcio</v>
      </c>
      <c r="BQ405" s="18" t="str">
        <f t="shared" si="195"/>
        <v>Baja fuente de hierro</v>
      </c>
      <c r="BR405" s="18" t="str">
        <f t="shared" si="196"/>
        <v>Muy alto en sodio</v>
      </c>
      <c r="BS405" s="6" t="str">
        <f t="shared" si="187"/>
        <v>Neutro</v>
      </c>
      <c r="BT405" s="6" t="str">
        <f t="shared" si="188"/>
        <v>Muy alto en grasas</v>
      </c>
      <c r="BU405" s="18" t="str">
        <f t="shared" si="197"/>
        <v>Alto riesgo de retención de líquidos</v>
      </c>
      <c r="BV405" s="18" t="str">
        <f t="shared" si="198"/>
        <v>Baja fuente de magnesio</v>
      </c>
      <c r="BW405" s="18" t="str">
        <f t="shared" si="199"/>
        <v>Alta fuente de Omega 3</v>
      </c>
      <c r="BX405" s="18" t="str">
        <f t="shared" si="200"/>
        <v>Libre de grasas trans</v>
      </c>
      <c r="BY405" s="18" t="str">
        <f t="shared" si="201"/>
        <v>Bajo poder antioxidante</v>
      </c>
      <c r="BZ405" s="6" t="str">
        <f t="shared" si="189"/>
        <v>Sin probióticos</v>
      </c>
      <c r="CA405" s="18" t="str">
        <f t="shared" si="202"/>
        <v>Antiinflamatorio</v>
      </c>
      <c r="CB405" s="18" t="str">
        <f>IF(ISNUMBER(SEARCH("miel", D405)), "No irritante (Uso condicionado SII)", IF(OR(J405&gt;0, ISNUMBER(SEARCH("cacao", D405)), ISNUMBER(SEARCH("chocolate puro", D405))), "Altamente irritante", IF(OR(AND(O405&gt;15, BI405&gt;1), ISNUMBER(SEARCH("chocolate", D405))), "Moderadamente irritante", "No irritante")))</f>
        <v>No irritante</v>
      </c>
      <c r="CC405" s="6" t="str">
        <f t="shared" si="190"/>
        <v>Balance de omegas favorable</v>
      </c>
    </row>
    <row r="406" spans="1:81" ht="15" customHeight="1" x14ac:dyDescent="0.3">
      <c r="A406" s="2">
        <f t="shared" si="191"/>
        <v>405</v>
      </c>
      <c r="B406" s="3" t="s">
        <v>488</v>
      </c>
      <c r="C406" s="3" t="s">
        <v>539</v>
      </c>
      <c r="D406" s="3" t="s">
        <v>550</v>
      </c>
      <c r="E406" s="3"/>
      <c r="F406" s="4">
        <v>1.5</v>
      </c>
      <c r="G406" s="5">
        <v>1</v>
      </c>
      <c r="H406" s="5">
        <v>218</v>
      </c>
      <c r="I406" s="5">
        <v>58.9</v>
      </c>
      <c r="J406" s="5">
        <v>0</v>
      </c>
      <c r="K406" s="5">
        <v>23.9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13.6</v>
      </c>
      <c r="R406" s="5">
        <v>2.8</v>
      </c>
      <c r="S406" s="5">
        <v>4.7</v>
      </c>
      <c r="T406" s="5">
        <v>4.9000000000000004</v>
      </c>
      <c r="U406" s="5">
        <v>65</v>
      </c>
      <c r="V406" s="5">
        <v>49</v>
      </c>
      <c r="W406" s="5">
        <v>49</v>
      </c>
      <c r="X406" s="5">
        <v>0</v>
      </c>
      <c r="Y406" s="5">
        <v>8.1999999999999993</v>
      </c>
      <c r="Z406" s="5">
        <v>0.3</v>
      </c>
      <c r="AA406" s="5">
        <v>0.04</v>
      </c>
      <c r="AB406" s="5">
        <v>0.04</v>
      </c>
      <c r="AC406" s="5">
        <v>0.31</v>
      </c>
      <c r="AD406" s="5">
        <v>12.6</v>
      </c>
      <c r="AE406" s="5">
        <v>0.47</v>
      </c>
      <c r="AF406" s="5">
        <v>8.6999999999999993</v>
      </c>
      <c r="AG406" s="5">
        <v>29.6</v>
      </c>
      <c r="AH406" s="5">
        <v>0.5</v>
      </c>
      <c r="AI406" s="5">
        <v>5</v>
      </c>
      <c r="AJ406" s="5">
        <v>0</v>
      </c>
      <c r="AK406" s="5">
        <v>314</v>
      </c>
      <c r="AL406" s="5">
        <v>430</v>
      </c>
      <c r="AM406" s="5">
        <v>2.9</v>
      </c>
      <c r="AN406" s="5">
        <v>33.4</v>
      </c>
      <c r="AO406" s="5">
        <v>2.8</v>
      </c>
      <c r="AP406" s="5">
        <v>49.3</v>
      </c>
      <c r="AQ406" s="5">
        <v>480</v>
      </c>
      <c r="AR406" s="5">
        <v>388</v>
      </c>
      <c r="AS406" s="5">
        <v>0.11</v>
      </c>
      <c r="AT406" s="5">
        <v>0.19</v>
      </c>
      <c r="AU406" s="5">
        <v>50</v>
      </c>
      <c r="AV406" s="5">
        <f>IFERROR(VLOOKUP(IFERROR(VLOOKUP(D406,Mapa_Similitud!$A$2:$B$2000,2,FALSE()),D406),Hoja1!$A$2:$K$1000,2,FALSE()),IFERROR(VLOOKUP(IFERROR(VLOOKUP(D406,Mapa_Similitud!$A$2:$B$2000,2,FALSE()),D406),Omega3_Referencia!$A$2:$E$100,3,FALSE()),0))</f>
        <v>1.48</v>
      </c>
      <c r="AW406" s="3" t="str">
        <f>IFERROR(VLOOKUP(IFERROR(VLOOKUP(D406,Mapa_Similitud!$A$2:$B$2000,2,FALSE()),D406),Hoja1!$A$2:$K$1000,3,FALSE()),IFERROR(VLOOKUP(IFERROR(VLOOKUP(D406,Mapa_Similitud!$A$2:$B$2000,2,FALSE()),D406),Omega3_Referencia!$A$2:$E$100,4,FALSE()),"N/A"))</f>
        <v>EPA/DHA</v>
      </c>
      <c r="AX406" s="5">
        <f>IFERROR(VLOOKUP(IFERROR(VLOOKUP(D406,Mapa_Similitud!$A$2:$B$2000,2,FALSE()),D406),Hoja1!$A$2:$K$1000,5,FALSE()),0)</f>
        <v>0</v>
      </c>
      <c r="AY406" s="5">
        <f>IFERROR(VLOOKUP(IFERROR(VLOOKUP(D406,Mapa_Similitud!$A$2:$B$2000,2,FALSE()),D406),Hoja1!$A$2:$K$1000,7,FALSE()),0)</f>
        <v>0</v>
      </c>
      <c r="AZ406" s="5">
        <f>IFERROR(VLOOKUP(IFERROR(VLOOKUP(D406,Mapa_Similitud!$A$2:$B$2000,2,FALSE()),D406),Hoja1!$A$2:$K$1000,9,FALSE()),0)</f>
        <v>0</v>
      </c>
      <c r="BA406" s="25">
        <f t="shared" si="174"/>
        <v>0.10963302752293577</v>
      </c>
      <c r="BB406" s="25">
        <f t="shared" si="175"/>
        <v>0</v>
      </c>
      <c r="BC406" s="25">
        <f t="shared" si="176"/>
        <v>1.4403669724770642</v>
      </c>
      <c r="BD406" s="25">
        <f t="shared" si="177"/>
        <v>1.3302752293577981E-2</v>
      </c>
      <c r="BE406" s="25">
        <f t="shared" si="178"/>
        <v>2.2018348623853212</v>
      </c>
      <c r="BF406" s="25">
        <f t="shared" si="179"/>
        <v>1.7500000000000002</v>
      </c>
      <c r="BG406" s="25">
        <f t="shared" si="180"/>
        <v>0.73023255813953492</v>
      </c>
      <c r="BH406" s="25">
        <f t="shared" si="181"/>
        <v>0.20588235294117646</v>
      </c>
      <c r="BI406" s="25">
        <f t="shared" si="182"/>
        <v>1.2371134020618557</v>
      </c>
      <c r="BJ406" s="25">
        <f t="shared" si="183"/>
        <v>0</v>
      </c>
      <c r="BK406" s="25">
        <f t="shared" si="184"/>
        <v>0</v>
      </c>
      <c r="BL406" s="25">
        <f t="shared" si="185"/>
        <v>0.5614678899082568</v>
      </c>
      <c r="BM406" s="25">
        <f t="shared" si="186"/>
        <v>0.22614678899082569</v>
      </c>
      <c r="BN406" s="18" t="str">
        <f t="shared" si="192"/>
        <v>Media fuente de proteína</v>
      </c>
      <c r="BO406" s="18" t="str">
        <f t="shared" si="193"/>
        <v>Baja fuente de fibra</v>
      </c>
      <c r="BP406" s="18" t="str">
        <f t="shared" si="194"/>
        <v>Media fuente de calcio</v>
      </c>
      <c r="BQ406" s="18" t="str">
        <f t="shared" si="195"/>
        <v>Media fuente de hierro</v>
      </c>
      <c r="BR406" s="18" t="str">
        <f t="shared" si="196"/>
        <v>Muy alto en sodio</v>
      </c>
      <c r="BS406" s="6" t="str">
        <f t="shared" si="187"/>
        <v>Ligeramente antiinflamatorio</v>
      </c>
      <c r="BT406" s="6" t="str">
        <f t="shared" si="188"/>
        <v>Muy alto en grasas</v>
      </c>
      <c r="BU406" s="18" t="str">
        <f t="shared" si="197"/>
        <v>Alto riesgo de retención de líquidos</v>
      </c>
      <c r="BV406" s="18" t="str">
        <f t="shared" si="198"/>
        <v>Media fuente de magnesio</v>
      </c>
      <c r="BW406" s="18" t="str">
        <f t="shared" si="199"/>
        <v>Alta fuente de Omega 3</v>
      </c>
      <c r="BX406" s="18" t="str">
        <f t="shared" si="200"/>
        <v>Libre de grasas trans</v>
      </c>
      <c r="BY406" s="18" t="str">
        <f t="shared" si="201"/>
        <v>Bajo poder antioxidante</v>
      </c>
      <c r="BZ406" s="6" t="str">
        <f t="shared" si="189"/>
        <v>Sin probióticos</v>
      </c>
      <c r="CA406" s="18" t="str">
        <f t="shared" si="202"/>
        <v>Antiinflamatorio</v>
      </c>
      <c r="CB406" s="18" t="str">
        <f>IF(ISNUMBER(SEARCH("miel", D406)), "No irritante (Uso condicionado SII)", IF(OR(J406&gt;0, ISNUMBER(SEARCH("cacao", D406)), ISNUMBER(SEARCH("chocolate puro", D406))), "Altamente irritante", IF(OR(AND(O406&gt;15, BI406&gt;1), ISNUMBER(SEARCH("chocolate", D406))), "Moderadamente irritante", "No irritante")))</f>
        <v>No irritante</v>
      </c>
      <c r="CC406" s="6" t="str">
        <f t="shared" si="190"/>
        <v>Balance de omegas favorable</v>
      </c>
    </row>
    <row r="407" spans="1:81" ht="15" customHeight="1" x14ac:dyDescent="0.3">
      <c r="A407" s="2">
        <f t="shared" si="191"/>
        <v>406</v>
      </c>
      <c r="B407" s="3" t="s">
        <v>488</v>
      </c>
      <c r="C407" s="3" t="s">
        <v>551</v>
      </c>
      <c r="D407" s="3" t="s">
        <v>552</v>
      </c>
      <c r="E407" s="3"/>
      <c r="F407" s="4">
        <v>15</v>
      </c>
      <c r="G407" s="5">
        <v>0.8</v>
      </c>
      <c r="H407" s="5">
        <v>322</v>
      </c>
      <c r="I407" s="5">
        <v>22.6</v>
      </c>
      <c r="J407" s="5">
        <v>0</v>
      </c>
      <c r="K407" s="5">
        <v>75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2.4</v>
      </c>
      <c r="R407" s="5">
        <v>0.71</v>
      </c>
      <c r="S407" s="5">
        <v>0.4</v>
      </c>
      <c r="T407" s="5">
        <v>0.59</v>
      </c>
      <c r="U407" s="5">
        <v>56</v>
      </c>
      <c r="V407" s="5">
        <v>42</v>
      </c>
      <c r="W407" s="5">
        <v>42</v>
      </c>
      <c r="X407" s="5">
        <v>0</v>
      </c>
      <c r="Y407" s="5">
        <v>5</v>
      </c>
      <c r="Z407" s="5">
        <v>1.3</v>
      </c>
      <c r="AA407" s="5">
        <v>0.01</v>
      </c>
      <c r="AB407" s="5">
        <v>0.08</v>
      </c>
      <c r="AC407" s="5">
        <v>0.45</v>
      </c>
      <c r="AD407" s="5">
        <v>15.1</v>
      </c>
      <c r="AE407" s="5">
        <v>0.6</v>
      </c>
      <c r="AF407" s="5">
        <v>14</v>
      </c>
      <c r="AG407" s="5">
        <v>5</v>
      </c>
      <c r="AH407" s="5">
        <v>1.7</v>
      </c>
      <c r="AI407" s="5">
        <v>0</v>
      </c>
      <c r="AJ407" s="5">
        <v>0.1</v>
      </c>
      <c r="AK407" s="5">
        <v>50</v>
      </c>
      <c r="AL407" s="5">
        <v>891</v>
      </c>
      <c r="AM407" s="5">
        <v>3.6</v>
      </c>
      <c r="AN407" s="5">
        <v>170</v>
      </c>
      <c r="AO407" s="5">
        <v>1.6</v>
      </c>
      <c r="AP407" s="5">
        <v>28</v>
      </c>
      <c r="AQ407" s="5">
        <v>8100</v>
      </c>
      <c r="AR407" s="5">
        <v>300</v>
      </c>
      <c r="AS407" s="5">
        <v>0.05</v>
      </c>
      <c r="AT407" s="5">
        <v>0.18</v>
      </c>
      <c r="AU407" s="5">
        <v>148</v>
      </c>
      <c r="AV407" s="5">
        <f>IFERROR(VLOOKUP(IFERROR(VLOOKUP(D407,Mapa_Similitud!$A$2:$B$2000,2,FALSE()),D407),Hoja1!$A$2:$K$1000,2,FALSE()),IFERROR(VLOOKUP(IFERROR(VLOOKUP(D407,Mapa_Similitud!$A$2:$B$2000,2,FALSE()),D407),Omega3_Referencia!$A$2:$E$100,3,FALSE()),0))</f>
        <v>0.15</v>
      </c>
      <c r="AW407" s="3" t="str">
        <f>IFERROR(VLOOKUP(IFERROR(VLOOKUP(D407,Mapa_Similitud!$A$2:$B$2000,2,FALSE()),D407),Hoja1!$A$2:$K$1000,3,FALSE()),IFERROR(VLOOKUP(IFERROR(VLOOKUP(D407,Mapa_Similitud!$A$2:$B$2000,2,FALSE()),D407),Omega3_Referencia!$A$2:$E$100,4,FALSE()),"N/A"))</f>
        <v>EPA/DHA</v>
      </c>
      <c r="AX407" s="5">
        <f>IFERROR(VLOOKUP(IFERROR(VLOOKUP(D407,Mapa_Similitud!$A$2:$B$2000,2,FALSE()),D407),Hoja1!$A$2:$K$1000,5,FALSE()),0)</f>
        <v>0</v>
      </c>
      <c r="AY407" s="5">
        <f>IFERROR(VLOOKUP(IFERROR(VLOOKUP(D407,Mapa_Similitud!$A$2:$B$2000,2,FALSE()),D407),Hoja1!$A$2:$K$1000,7,FALSE()),0)</f>
        <v>0</v>
      </c>
      <c r="AZ407" s="5">
        <f>IFERROR(VLOOKUP(IFERROR(VLOOKUP(D407,Mapa_Similitud!$A$2:$B$2000,2,FALSE()),D407),Hoja1!$A$2:$K$1000,9,FALSE()),0)</f>
        <v>0</v>
      </c>
      <c r="BA407" s="25">
        <f t="shared" si="174"/>
        <v>0.23291925465838509</v>
      </c>
      <c r="BB407" s="25">
        <f t="shared" si="175"/>
        <v>0</v>
      </c>
      <c r="BC407" s="25">
        <f t="shared" si="176"/>
        <v>0.15527950310559005</v>
      </c>
      <c r="BD407" s="25">
        <f t="shared" si="177"/>
        <v>1.1180124223602485E-2</v>
      </c>
      <c r="BE407" s="25">
        <f t="shared" si="178"/>
        <v>25.155279503105589</v>
      </c>
      <c r="BF407" s="25">
        <f t="shared" si="179"/>
        <v>0.83098591549295775</v>
      </c>
      <c r="BG407" s="25">
        <f t="shared" si="180"/>
        <v>5.6116722783389451E-2</v>
      </c>
      <c r="BH407" s="25">
        <f t="shared" si="181"/>
        <v>0.29583333333333334</v>
      </c>
      <c r="BI407" s="25">
        <f t="shared" si="182"/>
        <v>27</v>
      </c>
      <c r="BJ407" s="25">
        <f t="shared" si="183"/>
        <v>0</v>
      </c>
      <c r="BK407" s="25">
        <f t="shared" si="184"/>
        <v>0</v>
      </c>
      <c r="BL407" s="25">
        <f t="shared" si="185"/>
        <v>6.70807453416149E-2</v>
      </c>
      <c r="BM407" s="25">
        <f t="shared" si="186"/>
        <v>8.6956521739130432E-2</v>
      </c>
      <c r="BN407" s="18" t="str">
        <f t="shared" si="192"/>
        <v>Muy alta fuente de proteína</v>
      </c>
      <c r="BO407" s="18" t="str">
        <f t="shared" si="193"/>
        <v>Baja fuente de fibra</v>
      </c>
      <c r="BP407" s="18" t="str">
        <f t="shared" si="194"/>
        <v>Baja fuente de calcio</v>
      </c>
      <c r="BQ407" s="18" t="str">
        <f t="shared" si="195"/>
        <v>Media fuente de hierro</v>
      </c>
      <c r="BR407" s="18" t="str">
        <f t="shared" si="196"/>
        <v>Muy alto en sodio</v>
      </c>
      <c r="BS407" s="6" t="str">
        <f t="shared" si="187"/>
        <v>Neutro</v>
      </c>
      <c r="BT407" s="6" t="str">
        <f t="shared" si="188"/>
        <v>Bajo en grasas</v>
      </c>
      <c r="BU407" s="18" t="str">
        <f t="shared" si="197"/>
        <v>Alto riesgo de retención de líquidos</v>
      </c>
      <c r="BV407" s="18" t="str">
        <f t="shared" si="198"/>
        <v>Baja fuente de magnesio</v>
      </c>
      <c r="BW407" s="18" t="str">
        <f t="shared" si="199"/>
        <v>Ligera fuente de Omega 3</v>
      </c>
      <c r="BX407" s="18" t="str">
        <f t="shared" si="200"/>
        <v>Libre de grasas trans</v>
      </c>
      <c r="BY407" s="18" t="str">
        <f t="shared" si="201"/>
        <v>Bajo poder antioxidante</v>
      </c>
      <c r="BZ407" s="6" t="str">
        <f t="shared" si="189"/>
        <v>Sin probióticos</v>
      </c>
      <c r="CA407" s="18" t="str">
        <f t="shared" si="202"/>
        <v>Poco inflamatorio</v>
      </c>
      <c r="CB407" s="18" t="str">
        <f>IF(ISNUMBER(SEARCH("miel", D407)), "No irritante (Uso condicionado SII)", IF(OR(J407&gt;0, ISNUMBER(SEARCH("cacao", D407)), ISNUMBER(SEARCH("chocolate puro", D407))), "Altamente irritante", IF(OR(AND(O407&gt;15, BI407&gt;1), ISNUMBER(SEARCH("chocolate", D407))), "Moderadamente irritante", "No irritante")))</f>
        <v>No irritante</v>
      </c>
      <c r="CC407" s="6" t="str">
        <f t="shared" si="190"/>
        <v>Balance de omegas favorable</v>
      </c>
    </row>
    <row r="408" spans="1:81" ht="15" customHeight="1" x14ac:dyDescent="0.3">
      <c r="A408" s="2">
        <f t="shared" si="191"/>
        <v>407</v>
      </c>
      <c r="B408" s="3" t="s">
        <v>553</v>
      </c>
      <c r="C408" s="3" t="s">
        <v>554</v>
      </c>
      <c r="D408" s="3" t="s">
        <v>555</v>
      </c>
      <c r="E408" s="3"/>
      <c r="F408" s="4">
        <v>1.5</v>
      </c>
      <c r="G408" s="5">
        <v>1</v>
      </c>
      <c r="H408" s="5">
        <v>900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100</v>
      </c>
      <c r="R408" s="5">
        <v>16.899999999999999</v>
      </c>
      <c r="S408" s="5">
        <v>46.2</v>
      </c>
      <c r="T408" s="5">
        <v>32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15.7</v>
      </c>
      <c r="AA408" s="5">
        <v>0.7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0.03</v>
      </c>
      <c r="AN408" s="5">
        <v>0</v>
      </c>
      <c r="AO408" s="5">
        <v>0.01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f>IFERROR(VLOOKUP(IFERROR(VLOOKUP(D408,Mapa_Similitud!$A$2:$B$2000,2,FALSE()),D408),Hoja1!$A$2:$K$1000,2,FALSE()),IFERROR(VLOOKUP(IFERROR(VLOOKUP(D408,Mapa_Similitud!$A$2:$B$2000,2,FALSE()),D408),Omega3_Referencia!$A$2:$E$100,3,FALSE()),0))</f>
        <v>0</v>
      </c>
      <c r="AW408" s="3" t="str">
        <f>IFERROR(VLOOKUP(IFERROR(VLOOKUP(D408,Mapa_Similitud!$A$2:$B$2000,2,FALSE()),D408),Hoja1!$A$2:$K$1000,3,FALSE()),IFERROR(VLOOKUP(IFERROR(VLOOKUP(D408,Mapa_Similitud!$A$2:$B$2000,2,FALSE()),D408),Omega3_Referencia!$A$2:$E$100,4,FALSE()),"N/A"))</f>
        <v>N/A</v>
      </c>
      <c r="AX408" s="5">
        <f>IFERROR(VLOOKUP(IFERROR(VLOOKUP(D408,Mapa_Similitud!$A$2:$B$2000,2,FALSE()),D408),Hoja1!$A$2:$K$1000,5,FALSE()),0)</f>
        <v>0</v>
      </c>
      <c r="AY408" s="5">
        <f>IFERROR(VLOOKUP(IFERROR(VLOOKUP(D408,Mapa_Similitud!$A$2:$B$2000,2,FALSE()),D408),Hoja1!$A$2:$K$1000,7,FALSE()),0)</f>
        <v>0</v>
      </c>
      <c r="AZ408" s="5">
        <f>IFERROR(VLOOKUP(IFERROR(VLOOKUP(D408,Mapa_Similitud!$A$2:$B$2000,2,FALSE()),D408),Hoja1!$A$2:$K$1000,9,FALSE()),0)</f>
        <v>0</v>
      </c>
      <c r="BA408" s="25">
        <f t="shared" si="174"/>
        <v>0</v>
      </c>
      <c r="BB408" s="25">
        <f t="shared" si="175"/>
        <v>0</v>
      </c>
      <c r="BC408" s="25">
        <f t="shared" si="176"/>
        <v>0</v>
      </c>
      <c r="BD408" s="25">
        <f t="shared" si="177"/>
        <v>3.3333333333333335E-5</v>
      </c>
      <c r="BE408" s="25">
        <f t="shared" si="178"/>
        <v>0</v>
      </c>
      <c r="BF408" s="25">
        <f t="shared" si="179"/>
        <v>1.8934911242603552</v>
      </c>
      <c r="BG408" s="25">
        <f t="shared" si="180"/>
        <v>0</v>
      </c>
      <c r="BH408" s="25">
        <f t="shared" si="181"/>
        <v>0.16899999999999998</v>
      </c>
      <c r="BI408" s="25">
        <f t="shared" si="182"/>
        <v>0</v>
      </c>
      <c r="BJ408" s="25">
        <f t="shared" si="183"/>
        <v>0</v>
      </c>
      <c r="BK408" s="25">
        <f t="shared" si="184"/>
        <v>0</v>
      </c>
      <c r="BL408" s="25">
        <f t="shared" si="185"/>
        <v>1</v>
      </c>
      <c r="BM408" s="25">
        <f t="shared" si="186"/>
        <v>0</v>
      </c>
      <c r="BN408" s="18" t="str">
        <f t="shared" si="192"/>
        <v>Baja fuente de proteína</v>
      </c>
      <c r="BO408" s="18" t="str">
        <f t="shared" si="193"/>
        <v>Baja fuente de fibra</v>
      </c>
      <c r="BP408" s="18" t="str">
        <f t="shared" si="194"/>
        <v>Baja fuente de calcio</v>
      </c>
      <c r="BQ408" s="18" t="str">
        <f t="shared" si="195"/>
        <v>Baja fuente de hierro</v>
      </c>
      <c r="BR408" s="18" t="str">
        <f t="shared" si="196"/>
        <v>Bajo en sodio</v>
      </c>
      <c r="BS408" s="6" t="str">
        <f t="shared" si="187"/>
        <v>Ligeramente antiinflamatorio</v>
      </c>
      <c r="BT408" s="6" t="str">
        <f t="shared" si="188"/>
        <v>Muy alto en grasas</v>
      </c>
      <c r="BU408" s="18" t="str">
        <f t="shared" si="197"/>
        <v>Equilibrio de líquidos ideal</v>
      </c>
      <c r="BV408" s="18" t="str">
        <f t="shared" si="198"/>
        <v>Baja fuente de magnesio</v>
      </c>
      <c r="BW408" s="18" t="str">
        <f t="shared" si="199"/>
        <v>Sin aporte de Omega 3</v>
      </c>
      <c r="BX408" s="18" t="str">
        <f t="shared" si="200"/>
        <v>Libre de grasas trans</v>
      </c>
      <c r="BY408" s="18" t="str">
        <f t="shared" si="201"/>
        <v>Bajo poder antioxidante</v>
      </c>
      <c r="BZ408" s="6" t="str">
        <f t="shared" si="189"/>
        <v>Sin probióticos</v>
      </c>
      <c r="CA408" s="18" t="str">
        <f t="shared" si="202"/>
        <v>Poco inflamatorio</v>
      </c>
      <c r="CB408" s="18" t="str">
        <f>IF(ISNUMBER(SEARCH("miel", D408)), "No irritante (Uso condicionado SII)", IF(OR(J408&gt;0, ISNUMBER(SEARCH("cacao", D408)), ISNUMBER(SEARCH("chocolate puro", D408))), "Altamente irritante", IF(OR(AND(O408&gt;15, BI408&gt;1), ISNUMBER(SEARCH("chocolate", D408))), "Moderadamente irritante", "No irritante")))</f>
        <v>No irritante</v>
      </c>
      <c r="CC408" s="6" t="str">
        <f t="shared" si="190"/>
        <v>Sin Omega 3 para evaluar</v>
      </c>
    </row>
    <row r="409" spans="1:81" ht="15" customHeight="1" x14ac:dyDescent="0.3">
      <c r="A409" s="2">
        <f t="shared" si="191"/>
        <v>408</v>
      </c>
      <c r="B409" s="3" t="s">
        <v>553</v>
      </c>
      <c r="C409" s="3" t="s">
        <v>554</v>
      </c>
      <c r="D409" s="3" t="s">
        <v>556</v>
      </c>
      <c r="E409" s="3"/>
      <c r="F409" s="4">
        <v>1.5</v>
      </c>
      <c r="G409" s="5">
        <v>1</v>
      </c>
      <c r="H409" s="5">
        <v>900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100</v>
      </c>
      <c r="R409" s="5">
        <v>86.5</v>
      </c>
      <c r="S409" s="5">
        <v>5.8</v>
      </c>
      <c r="T409" s="5">
        <v>1.8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0.11</v>
      </c>
      <c r="AA409" s="5">
        <v>0.5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0.04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f>IFERROR(VLOOKUP(IFERROR(VLOOKUP(D409,Mapa_Similitud!$A$2:$B$2000,2,FALSE()),D409),Hoja1!$A$2:$K$1000,2,FALSE()),IFERROR(VLOOKUP(IFERROR(VLOOKUP(D409,Mapa_Similitud!$A$2:$B$2000,2,FALSE()),D409),Omega3_Referencia!$A$2:$E$100,3,FALSE()),0))</f>
        <v>0</v>
      </c>
      <c r="AW409" s="3" t="str">
        <f>IFERROR(VLOOKUP(IFERROR(VLOOKUP(D409,Mapa_Similitud!$A$2:$B$2000,2,FALSE()),D409),Hoja1!$A$2:$K$1000,3,FALSE()),IFERROR(VLOOKUP(IFERROR(VLOOKUP(D409,Mapa_Similitud!$A$2:$B$2000,2,FALSE()),D409),Omega3_Referencia!$A$2:$E$100,4,FALSE()),"N/A"))</f>
        <v>N/A</v>
      </c>
      <c r="AX409" s="5">
        <f>IFERROR(VLOOKUP(IFERROR(VLOOKUP(D409,Mapa_Similitud!$A$2:$B$2000,2,FALSE()),D409),Hoja1!$A$2:$K$1000,5,FALSE()),0)</f>
        <v>0</v>
      </c>
      <c r="AY409" s="5">
        <f>IFERROR(VLOOKUP(IFERROR(VLOOKUP(D409,Mapa_Similitud!$A$2:$B$2000,2,FALSE()),D409),Hoja1!$A$2:$K$1000,7,FALSE()),0)</f>
        <v>0</v>
      </c>
      <c r="AZ409" s="5">
        <f>IFERROR(VLOOKUP(IFERROR(VLOOKUP(D409,Mapa_Similitud!$A$2:$B$2000,2,FALSE()),D409),Hoja1!$A$2:$K$1000,9,FALSE()),0)</f>
        <v>0</v>
      </c>
      <c r="BA409" s="25">
        <f t="shared" si="174"/>
        <v>0</v>
      </c>
      <c r="BB409" s="25">
        <f t="shared" si="175"/>
        <v>0</v>
      </c>
      <c r="BC409" s="25">
        <f t="shared" si="176"/>
        <v>0</v>
      </c>
      <c r="BD409" s="25">
        <f t="shared" si="177"/>
        <v>4.4444444444444447E-5</v>
      </c>
      <c r="BE409" s="25">
        <f t="shared" si="178"/>
        <v>0</v>
      </c>
      <c r="BF409" s="25">
        <f t="shared" si="179"/>
        <v>2.0809248554913295E-2</v>
      </c>
      <c r="BG409" s="25">
        <f t="shared" si="180"/>
        <v>0</v>
      </c>
      <c r="BH409" s="25">
        <f t="shared" si="181"/>
        <v>0.86499999999999999</v>
      </c>
      <c r="BI409" s="25">
        <f t="shared" si="182"/>
        <v>0</v>
      </c>
      <c r="BJ409" s="25">
        <f t="shared" si="183"/>
        <v>0</v>
      </c>
      <c r="BK409" s="25">
        <f t="shared" si="184"/>
        <v>0</v>
      </c>
      <c r="BL409" s="25">
        <f t="shared" si="185"/>
        <v>1</v>
      </c>
      <c r="BM409" s="25">
        <f t="shared" si="186"/>
        <v>0</v>
      </c>
      <c r="BN409" s="18" t="str">
        <f t="shared" si="192"/>
        <v>Baja fuente de proteína</v>
      </c>
      <c r="BO409" s="18" t="str">
        <f t="shared" si="193"/>
        <v>Baja fuente de fibra</v>
      </c>
      <c r="BP409" s="18" t="str">
        <f t="shared" si="194"/>
        <v>Baja fuente de calcio</v>
      </c>
      <c r="BQ409" s="18" t="str">
        <f t="shared" si="195"/>
        <v>Baja fuente de hierro</v>
      </c>
      <c r="BR409" s="18" t="str">
        <f t="shared" si="196"/>
        <v>Bajo en sodio</v>
      </c>
      <c r="BS409" s="6" t="str">
        <f t="shared" si="187"/>
        <v>Proinflamatorio</v>
      </c>
      <c r="BT409" s="6" t="str">
        <f t="shared" si="188"/>
        <v>Muy alto en grasas</v>
      </c>
      <c r="BU409" s="18" t="str">
        <f t="shared" si="197"/>
        <v>Equilibrio de líquidos ideal</v>
      </c>
      <c r="BV409" s="18" t="str">
        <f t="shared" si="198"/>
        <v>Baja fuente de magnesio</v>
      </c>
      <c r="BW409" s="18" t="str">
        <f t="shared" si="199"/>
        <v>Sin aporte de Omega 3</v>
      </c>
      <c r="BX409" s="18" t="str">
        <f t="shared" si="200"/>
        <v>Libre de grasas trans</v>
      </c>
      <c r="BY409" s="18" t="str">
        <f t="shared" si="201"/>
        <v>Bajo poder antioxidante</v>
      </c>
      <c r="BZ409" s="6" t="str">
        <f t="shared" si="189"/>
        <v>Sin probióticos</v>
      </c>
      <c r="CA409" s="18" t="str">
        <f t="shared" si="202"/>
        <v>Poco inflamatorio</v>
      </c>
      <c r="CB409" s="18" t="str">
        <f>IF(ISNUMBER(SEARCH("miel", D409)), "No irritante (Uso condicionado SII)", IF(OR(J409&gt;0, ISNUMBER(SEARCH("cacao", D409)), ISNUMBER(SEARCH("chocolate puro", D409))), "Altamente irritante", IF(OR(AND(O409&gt;15, BI409&gt;1), ISNUMBER(SEARCH("chocolate", D409))), "Moderadamente irritante", "No irritante")))</f>
        <v>No irritante</v>
      </c>
      <c r="CC409" s="6" t="str">
        <f t="shared" si="190"/>
        <v>Sin Omega 3 para evaluar</v>
      </c>
    </row>
    <row r="410" spans="1:81" ht="15" customHeight="1" x14ac:dyDescent="0.3">
      <c r="A410" s="2">
        <f t="shared" si="191"/>
        <v>409</v>
      </c>
      <c r="B410" s="3" t="s">
        <v>553</v>
      </c>
      <c r="C410" s="3" t="s">
        <v>554</v>
      </c>
      <c r="D410" s="3" t="s">
        <v>557</v>
      </c>
      <c r="E410" s="3"/>
      <c r="F410" s="4">
        <v>1.5</v>
      </c>
      <c r="G410" s="5">
        <v>1</v>
      </c>
      <c r="H410" s="5">
        <v>900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100</v>
      </c>
      <c r="R410" s="5">
        <v>7</v>
      </c>
      <c r="S410" s="5">
        <v>60.5</v>
      </c>
      <c r="T410" s="5">
        <v>26.3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42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5.6</v>
      </c>
      <c r="AL410" s="5">
        <v>0</v>
      </c>
      <c r="AM410" s="5">
        <v>2.3E-2</v>
      </c>
      <c r="AN410" s="5">
        <v>0.4</v>
      </c>
      <c r="AO410" s="5">
        <v>0.05</v>
      </c>
      <c r="AP410" s="5">
        <v>0.57999999999999996</v>
      </c>
      <c r="AQ410" s="5">
        <v>5.5</v>
      </c>
      <c r="AR410" s="5">
        <v>10.7</v>
      </c>
      <c r="AS410" s="5">
        <v>0</v>
      </c>
      <c r="AT410" s="5">
        <v>0</v>
      </c>
      <c r="AU410" s="5">
        <v>10</v>
      </c>
      <c r="AV410" s="5">
        <f>IFERROR(VLOOKUP(IFERROR(VLOOKUP(D410,Mapa_Similitud!$A$2:$B$2000,2,FALSE()),D410),Hoja1!$A$2:$K$1000,2,FALSE()),IFERROR(VLOOKUP(IFERROR(VLOOKUP(D410,Mapa_Similitud!$A$2:$B$2000,2,FALSE()),D410),Omega3_Referencia!$A$2:$E$100,3,FALSE()),0))</f>
        <v>9</v>
      </c>
      <c r="AW410" s="3" t="str">
        <f>IFERROR(VLOOKUP(IFERROR(VLOOKUP(D410,Mapa_Similitud!$A$2:$B$2000,2,FALSE()),D410),Hoja1!$A$2:$K$1000,3,FALSE()),IFERROR(VLOOKUP(IFERROR(VLOOKUP(D410,Mapa_Similitud!$A$2:$B$2000,2,FALSE()),D410),Omega3_Referencia!$A$2:$E$100,4,FALSE()),"N/A"))</f>
        <v>ALA</v>
      </c>
      <c r="AX410" s="5">
        <f>IFERROR(VLOOKUP(IFERROR(VLOOKUP(D410,Mapa_Similitud!$A$2:$B$2000,2,FALSE()),D410),Hoja1!$A$2:$K$1000,5,FALSE()),0)</f>
        <v>0</v>
      </c>
      <c r="AY410" s="5">
        <f>IFERROR(VLOOKUP(IFERROR(VLOOKUP(D410,Mapa_Similitud!$A$2:$B$2000,2,FALSE()),D410),Hoja1!$A$2:$K$1000,7,FALSE()),0)</f>
        <v>0</v>
      </c>
      <c r="AZ410" s="5">
        <f>IFERROR(VLOOKUP(IFERROR(VLOOKUP(D410,Mapa_Similitud!$A$2:$B$2000,2,FALSE()),D410),Hoja1!$A$2:$K$1000,9,FALSE()),0)</f>
        <v>0</v>
      </c>
      <c r="BA410" s="25">
        <f t="shared" si="174"/>
        <v>0</v>
      </c>
      <c r="BB410" s="25">
        <f t="shared" si="175"/>
        <v>0</v>
      </c>
      <c r="BC410" s="25">
        <f t="shared" si="176"/>
        <v>6.2222222222222219E-3</v>
      </c>
      <c r="BD410" s="25">
        <f t="shared" si="177"/>
        <v>2.5555555555555554E-5</v>
      </c>
      <c r="BE410" s="25">
        <f t="shared" si="178"/>
        <v>6.1111111111111114E-3</v>
      </c>
      <c r="BF410" s="25">
        <f t="shared" si="179"/>
        <v>3.7571428571428571</v>
      </c>
      <c r="BG410" s="25">
        <f t="shared" si="180"/>
        <v>0</v>
      </c>
      <c r="BH410" s="25">
        <f t="shared" si="181"/>
        <v>7.0000000000000007E-2</v>
      </c>
      <c r="BI410" s="25">
        <f t="shared" si="182"/>
        <v>0.5140186915887851</v>
      </c>
      <c r="BJ410" s="25">
        <f t="shared" si="183"/>
        <v>0</v>
      </c>
      <c r="BK410" s="25">
        <f t="shared" si="184"/>
        <v>0</v>
      </c>
      <c r="BL410" s="25">
        <f t="shared" si="185"/>
        <v>1</v>
      </c>
      <c r="BM410" s="25">
        <f t="shared" si="186"/>
        <v>6.4444444444444445E-4</v>
      </c>
      <c r="BN410" s="18" t="str">
        <f t="shared" si="192"/>
        <v>Baja fuente de proteína</v>
      </c>
      <c r="BO410" s="18" t="str">
        <f t="shared" si="193"/>
        <v>Baja fuente de fibra</v>
      </c>
      <c r="BP410" s="18" t="str">
        <f t="shared" si="194"/>
        <v>Baja fuente de calcio</v>
      </c>
      <c r="BQ410" s="18" t="str">
        <f t="shared" si="195"/>
        <v>Baja fuente de hierro</v>
      </c>
      <c r="BR410" s="18" t="str">
        <f t="shared" si="196"/>
        <v>Bajo en sodio</v>
      </c>
      <c r="BS410" s="6" t="str">
        <f t="shared" si="187"/>
        <v>Altamente antiinflamatorio</v>
      </c>
      <c r="BT410" s="6" t="str">
        <f t="shared" si="188"/>
        <v>Muy alto en grasas</v>
      </c>
      <c r="BU410" s="18" t="str">
        <f t="shared" si="197"/>
        <v>Riesgo moderado de retención</v>
      </c>
      <c r="BV410" s="18" t="str">
        <f t="shared" si="198"/>
        <v>Baja fuente de magnesio</v>
      </c>
      <c r="BW410" s="18" t="str">
        <f t="shared" si="199"/>
        <v>Alta fuente de Omega 3</v>
      </c>
      <c r="BX410" s="18" t="str">
        <f t="shared" si="200"/>
        <v>Libre de grasas trans</v>
      </c>
      <c r="BY410" s="18" t="str">
        <f t="shared" si="201"/>
        <v>Bajo poder antioxidante</v>
      </c>
      <c r="BZ410" s="6" t="str">
        <f t="shared" si="189"/>
        <v>Sin probióticos</v>
      </c>
      <c r="CA410" s="18" t="str">
        <f t="shared" si="202"/>
        <v>Antiinflamatorio</v>
      </c>
      <c r="CB410" s="18" t="str">
        <f>IF(ISNUMBER(SEARCH("miel", D410)), "No irritante (Uso condicionado SII)", IF(OR(J410&gt;0, ISNUMBER(SEARCH("cacao", D410)), ISNUMBER(SEARCH("chocolate puro", D410))), "Altamente irritante", IF(OR(AND(O410&gt;15, BI410&gt;1), ISNUMBER(SEARCH("chocolate", D410))), "Moderadamente irritante", "No irritante")))</f>
        <v>No irritante</v>
      </c>
      <c r="CC410" s="6" t="str">
        <f t="shared" si="190"/>
        <v>Balance de omegas favorable</v>
      </c>
    </row>
    <row r="411" spans="1:81" ht="15" customHeight="1" x14ac:dyDescent="0.3">
      <c r="A411" s="2">
        <f t="shared" si="191"/>
        <v>410</v>
      </c>
      <c r="B411" s="3" t="s">
        <v>553</v>
      </c>
      <c r="C411" s="3" t="s">
        <v>554</v>
      </c>
      <c r="D411" s="3" t="s">
        <v>558</v>
      </c>
      <c r="E411" s="3"/>
      <c r="F411" s="4">
        <v>1.5</v>
      </c>
      <c r="G411" s="5">
        <v>1</v>
      </c>
      <c r="H411" s="5">
        <v>899</v>
      </c>
      <c r="I411" s="5">
        <v>0.1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99.9</v>
      </c>
      <c r="R411" s="5">
        <v>18.8</v>
      </c>
      <c r="S411" s="5">
        <v>15.1</v>
      </c>
      <c r="T411" s="5">
        <v>61.7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215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f>IFERROR(VLOOKUP(IFERROR(VLOOKUP(D411,Mapa_Similitud!$A$2:$B$2000,2,FALSE()),D411),Hoja1!$A$2:$K$1000,2,FALSE()),IFERROR(VLOOKUP(IFERROR(VLOOKUP(D411,Mapa_Similitud!$A$2:$B$2000,2,FALSE()),D411),Omega3_Referencia!$A$2:$E$100,3,FALSE()),0))</f>
        <v>0.5</v>
      </c>
      <c r="AW411" s="3" t="str">
        <f>IFERROR(VLOOKUP(IFERROR(VLOOKUP(D411,Mapa_Similitud!$A$2:$B$2000,2,FALSE()),D411),Hoja1!$A$2:$K$1000,3,FALSE()),IFERROR(VLOOKUP(IFERROR(VLOOKUP(D411,Mapa_Similitud!$A$2:$B$2000,2,FALSE()),D411),Omega3_Referencia!$A$2:$E$100,4,FALSE()),"N/A"))</f>
        <v>ALA</v>
      </c>
      <c r="AX411" s="5">
        <f>IFERROR(VLOOKUP(IFERROR(VLOOKUP(D411,Mapa_Similitud!$A$2:$B$2000,2,FALSE()),D411),Hoja1!$A$2:$K$1000,5,FALSE()),0)</f>
        <v>0</v>
      </c>
      <c r="AY411" s="5">
        <f>IFERROR(VLOOKUP(IFERROR(VLOOKUP(D411,Mapa_Similitud!$A$2:$B$2000,2,FALSE()),D411),Hoja1!$A$2:$K$1000,7,FALSE()),0)</f>
        <v>5</v>
      </c>
      <c r="AZ411" s="5">
        <f>IFERROR(VLOOKUP(IFERROR(VLOOKUP(D411,Mapa_Similitud!$A$2:$B$2000,2,FALSE()),D411),Hoja1!$A$2:$K$1000,9,FALSE()),0)</f>
        <v>0</v>
      </c>
      <c r="BA411" s="25">
        <f t="shared" si="174"/>
        <v>0</v>
      </c>
      <c r="BB411" s="25">
        <f t="shared" si="175"/>
        <v>0</v>
      </c>
      <c r="BC411" s="25">
        <f t="shared" si="176"/>
        <v>0</v>
      </c>
      <c r="BD411" s="25">
        <f t="shared" si="177"/>
        <v>0</v>
      </c>
      <c r="BE411" s="25">
        <f t="shared" si="178"/>
        <v>0</v>
      </c>
      <c r="BF411" s="25">
        <f t="shared" si="179"/>
        <v>3.2819148936170213</v>
      </c>
      <c r="BG411" s="25">
        <f t="shared" si="180"/>
        <v>0</v>
      </c>
      <c r="BH411" s="25">
        <f t="shared" si="181"/>
        <v>0.18818818818818819</v>
      </c>
      <c r="BI411" s="25">
        <f t="shared" si="182"/>
        <v>0</v>
      </c>
      <c r="BJ411" s="25">
        <f t="shared" si="183"/>
        <v>0</v>
      </c>
      <c r="BK411" s="25">
        <f t="shared" si="184"/>
        <v>0</v>
      </c>
      <c r="BL411" s="25">
        <f t="shared" si="185"/>
        <v>1.0001112347052281</v>
      </c>
      <c r="BM411" s="25">
        <f t="shared" si="186"/>
        <v>0</v>
      </c>
      <c r="BN411" s="18" t="str">
        <f t="shared" si="192"/>
        <v>Baja fuente de proteína</v>
      </c>
      <c r="BO411" s="18" t="str">
        <f t="shared" si="193"/>
        <v>Baja fuente de fibra</v>
      </c>
      <c r="BP411" s="18" t="str">
        <f t="shared" si="194"/>
        <v>Baja fuente de calcio</v>
      </c>
      <c r="BQ411" s="18" t="str">
        <f t="shared" si="195"/>
        <v>Baja fuente de hierro</v>
      </c>
      <c r="BR411" s="18" t="str">
        <f t="shared" si="196"/>
        <v>Bajo en sodio</v>
      </c>
      <c r="BS411" s="6" t="str">
        <f t="shared" si="187"/>
        <v>Altamente antiinflamatorio</v>
      </c>
      <c r="BT411" s="6" t="str">
        <f t="shared" si="188"/>
        <v>Muy alto en grasas</v>
      </c>
      <c r="BU411" s="18" t="str">
        <f t="shared" si="197"/>
        <v>Equilibrio de líquidos ideal</v>
      </c>
      <c r="BV411" s="18" t="str">
        <f t="shared" si="198"/>
        <v>Baja fuente de magnesio</v>
      </c>
      <c r="BW411" s="18" t="str">
        <f t="shared" si="199"/>
        <v>Alta fuente de Omega 3</v>
      </c>
      <c r="BX411" s="18" t="str">
        <f t="shared" si="200"/>
        <v>Libre de grasas trans</v>
      </c>
      <c r="BY411" s="18" t="str">
        <f t="shared" si="201"/>
        <v>Bajo poder antioxidante</v>
      </c>
      <c r="BZ411" s="6" t="str">
        <f t="shared" si="189"/>
        <v>Sin probióticos</v>
      </c>
      <c r="CA411" s="18" t="str">
        <f t="shared" si="202"/>
        <v>Antiinflamatorio</v>
      </c>
      <c r="CB411" s="18" t="str">
        <f>IF(ISNUMBER(SEARCH("miel", D411)), "No irritante (Uso condicionado SII)", IF(OR(J411&gt;0, ISNUMBER(SEARCH("cacao", D411)), ISNUMBER(SEARCH("chocolate puro", D411))), "Altamente irritante", IF(OR(AND(O411&gt;15, BI411&gt;1), ISNUMBER(SEARCH("chocolate", D411))), "Moderadamente irritante", "No irritante")))</f>
        <v>No irritante</v>
      </c>
      <c r="CC411" s="6" t="str">
        <f t="shared" si="190"/>
        <v>Exceso relativo de Omega 6</v>
      </c>
    </row>
    <row r="412" spans="1:81" ht="15" customHeight="1" x14ac:dyDescent="0.3">
      <c r="A412" s="2">
        <f t="shared" si="191"/>
        <v>411</v>
      </c>
      <c r="B412" s="3" t="s">
        <v>553</v>
      </c>
      <c r="C412" s="3" t="s">
        <v>554</v>
      </c>
      <c r="D412" s="3" t="s">
        <v>559</v>
      </c>
      <c r="E412" s="3"/>
      <c r="F412" s="4">
        <v>1.5</v>
      </c>
      <c r="G412" s="5">
        <v>1</v>
      </c>
      <c r="H412" s="5">
        <v>899</v>
      </c>
      <c r="I412" s="5">
        <v>0.1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99.9</v>
      </c>
      <c r="R412" s="5">
        <v>12</v>
      </c>
      <c r="S412" s="5">
        <v>20.5</v>
      </c>
      <c r="T412" s="5">
        <v>63.3</v>
      </c>
      <c r="U412" s="5">
        <v>0</v>
      </c>
      <c r="V412" s="5">
        <v>4.3</v>
      </c>
      <c r="W412" s="5">
        <v>0</v>
      </c>
      <c r="X412" s="5">
        <v>26</v>
      </c>
      <c r="Y412" s="5">
        <v>0</v>
      </c>
      <c r="Z412" s="5">
        <v>62.2</v>
      </c>
      <c r="AA412" s="5">
        <v>9.4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0.03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f>IFERROR(VLOOKUP(IFERROR(VLOOKUP(D412,Mapa_Similitud!$A$2:$B$2000,2,FALSE()),D412),Hoja1!$A$2:$K$1000,2,FALSE()),IFERROR(VLOOKUP(IFERROR(VLOOKUP(D412,Mapa_Similitud!$A$2:$B$2000,2,FALSE()),D412),Omega3_Referencia!$A$2:$E$100,3,FALSE()),0))</f>
        <v>0.05</v>
      </c>
      <c r="AW412" s="3" t="str">
        <f>IFERROR(VLOOKUP(IFERROR(VLOOKUP(D412,Mapa_Similitud!$A$2:$B$2000,2,FALSE()),D412),Hoja1!$A$2:$K$1000,3,FALSE()),IFERROR(VLOOKUP(IFERROR(VLOOKUP(D412,Mapa_Similitud!$A$2:$B$2000,2,FALSE()),D412),Omega3_Referencia!$A$2:$E$100,4,FALSE()),"N/A"))</f>
        <v>ALA</v>
      </c>
      <c r="AX412" s="5">
        <f>IFERROR(VLOOKUP(IFERROR(VLOOKUP(D412,Mapa_Similitud!$A$2:$B$2000,2,FALSE()),D412),Hoja1!$A$2:$K$1000,5,FALSE()),0)</f>
        <v>0</v>
      </c>
      <c r="AY412" s="5">
        <f>IFERROR(VLOOKUP(IFERROR(VLOOKUP(D412,Mapa_Similitud!$A$2:$B$2000,2,FALSE()),D412),Hoja1!$A$2:$K$1000,7,FALSE()),0)</f>
        <v>0</v>
      </c>
      <c r="AZ412" s="5">
        <f>IFERROR(VLOOKUP(IFERROR(VLOOKUP(D412,Mapa_Similitud!$A$2:$B$2000,2,FALSE()),D412),Hoja1!$A$2:$K$1000,9,FALSE()),0)</f>
        <v>0</v>
      </c>
      <c r="BA412" s="25">
        <f t="shared" si="174"/>
        <v>0</v>
      </c>
      <c r="BB412" s="25">
        <f t="shared" si="175"/>
        <v>0</v>
      </c>
      <c r="BC412" s="25">
        <f t="shared" si="176"/>
        <v>0</v>
      </c>
      <c r="BD412" s="25">
        <f t="shared" si="177"/>
        <v>3.3370411568409345E-5</v>
      </c>
      <c r="BE412" s="25">
        <f t="shared" si="178"/>
        <v>0</v>
      </c>
      <c r="BF412" s="25">
        <f t="shared" si="179"/>
        <v>5.2749999999999995</v>
      </c>
      <c r="BG412" s="25">
        <f t="shared" si="180"/>
        <v>0</v>
      </c>
      <c r="BH412" s="25">
        <f t="shared" si="181"/>
        <v>0.12012012012012012</v>
      </c>
      <c r="BI412" s="25">
        <f t="shared" si="182"/>
        <v>0</v>
      </c>
      <c r="BJ412" s="25">
        <f t="shared" si="183"/>
        <v>0</v>
      </c>
      <c r="BK412" s="25">
        <f t="shared" si="184"/>
        <v>0</v>
      </c>
      <c r="BL412" s="25">
        <f t="shared" si="185"/>
        <v>1.0001112347052281</v>
      </c>
      <c r="BM412" s="25">
        <f t="shared" si="186"/>
        <v>0</v>
      </c>
      <c r="BN412" s="18" t="str">
        <f t="shared" si="192"/>
        <v>Baja fuente de proteína</v>
      </c>
      <c r="BO412" s="18" t="str">
        <f t="shared" si="193"/>
        <v>Baja fuente de fibra</v>
      </c>
      <c r="BP412" s="18" t="str">
        <f t="shared" si="194"/>
        <v>Baja fuente de calcio</v>
      </c>
      <c r="BQ412" s="18" t="str">
        <f t="shared" si="195"/>
        <v>Baja fuente de hierro</v>
      </c>
      <c r="BR412" s="18" t="str">
        <f t="shared" si="196"/>
        <v>Bajo en sodio</v>
      </c>
      <c r="BS412" s="6" t="str">
        <f t="shared" si="187"/>
        <v>Altamente antiinflamatorio</v>
      </c>
      <c r="BT412" s="6" t="str">
        <f t="shared" si="188"/>
        <v>Muy alto en grasas</v>
      </c>
      <c r="BU412" s="18" t="str">
        <f t="shared" si="197"/>
        <v>Equilibrio de líquidos ideal</v>
      </c>
      <c r="BV412" s="18" t="str">
        <f t="shared" si="198"/>
        <v>Baja fuente de magnesio</v>
      </c>
      <c r="BW412" s="18" t="str">
        <f t="shared" si="199"/>
        <v>Sin aporte de Omega 3</v>
      </c>
      <c r="BX412" s="18" t="str">
        <f t="shared" si="200"/>
        <v>Libre de grasas trans</v>
      </c>
      <c r="BY412" s="18" t="str">
        <f t="shared" si="201"/>
        <v>Bajo poder antioxidante</v>
      </c>
      <c r="BZ412" s="6" t="str">
        <f t="shared" si="189"/>
        <v>Sin probióticos</v>
      </c>
      <c r="CA412" s="18" t="str">
        <f t="shared" si="202"/>
        <v>Poco inflamatorio</v>
      </c>
      <c r="CB412" s="18" t="str">
        <f>IF(ISNUMBER(SEARCH("miel", D412)), "No irritante (Uso condicionado SII)", IF(OR(J412&gt;0, ISNUMBER(SEARCH("cacao", D412)), ISNUMBER(SEARCH("chocolate puro", D412))), "Altamente irritante", IF(OR(AND(O412&gt;15, BI412&gt;1), ISNUMBER(SEARCH("chocolate", D412))), "Moderadamente irritante", "No irritante")))</f>
        <v>No irritante</v>
      </c>
      <c r="CC412" s="6" t="str">
        <f t="shared" si="190"/>
        <v>Exceso relativo de Omega 6</v>
      </c>
    </row>
    <row r="413" spans="1:81" ht="15" customHeight="1" x14ac:dyDescent="0.3">
      <c r="A413" s="2">
        <f t="shared" si="191"/>
        <v>412</v>
      </c>
      <c r="B413" s="3" t="s">
        <v>553</v>
      </c>
      <c r="C413" s="3" t="s">
        <v>554</v>
      </c>
      <c r="D413" s="3" t="s">
        <v>560</v>
      </c>
      <c r="E413" s="3"/>
      <c r="F413" s="4">
        <v>1.5</v>
      </c>
      <c r="G413" s="5">
        <v>1</v>
      </c>
      <c r="H413" s="5">
        <v>899</v>
      </c>
      <c r="I413" s="5">
        <v>0.1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99.9</v>
      </c>
      <c r="R413" s="5">
        <v>21.1</v>
      </c>
      <c r="S413" s="5">
        <v>44.6</v>
      </c>
      <c r="T413" s="5">
        <v>30.5</v>
      </c>
      <c r="U413" s="5">
        <v>650</v>
      </c>
      <c r="V413" s="5">
        <v>18000</v>
      </c>
      <c r="W413" s="5">
        <v>18000</v>
      </c>
      <c r="X413" s="5">
        <v>0</v>
      </c>
      <c r="Y413" s="5">
        <v>210</v>
      </c>
      <c r="Z413" s="5">
        <v>20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f>IFERROR(VLOOKUP(IFERROR(VLOOKUP(D413,Mapa_Similitud!$A$2:$B$2000,2,FALSE()),D413),Hoja1!$A$2:$K$1000,2,FALSE()),IFERROR(VLOOKUP(IFERROR(VLOOKUP(D413,Mapa_Similitud!$A$2:$B$2000,2,FALSE()),D413),Omega3_Referencia!$A$2:$E$100,3,FALSE()),0))</f>
        <v>20</v>
      </c>
      <c r="AW413" s="3" t="str">
        <f>IFERROR(VLOOKUP(IFERROR(VLOOKUP(D413,Mapa_Similitud!$A$2:$B$2000,2,FALSE()),D413),Hoja1!$A$2:$K$1000,3,FALSE()),IFERROR(VLOOKUP(IFERROR(VLOOKUP(D413,Mapa_Similitud!$A$2:$B$2000,2,FALSE()),D413),Omega3_Referencia!$A$2:$E$100,4,FALSE()),"N/A"))</f>
        <v>EPA/DHA</v>
      </c>
      <c r="AX413" s="5">
        <f>IFERROR(VLOOKUP(IFERROR(VLOOKUP(D413,Mapa_Similitud!$A$2:$B$2000,2,FALSE()),D413),Hoja1!$A$2:$K$1000,5,FALSE()),0)</f>
        <v>0</v>
      </c>
      <c r="AY413" s="5">
        <f>IFERROR(VLOOKUP(IFERROR(VLOOKUP(D413,Mapa_Similitud!$A$2:$B$2000,2,FALSE()),D413),Hoja1!$A$2:$K$1000,7,FALSE()),0)</f>
        <v>0</v>
      </c>
      <c r="AZ413" s="5">
        <f>IFERROR(VLOOKUP(IFERROR(VLOOKUP(D413,Mapa_Similitud!$A$2:$B$2000,2,FALSE()),D413),Hoja1!$A$2:$K$1000,9,FALSE()),0)</f>
        <v>0</v>
      </c>
      <c r="BA413" s="25">
        <f t="shared" si="174"/>
        <v>0</v>
      </c>
      <c r="BB413" s="25">
        <f t="shared" si="175"/>
        <v>0</v>
      </c>
      <c r="BC413" s="25">
        <f t="shared" si="176"/>
        <v>0</v>
      </c>
      <c r="BD413" s="25">
        <f t="shared" si="177"/>
        <v>0</v>
      </c>
      <c r="BE413" s="25">
        <f t="shared" si="178"/>
        <v>0</v>
      </c>
      <c r="BF413" s="25">
        <f t="shared" si="179"/>
        <v>1.4454976303317535</v>
      </c>
      <c r="BG413" s="25">
        <f t="shared" si="180"/>
        <v>0</v>
      </c>
      <c r="BH413" s="25">
        <f t="shared" si="181"/>
        <v>0.21121121121121122</v>
      </c>
      <c r="BI413" s="25">
        <f t="shared" si="182"/>
        <v>0</v>
      </c>
      <c r="BJ413" s="25">
        <f t="shared" si="183"/>
        <v>0</v>
      </c>
      <c r="BK413" s="25">
        <f t="shared" si="184"/>
        <v>0</v>
      </c>
      <c r="BL413" s="25">
        <f t="shared" si="185"/>
        <v>1.0001112347052281</v>
      </c>
      <c r="BM413" s="25">
        <f t="shared" si="186"/>
        <v>0</v>
      </c>
      <c r="BN413" s="18" t="str">
        <f t="shared" si="192"/>
        <v>Baja fuente de proteína</v>
      </c>
      <c r="BO413" s="18" t="str">
        <f t="shared" si="193"/>
        <v>Baja fuente de fibra</v>
      </c>
      <c r="BP413" s="18" t="str">
        <f t="shared" si="194"/>
        <v>Baja fuente de calcio</v>
      </c>
      <c r="BQ413" s="18" t="str">
        <f t="shared" si="195"/>
        <v>Baja fuente de hierro</v>
      </c>
      <c r="BR413" s="18" t="str">
        <f t="shared" si="196"/>
        <v>Bajo en sodio</v>
      </c>
      <c r="BS413" s="6" t="str">
        <f t="shared" si="187"/>
        <v>Ligeramente antiinflamatorio</v>
      </c>
      <c r="BT413" s="6" t="str">
        <f t="shared" si="188"/>
        <v>Muy alto en grasas</v>
      </c>
      <c r="BU413" s="18" t="str">
        <f t="shared" si="197"/>
        <v>Equilibrio de líquidos ideal</v>
      </c>
      <c r="BV413" s="18" t="str">
        <f t="shared" si="198"/>
        <v>Baja fuente de magnesio</v>
      </c>
      <c r="BW413" s="18" t="str">
        <f t="shared" si="199"/>
        <v>Alta fuente de Omega 3</v>
      </c>
      <c r="BX413" s="18" t="str">
        <f t="shared" si="200"/>
        <v>Libre de grasas trans</v>
      </c>
      <c r="BY413" s="18" t="str">
        <f t="shared" si="201"/>
        <v>Bajo poder antioxidante</v>
      </c>
      <c r="BZ413" s="6" t="str">
        <f t="shared" si="189"/>
        <v>Sin probióticos</v>
      </c>
      <c r="CA413" s="18" t="str">
        <f t="shared" si="202"/>
        <v>Antiinflamatorio</v>
      </c>
      <c r="CB413" s="18" t="str">
        <f>IF(ISNUMBER(SEARCH("miel", D413)), "No irritante (Uso condicionado SII)", IF(OR(J413&gt;0, ISNUMBER(SEARCH("cacao", D413)), ISNUMBER(SEARCH("chocolate puro", D413))), "Altamente irritante", IF(OR(AND(O413&gt;15, BI413&gt;1), ISNUMBER(SEARCH("chocolate", D413))), "Moderadamente irritante", "No irritante")))</f>
        <v>No irritante</v>
      </c>
      <c r="CC413" s="6" t="str">
        <f t="shared" si="190"/>
        <v>Balance de omegas favorable</v>
      </c>
    </row>
    <row r="414" spans="1:81" ht="15" customHeight="1" x14ac:dyDescent="0.3">
      <c r="A414" s="2">
        <f t="shared" si="191"/>
        <v>413</v>
      </c>
      <c r="B414" s="3" t="s">
        <v>553</v>
      </c>
      <c r="C414" s="3" t="s">
        <v>554</v>
      </c>
      <c r="D414" s="3" t="s">
        <v>561</v>
      </c>
      <c r="E414" s="3"/>
      <c r="F414" s="4">
        <v>1.5</v>
      </c>
      <c r="G414" s="5">
        <v>1</v>
      </c>
      <c r="H414" s="5">
        <v>900</v>
      </c>
      <c r="I414" s="5">
        <v>0.12</v>
      </c>
      <c r="J414" s="5">
        <v>0</v>
      </c>
      <c r="K414" s="5">
        <v>0.11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100</v>
      </c>
      <c r="R414" s="5">
        <v>9</v>
      </c>
      <c r="S414" s="5">
        <v>18.399999999999999</v>
      </c>
      <c r="T414" s="5">
        <v>67.8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3.6</v>
      </c>
      <c r="AA414" s="5">
        <v>9.3000000000000007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1</v>
      </c>
      <c r="AL414" s="5">
        <v>1</v>
      </c>
      <c r="AM414" s="5">
        <v>0</v>
      </c>
      <c r="AN414" s="5">
        <v>0</v>
      </c>
      <c r="AO414" s="5">
        <v>7.0000000000000007E-2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f>IFERROR(VLOOKUP(IFERROR(VLOOKUP(D414,Mapa_Similitud!$A$2:$B$2000,2,FALSE()),D414),Hoja1!$A$2:$K$1000,2,FALSE()),IFERROR(VLOOKUP(IFERROR(VLOOKUP(D414,Mapa_Similitud!$A$2:$B$2000,2,FALSE()),D414),Omega3_Referencia!$A$2:$E$100,3,FALSE()),0))</f>
        <v>9</v>
      </c>
      <c r="AW414" s="3" t="str">
        <f>IFERROR(VLOOKUP(IFERROR(VLOOKUP(D414,Mapa_Similitud!$A$2:$B$2000,2,FALSE()),D414),Hoja1!$A$2:$K$1000,3,FALSE()),IFERROR(VLOOKUP(IFERROR(VLOOKUP(D414,Mapa_Similitud!$A$2:$B$2000,2,FALSE()),D414),Omega3_Referencia!$A$2:$E$100,4,FALSE()),"N/A"))</f>
        <v>ALA</v>
      </c>
      <c r="AX414" s="5">
        <f>IFERROR(VLOOKUP(IFERROR(VLOOKUP(D414,Mapa_Similitud!$A$2:$B$2000,2,FALSE()),D414),Hoja1!$A$2:$K$1000,5,FALSE()),0)</f>
        <v>0</v>
      </c>
      <c r="AY414" s="5">
        <f>IFERROR(VLOOKUP(IFERROR(VLOOKUP(D414,Mapa_Similitud!$A$2:$B$2000,2,FALSE()),D414),Hoja1!$A$2:$K$1000,7,FALSE()),0)</f>
        <v>0</v>
      </c>
      <c r="AZ414" s="5">
        <f>IFERROR(VLOOKUP(IFERROR(VLOOKUP(D414,Mapa_Similitud!$A$2:$B$2000,2,FALSE()),D414),Hoja1!$A$2:$K$1000,9,FALSE()),0)</f>
        <v>0</v>
      </c>
      <c r="BA414" s="25">
        <f t="shared" si="174"/>
        <v>1.2222222222222221E-4</v>
      </c>
      <c r="BB414" s="25">
        <f t="shared" si="175"/>
        <v>0</v>
      </c>
      <c r="BC414" s="25">
        <f t="shared" si="176"/>
        <v>1.1111111111111111E-3</v>
      </c>
      <c r="BD414" s="25">
        <f t="shared" si="177"/>
        <v>0</v>
      </c>
      <c r="BE414" s="25">
        <f t="shared" si="178"/>
        <v>0</v>
      </c>
      <c r="BF414" s="25">
        <f t="shared" si="179"/>
        <v>7.5333333333333332</v>
      </c>
      <c r="BG414" s="25">
        <f t="shared" si="180"/>
        <v>1</v>
      </c>
      <c r="BH414" s="25">
        <f t="shared" si="181"/>
        <v>0.09</v>
      </c>
      <c r="BI414" s="25">
        <f t="shared" si="182"/>
        <v>0</v>
      </c>
      <c r="BJ414" s="25">
        <f t="shared" si="183"/>
        <v>0</v>
      </c>
      <c r="BK414" s="25">
        <f t="shared" si="184"/>
        <v>0</v>
      </c>
      <c r="BL414" s="25">
        <f t="shared" si="185"/>
        <v>1</v>
      </c>
      <c r="BM414" s="25">
        <f t="shared" si="186"/>
        <v>0</v>
      </c>
      <c r="BN414" s="18" t="str">
        <f t="shared" si="192"/>
        <v>Baja fuente de proteína</v>
      </c>
      <c r="BO414" s="18" t="str">
        <f t="shared" si="193"/>
        <v>Baja fuente de fibra</v>
      </c>
      <c r="BP414" s="18" t="str">
        <f t="shared" si="194"/>
        <v>Baja fuente de calcio</v>
      </c>
      <c r="BQ414" s="18" t="str">
        <f t="shared" si="195"/>
        <v>Baja fuente de hierro</v>
      </c>
      <c r="BR414" s="18" t="str">
        <f t="shared" si="196"/>
        <v>Bajo en sodio</v>
      </c>
      <c r="BS414" s="6" t="str">
        <f t="shared" si="187"/>
        <v>Altamente antiinflamatorio</v>
      </c>
      <c r="BT414" s="6" t="str">
        <f t="shared" si="188"/>
        <v>Muy alto en grasas</v>
      </c>
      <c r="BU414" s="18" t="str">
        <f t="shared" si="197"/>
        <v>Equilibrio de líquidos ideal</v>
      </c>
      <c r="BV414" s="18" t="str">
        <f t="shared" si="198"/>
        <v>Baja fuente de magnesio</v>
      </c>
      <c r="BW414" s="18" t="str">
        <f t="shared" si="199"/>
        <v>Alta fuente de Omega 3</v>
      </c>
      <c r="BX414" s="18" t="str">
        <f t="shared" si="200"/>
        <v>Libre de grasas trans</v>
      </c>
      <c r="BY414" s="18" t="str">
        <f t="shared" si="201"/>
        <v>Bajo poder antioxidante</v>
      </c>
      <c r="BZ414" s="6" t="str">
        <f t="shared" si="189"/>
        <v>Sin probióticos</v>
      </c>
      <c r="CA414" s="18" t="str">
        <f t="shared" si="202"/>
        <v>Antiinflamatorio</v>
      </c>
      <c r="CB414" s="18" t="str">
        <f>IF(ISNUMBER(SEARCH("miel", D414)), "No irritante (Uso condicionado SII)", IF(OR(J414&gt;0, ISNUMBER(SEARCH("cacao", D414)), ISNUMBER(SEARCH("chocolate puro", D414))), "Altamente irritante", IF(OR(AND(O414&gt;15, BI414&gt;1), ISNUMBER(SEARCH("chocolate", D414))), "Moderadamente irritante", "No irritante")))</f>
        <v>No irritante</v>
      </c>
      <c r="CC414" s="6" t="str">
        <f t="shared" si="190"/>
        <v>Exceso relativo de Omega 6</v>
      </c>
    </row>
    <row r="415" spans="1:81" ht="15" customHeight="1" x14ac:dyDescent="0.3">
      <c r="A415" s="2">
        <f t="shared" si="191"/>
        <v>414</v>
      </c>
      <c r="B415" s="3" t="s">
        <v>553</v>
      </c>
      <c r="C415" s="3" t="s">
        <v>554</v>
      </c>
      <c r="D415" s="3" t="s">
        <v>562</v>
      </c>
      <c r="E415" s="3"/>
      <c r="F415" s="4">
        <v>1.5</v>
      </c>
      <c r="G415" s="5">
        <v>1</v>
      </c>
      <c r="H415" s="5">
        <v>899</v>
      </c>
      <c r="I415" s="5">
        <v>0.1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99.9</v>
      </c>
      <c r="R415" s="5">
        <v>14.5</v>
      </c>
      <c r="S415" s="5">
        <v>29.9</v>
      </c>
      <c r="T415" s="5">
        <v>51.3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34</v>
      </c>
      <c r="AA415" s="5">
        <v>31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f>IFERROR(VLOOKUP(IFERROR(VLOOKUP(D415,Mapa_Similitud!$A$2:$B$2000,2,FALSE()),D415),Hoja1!$A$2:$K$1000,2,FALSE()),IFERROR(VLOOKUP(IFERROR(VLOOKUP(D415,Mapa_Similitud!$A$2:$B$2000,2,FALSE()),D415),Omega3_Referencia!$A$2:$E$100,3,FALSE()),0))</f>
        <v>0</v>
      </c>
      <c r="AW415" s="3" t="str">
        <f>IFERROR(VLOOKUP(IFERROR(VLOOKUP(D415,Mapa_Similitud!$A$2:$B$2000,2,FALSE()),D415),Hoja1!$A$2:$K$1000,3,FALSE()),IFERROR(VLOOKUP(IFERROR(VLOOKUP(D415,Mapa_Similitud!$A$2:$B$2000,2,FALSE()),D415),Omega3_Referencia!$A$2:$E$100,4,FALSE()),"N/A"))</f>
        <v>N/A</v>
      </c>
      <c r="AX415" s="5">
        <f>IFERROR(VLOOKUP(IFERROR(VLOOKUP(D415,Mapa_Similitud!$A$2:$B$2000,2,FALSE()),D415),Hoja1!$A$2:$K$1000,5,FALSE()),0)</f>
        <v>0</v>
      </c>
      <c r="AY415" s="5">
        <f>IFERROR(VLOOKUP(IFERROR(VLOOKUP(D415,Mapa_Similitud!$A$2:$B$2000,2,FALSE()),D415),Hoja1!$A$2:$K$1000,7,FALSE()),0)</f>
        <v>0</v>
      </c>
      <c r="AZ415" s="5">
        <f>IFERROR(VLOOKUP(IFERROR(VLOOKUP(D415,Mapa_Similitud!$A$2:$B$2000,2,FALSE()),D415),Hoja1!$A$2:$K$1000,9,FALSE()),0)</f>
        <v>0</v>
      </c>
      <c r="BA415" s="25">
        <f t="shared" si="174"/>
        <v>0</v>
      </c>
      <c r="BB415" s="25">
        <f t="shared" si="175"/>
        <v>0</v>
      </c>
      <c r="BC415" s="25">
        <f t="shared" si="176"/>
        <v>0</v>
      </c>
      <c r="BD415" s="25">
        <f t="shared" si="177"/>
        <v>0</v>
      </c>
      <c r="BE415" s="25">
        <f t="shared" si="178"/>
        <v>0</v>
      </c>
      <c r="BF415" s="25">
        <f t="shared" si="179"/>
        <v>3.5379310344827584</v>
      </c>
      <c r="BG415" s="25">
        <f t="shared" si="180"/>
        <v>0</v>
      </c>
      <c r="BH415" s="25">
        <f t="shared" si="181"/>
        <v>0.14514514514514515</v>
      </c>
      <c r="BI415" s="25">
        <f t="shared" si="182"/>
        <v>0</v>
      </c>
      <c r="BJ415" s="25">
        <f t="shared" si="183"/>
        <v>0</v>
      </c>
      <c r="BK415" s="25">
        <f t="shared" si="184"/>
        <v>0</v>
      </c>
      <c r="BL415" s="25">
        <f t="shared" si="185"/>
        <v>1.0001112347052281</v>
      </c>
      <c r="BM415" s="25">
        <f t="shared" si="186"/>
        <v>0</v>
      </c>
      <c r="BN415" s="18" t="str">
        <f t="shared" si="192"/>
        <v>Baja fuente de proteína</v>
      </c>
      <c r="BO415" s="18" t="str">
        <f t="shared" si="193"/>
        <v>Baja fuente de fibra</v>
      </c>
      <c r="BP415" s="18" t="str">
        <f t="shared" si="194"/>
        <v>Baja fuente de calcio</v>
      </c>
      <c r="BQ415" s="18" t="str">
        <f t="shared" si="195"/>
        <v>Baja fuente de hierro</v>
      </c>
      <c r="BR415" s="18" t="str">
        <f t="shared" si="196"/>
        <v>Bajo en sodio</v>
      </c>
      <c r="BS415" s="6" t="str">
        <f t="shared" si="187"/>
        <v>Altamente antiinflamatorio</v>
      </c>
      <c r="BT415" s="6" t="str">
        <f t="shared" si="188"/>
        <v>Muy alto en grasas</v>
      </c>
      <c r="BU415" s="18" t="str">
        <f t="shared" si="197"/>
        <v>Equilibrio de líquidos ideal</v>
      </c>
      <c r="BV415" s="18" t="str">
        <f t="shared" si="198"/>
        <v>Baja fuente de magnesio</v>
      </c>
      <c r="BW415" s="18" t="str">
        <f t="shared" si="199"/>
        <v>Sin aporte de Omega 3</v>
      </c>
      <c r="BX415" s="18" t="str">
        <f t="shared" si="200"/>
        <v>Libre de grasas trans</v>
      </c>
      <c r="BY415" s="18" t="str">
        <f t="shared" si="201"/>
        <v>Bajo poder antioxidante</v>
      </c>
      <c r="BZ415" s="6" t="str">
        <f t="shared" si="189"/>
        <v>Sin probióticos</v>
      </c>
      <c r="CA415" s="18" t="str">
        <f t="shared" si="202"/>
        <v>Poco inflamatorio</v>
      </c>
      <c r="CB415" s="18" t="str">
        <f>IF(ISNUMBER(SEARCH("miel", D415)), "No irritante (Uso condicionado SII)", IF(OR(J415&gt;0, ISNUMBER(SEARCH("cacao", D415)), ISNUMBER(SEARCH("chocolate puro", D415))), "Altamente irritante", IF(OR(AND(O415&gt;15, BI415&gt;1), ISNUMBER(SEARCH("chocolate", D415))), "Moderadamente irritante", "No irritante")))</f>
        <v>No irritante</v>
      </c>
      <c r="CC415" s="6" t="str">
        <f t="shared" si="190"/>
        <v>Sin Omega 3 para evaluar</v>
      </c>
    </row>
    <row r="416" spans="1:81" ht="15" customHeight="1" x14ac:dyDescent="0.3">
      <c r="A416" s="2">
        <f t="shared" si="191"/>
        <v>415</v>
      </c>
      <c r="B416" s="3" t="s">
        <v>553</v>
      </c>
      <c r="C416" s="3" t="s">
        <v>554</v>
      </c>
      <c r="D416" s="3" t="s">
        <v>563</v>
      </c>
      <c r="E416" s="3"/>
      <c r="F416" s="4">
        <v>1.5</v>
      </c>
      <c r="G416" s="5">
        <v>1</v>
      </c>
      <c r="H416" s="5">
        <v>898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99.8</v>
      </c>
      <c r="R416" s="5">
        <v>9.3000000000000007</v>
      </c>
      <c r="S416" s="5">
        <v>17.100000000000001</v>
      </c>
      <c r="T416" s="5">
        <v>69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10.8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f>IFERROR(VLOOKUP(IFERROR(VLOOKUP(D416,Mapa_Similitud!$A$2:$B$2000,2,FALSE()),D416),Hoja1!$A$2:$K$1000,2,FALSE()),IFERROR(VLOOKUP(IFERROR(VLOOKUP(D416,Mapa_Similitud!$A$2:$B$2000,2,FALSE()),D416),Omega3_Referencia!$A$2:$E$100,3,FALSE()),0))</f>
        <v>9</v>
      </c>
      <c r="AW416" s="3" t="str">
        <f>IFERROR(VLOOKUP(IFERROR(VLOOKUP(D416,Mapa_Similitud!$A$2:$B$2000,2,FALSE()),D416),Hoja1!$A$2:$K$1000,3,FALSE()),IFERROR(VLOOKUP(IFERROR(VLOOKUP(D416,Mapa_Similitud!$A$2:$B$2000,2,FALSE()),D416),Omega3_Referencia!$A$2:$E$100,4,FALSE()),"N/A"))</f>
        <v>ALA</v>
      </c>
      <c r="AX416" s="5">
        <f>IFERROR(VLOOKUP(IFERROR(VLOOKUP(D416,Mapa_Similitud!$A$2:$B$2000,2,FALSE()),D416),Hoja1!$A$2:$K$1000,5,FALSE()),0)</f>
        <v>0</v>
      </c>
      <c r="AY416" s="5">
        <f>IFERROR(VLOOKUP(IFERROR(VLOOKUP(D416,Mapa_Similitud!$A$2:$B$2000,2,FALSE()),D416),Hoja1!$A$2:$K$1000,7,FALSE()),0)</f>
        <v>0</v>
      </c>
      <c r="AZ416" s="5">
        <f>IFERROR(VLOOKUP(IFERROR(VLOOKUP(D416,Mapa_Similitud!$A$2:$B$2000,2,FALSE()),D416),Hoja1!$A$2:$K$1000,9,FALSE()),0)</f>
        <v>0</v>
      </c>
      <c r="BA416" s="25">
        <f t="shared" si="174"/>
        <v>0</v>
      </c>
      <c r="BB416" s="25">
        <f t="shared" si="175"/>
        <v>0</v>
      </c>
      <c r="BC416" s="25">
        <f t="shared" si="176"/>
        <v>0</v>
      </c>
      <c r="BD416" s="25">
        <f t="shared" si="177"/>
        <v>0</v>
      </c>
      <c r="BE416" s="25">
        <f t="shared" si="178"/>
        <v>0</v>
      </c>
      <c r="BF416" s="25">
        <f t="shared" si="179"/>
        <v>7.419354838709677</v>
      </c>
      <c r="BG416" s="25">
        <f t="shared" si="180"/>
        <v>0</v>
      </c>
      <c r="BH416" s="25">
        <f t="shared" si="181"/>
        <v>9.3186372745490992E-2</v>
      </c>
      <c r="BI416" s="25">
        <f t="shared" si="182"/>
        <v>0</v>
      </c>
      <c r="BJ416" s="25">
        <f t="shared" si="183"/>
        <v>0</v>
      </c>
      <c r="BK416" s="25">
        <f t="shared" si="184"/>
        <v>0</v>
      </c>
      <c r="BL416" s="25">
        <f t="shared" si="185"/>
        <v>1.0002227171492204</v>
      </c>
      <c r="BM416" s="25">
        <f t="shared" si="186"/>
        <v>0</v>
      </c>
      <c r="BN416" s="18" t="str">
        <f t="shared" si="192"/>
        <v>Baja fuente de proteína</v>
      </c>
      <c r="BO416" s="18" t="str">
        <f t="shared" si="193"/>
        <v>Baja fuente de fibra</v>
      </c>
      <c r="BP416" s="18" t="str">
        <f t="shared" si="194"/>
        <v>Baja fuente de calcio</v>
      </c>
      <c r="BQ416" s="18" t="str">
        <f t="shared" si="195"/>
        <v>Baja fuente de hierro</v>
      </c>
      <c r="BR416" s="18" t="str">
        <f t="shared" si="196"/>
        <v>Bajo en sodio</v>
      </c>
      <c r="BS416" s="6" t="str">
        <f t="shared" si="187"/>
        <v>Altamente antiinflamatorio</v>
      </c>
      <c r="BT416" s="6" t="str">
        <f t="shared" si="188"/>
        <v>Muy alto en grasas</v>
      </c>
      <c r="BU416" s="18" t="str">
        <f t="shared" si="197"/>
        <v>Equilibrio de líquidos ideal</v>
      </c>
      <c r="BV416" s="18" t="str">
        <f t="shared" si="198"/>
        <v>Baja fuente de magnesio</v>
      </c>
      <c r="BW416" s="18" t="str">
        <f t="shared" si="199"/>
        <v>Alta fuente de Omega 3</v>
      </c>
      <c r="BX416" s="18" t="str">
        <f t="shared" si="200"/>
        <v>Libre de grasas trans</v>
      </c>
      <c r="BY416" s="18" t="str">
        <f t="shared" si="201"/>
        <v>Bajo poder antioxidante</v>
      </c>
      <c r="BZ416" s="6" t="str">
        <f t="shared" si="189"/>
        <v>Sin probióticos</v>
      </c>
      <c r="CA416" s="18" t="str">
        <f t="shared" si="202"/>
        <v>Antiinflamatorio</v>
      </c>
      <c r="CB416" s="18" t="str">
        <f>IF(ISNUMBER(SEARCH("miel", D416)), "No irritante (Uso condicionado SII)", IF(OR(J416&gt;0, ISNUMBER(SEARCH("cacao", D416)), ISNUMBER(SEARCH("chocolate puro", D416))), "Altamente irritante", IF(OR(AND(O416&gt;15, BI416&gt;1), ISNUMBER(SEARCH("chocolate", D416))), "Moderadamente irritante", "No irritante")))</f>
        <v>No irritante</v>
      </c>
      <c r="CC416" s="6" t="str">
        <f t="shared" si="190"/>
        <v>Exceso relativo de Omega 6</v>
      </c>
    </row>
    <row r="417" spans="1:81" ht="15" customHeight="1" x14ac:dyDescent="0.3">
      <c r="A417" s="2">
        <f t="shared" si="191"/>
        <v>416</v>
      </c>
      <c r="B417" s="3" t="s">
        <v>553</v>
      </c>
      <c r="C417" s="3" t="s">
        <v>554</v>
      </c>
      <c r="D417" s="3" t="s">
        <v>564</v>
      </c>
      <c r="E417" s="3"/>
      <c r="F417" s="4">
        <v>1.5</v>
      </c>
      <c r="G417" s="5">
        <v>1</v>
      </c>
      <c r="H417" s="5">
        <v>899</v>
      </c>
      <c r="I417" s="5">
        <v>0.1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99.9</v>
      </c>
      <c r="R417" s="5">
        <v>14.3</v>
      </c>
      <c r="S417" s="5">
        <v>73</v>
      </c>
      <c r="T417" s="5">
        <v>8.1999999999999993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5.0999999999999996</v>
      </c>
      <c r="AA417" s="5">
        <v>49.6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0.4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f>IFERROR(VLOOKUP(IFERROR(VLOOKUP(D417,Mapa_Similitud!$A$2:$B$2000,2,FALSE()),D417),Hoja1!$A$2:$K$1000,2,FALSE()),IFERROR(VLOOKUP(IFERROR(VLOOKUP(D417,Mapa_Similitud!$A$2:$B$2000,2,FALSE()),D417),Omega3_Referencia!$A$2:$E$100,3,FALSE()),0))</f>
        <v>0.7</v>
      </c>
      <c r="AW417" s="3" t="str">
        <f>IFERROR(VLOOKUP(IFERROR(VLOOKUP(D417,Mapa_Similitud!$A$2:$B$2000,2,FALSE()),D417),Hoja1!$A$2:$K$1000,3,FALSE()),IFERROR(VLOOKUP(IFERROR(VLOOKUP(D417,Mapa_Similitud!$A$2:$B$2000,2,FALSE()),D417),Omega3_Referencia!$A$2:$E$100,4,FALSE()),"N/A"))</f>
        <v>ALA</v>
      </c>
      <c r="AX417" s="5">
        <f>IFERROR(VLOOKUP(IFERROR(VLOOKUP(D417,Mapa_Similitud!$A$2:$B$2000,2,FALSE()),D417),Hoja1!$A$2:$K$1000,5,FALSE()),0)</f>
        <v>0</v>
      </c>
      <c r="AY417" s="5">
        <f>IFERROR(VLOOKUP(IFERROR(VLOOKUP(D417,Mapa_Similitud!$A$2:$B$2000,2,FALSE()),D417),Hoja1!$A$2:$K$1000,7,FALSE()),0)</f>
        <v>45</v>
      </c>
      <c r="AZ417" s="5">
        <f>IFERROR(VLOOKUP(IFERROR(VLOOKUP(D417,Mapa_Similitud!$A$2:$B$2000,2,FALSE()),D417),Hoja1!$A$2:$K$1000,9,FALSE()),0)</f>
        <v>0</v>
      </c>
      <c r="BA417" s="25">
        <f t="shared" si="174"/>
        <v>0</v>
      </c>
      <c r="BB417" s="25">
        <f t="shared" si="175"/>
        <v>0</v>
      </c>
      <c r="BC417" s="25">
        <f t="shared" si="176"/>
        <v>0</v>
      </c>
      <c r="BD417" s="25">
        <f t="shared" si="177"/>
        <v>4.449388209121246E-4</v>
      </c>
      <c r="BE417" s="25">
        <f t="shared" si="178"/>
        <v>0</v>
      </c>
      <c r="BF417" s="25">
        <f t="shared" si="179"/>
        <v>0.57342657342657333</v>
      </c>
      <c r="BG417" s="25">
        <f t="shared" si="180"/>
        <v>0</v>
      </c>
      <c r="BH417" s="25">
        <f t="shared" si="181"/>
        <v>0.14314314314314314</v>
      </c>
      <c r="BI417" s="25">
        <f t="shared" si="182"/>
        <v>0</v>
      </c>
      <c r="BJ417" s="25">
        <f t="shared" si="183"/>
        <v>0</v>
      </c>
      <c r="BK417" s="25">
        <f t="shared" si="184"/>
        <v>0</v>
      </c>
      <c r="BL417" s="25">
        <f t="shared" si="185"/>
        <v>1.0001112347052281</v>
      </c>
      <c r="BM417" s="25">
        <f t="shared" si="186"/>
        <v>0</v>
      </c>
      <c r="BN417" s="18" t="str">
        <f t="shared" si="192"/>
        <v>Baja fuente de proteína</v>
      </c>
      <c r="BO417" s="18" t="str">
        <f t="shared" si="193"/>
        <v>Baja fuente de fibra</v>
      </c>
      <c r="BP417" s="18" t="str">
        <f t="shared" si="194"/>
        <v>Baja fuente de calcio</v>
      </c>
      <c r="BQ417" s="18" t="str">
        <f t="shared" si="195"/>
        <v>Baja fuente de hierro</v>
      </c>
      <c r="BR417" s="18" t="str">
        <f t="shared" si="196"/>
        <v>Bajo en sodio</v>
      </c>
      <c r="BS417" s="6" t="str">
        <f t="shared" si="187"/>
        <v>Neutro</v>
      </c>
      <c r="BT417" s="6" t="str">
        <f t="shared" si="188"/>
        <v>Muy alto en grasas</v>
      </c>
      <c r="BU417" s="18" t="str">
        <f t="shared" si="197"/>
        <v>Equilibrio de líquidos ideal</v>
      </c>
      <c r="BV417" s="18" t="str">
        <f t="shared" si="198"/>
        <v>Baja fuente de magnesio</v>
      </c>
      <c r="BW417" s="18" t="str">
        <f t="shared" si="199"/>
        <v>Alta fuente de Omega 3</v>
      </c>
      <c r="BX417" s="18" t="str">
        <f t="shared" si="200"/>
        <v>Libre de grasas trans</v>
      </c>
      <c r="BY417" s="18" t="str">
        <f t="shared" si="201"/>
        <v>Medio poder antioxidante</v>
      </c>
      <c r="BZ417" s="6" t="str">
        <f t="shared" si="189"/>
        <v>Sin probióticos</v>
      </c>
      <c r="CA417" s="18" t="str">
        <f t="shared" si="202"/>
        <v>Antiinflamatorio</v>
      </c>
      <c r="CB417" s="18" t="str">
        <f>IF(ISNUMBER(SEARCH("miel", D417)), "No irritante (Uso condicionado SII)", IF(OR(J417&gt;0, ISNUMBER(SEARCH("cacao", D417)), ISNUMBER(SEARCH("chocolate puro", D417))), "Altamente irritante", IF(OR(AND(O417&gt;15, BI417&gt;1), ISNUMBER(SEARCH("chocolate", D417))), "Moderadamente irritante", "No irritante")))</f>
        <v>No irritante</v>
      </c>
      <c r="CC417" s="6" t="str">
        <f t="shared" si="190"/>
        <v>Exceso relativo de Omega 6</v>
      </c>
    </row>
    <row r="418" spans="1:81" ht="15" customHeight="1" x14ac:dyDescent="0.3">
      <c r="A418" s="2">
        <f t="shared" si="191"/>
        <v>417</v>
      </c>
      <c r="B418" s="3" t="s">
        <v>553</v>
      </c>
      <c r="C418" s="3" t="s">
        <v>554</v>
      </c>
      <c r="D418" s="3" t="s">
        <v>565</v>
      </c>
      <c r="E418" s="3"/>
      <c r="F418" s="4">
        <v>1.5</v>
      </c>
      <c r="G418" s="5">
        <v>1</v>
      </c>
      <c r="H418" s="5">
        <v>899</v>
      </c>
      <c r="I418" s="5">
        <v>0.1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99.9</v>
      </c>
      <c r="R418" s="5">
        <v>14.5</v>
      </c>
      <c r="S418" s="5">
        <v>71</v>
      </c>
      <c r="T418" s="5">
        <v>10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12</v>
      </c>
      <c r="AA418" s="5">
        <v>49.6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f>IFERROR(VLOOKUP(IFERROR(VLOOKUP(D418,Mapa_Similitud!$A$2:$B$2000,2,FALSE()),D418),Hoja1!$A$2:$K$1000,2,FALSE()),IFERROR(VLOOKUP(IFERROR(VLOOKUP(D418,Mapa_Similitud!$A$2:$B$2000,2,FALSE()),D418),Omega3_Referencia!$A$2:$E$100,3,FALSE()),0))</f>
        <v>0.7</v>
      </c>
      <c r="AW418" s="3" t="str">
        <f>IFERROR(VLOOKUP(IFERROR(VLOOKUP(D418,Mapa_Similitud!$A$2:$B$2000,2,FALSE()),D418),Hoja1!$A$2:$K$1000,3,FALSE()),IFERROR(VLOOKUP(IFERROR(VLOOKUP(D418,Mapa_Similitud!$A$2:$B$2000,2,FALSE()),D418),Omega3_Referencia!$A$2:$E$100,4,FALSE()),"N/A"))</f>
        <v>ALA</v>
      </c>
      <c r="AX418" s="5">
        <f>IFERROR(VLOOKUP(IFERROR(VLOOKUP(D418,Mapa_Similitud!$A$2:$B$2000,2,FALSE()),D418),Hoja1!$A$2:$K$1000,5,FALSE()),0)</f>
        <v>0</v>
      </c>
      <c r="AY418" s="5">
        <f>IFERROR(VLOOKUP(IFERROR(VLOOKUP(D418,Mapa_Similitud!$A$2:$B$2000,2,FALSE()),D418),Hoja1!$A$2:$K$1000,7,FALSE()),0)</f>
        <v>45</v>
      </c>
      <c r="AZ418" s="5">
        <f>IFERROR(VLOOKUP(IFERROR(VLOOKUP(D418,Mapa_Similitud!$A$2:$B$2000,2,FALSE()),D418),Hoja1!$A$2:$K$1000,9,FALSE()),0)</f>
        <v>0</v>
      </c>
      <c r="BA418" s="25">
        <f t="shared" si="174"/>
        <v>0</v>
      </c>
      <c r="BB418" s="25">
        <f t="shared" si="175"/>
        <v>0</v>
      </c>
      <c r="BC418" s="25">
        <f t="shared" si="176"/>
        <v>0</v>
      </c>
      <c r="BD418" s="25">
        <f t="shared" si="177"/>
        <v>0</v>
      </c>
      <c r="BE418" s="25">
        <f t="shared" si="178"/>
        <v>0</v>
      </c>
      <c r="BF418" s="25">
        <f t="shared" si="179"/>
        <v>0.68965517241379315</v>
      </c>
      <c r="BG418" s="25">
        <f t="shared" si="180"/>
        <v>0</v>
      </c>
      <c r="BH418" s="25">
        <f t="shared" si="181"/>
        <v>0.14514514514514515</v>
      </c>
      <c r="BI418" s="25">
        <f t="shared" si="182"/>
        <v>0</v>
      </c>
      <c r="BJ418" s="25">
        <f t="shared" si="183"/>
        <v>0</v>
      </c>
      <c r="BK418" s="25">
        <f t="shared" si="184"/>
        <v>0</v>
      </c>
      <c r="BL418" s="25">
        <f t="shared" si="185"/>
        <v>1.0001112347052281</v>
      </c>
      <c r="BM418" s="25">
        <f t="shared" si="186"/>
        <v>0</v>
      </c>
      <c r="BN418" s="18" t="str">
        <f t="shared" si="192"/>
        <v>Baja fuente de proteína</v>
      </c>
      <c r="BO418" s="18" t="str">
        <f t="shared" si="193"/>
        <v>Baja fuente de fibra</v>
      </c>
      <c r="BP418" s="18" t="str">
        <f t="shared" si="194"/>
        <v>Baja fuente de calcio</v>
      </c>
      <c r="BQ418" s="18" t="str">
        <f t="shared" si="195"/>
        <v>Baja fuente de hierro</v>
      </c>
      <c r="BR418" s="18" t="str">
        <f t="shared" si="196"/>
        <v>Bajo en sodio</v>
      </c>
      <c r="BS418" s="6" t="str">
        <f t="shared" si="187"/>
        <v>Neutro</v>
      </c>
      <c r="BT418" s="6" t="str">
        <f t="shared" si="188"/>
        <v>Muy alto en grasas</v>
      </c>
      <c r="BU418" s="18" t="str">
        <f t="shared" si="197"/>
        <v>Equilibrio de líquidos ideal</v>
      </c>
      <c r="BV418" s="18" t="str">
        <f t="shared" si="198"/>
        <v>Baja fuente de magnesio</v>
      </c>
      <c r="BW418" s="18" t="str">
        <f t="shared" si="199"/>
        <v>Alta fuente de Omega 3</v>
      </c>
      <c r="BX418" s="18" t="str">
        <f t="shared" si="200"/>
        <v>Libre de grasas trans</v>
      </c>
      <c r="BY418" s="18" t="str">
        <f t="shared" si="201"/>
        <v>Medio poder antioxidante</v>
      </c>
      <c r="BZ418" s="6" t="str">
        <f t="shared" si="189"/>
        <v>Sin probióticos</v>
      </c>
      <c r="CA418" s="18" t="str">
        <f t="shared" si="202"/>
        <v>Antiinflamatorio</v>
      </c>
      <c r="CB418" s="18" t="str">
        <f>IF(ISNUMBER(SEARCH("miel", D418)), "No irritante (Uso condicionado SII)", IF(OR(J418&gt;0, ISNUMBER(SEARCH("cacao", D418)), ISNUMBER(SEARCH("chocolate puro", D418))), "Altamente irritante", IF(OR(AND(O418&gt;15, BI418&gt;1), ISNUMBER(SEARCH("chocolate", D418))), "Moderadamente irritante", "No irritante")))</f>
        <v>No irritante</v>
      </c>
      <c r="CC418" s="6" t="str">
        <f t="shared" si="190"/>
        <v>Exceso relativo de Omega 6</v>
      </c>
    </row>
    <row r="419" spans="1:81" ht="15" customHeight="1" x14ac:dyDescent="0.3">
      <c r="A419" s="2">
        <f t="shared" si="191"/>
        <v>418</v>
      </c>
      <c r="B419" s="3" t="s">
        <v>553</v>
      </c>
      <c r="C419" s="3" t="s">
        <v>554</v>
      </c>
      <c r="D419" s="3" t="s">
        <v>566</v>
      </c>
      <c r="E419" s="3"/>
      <c r="F419" s="4">
        <v>1.5</v>
      </c>
      <c r="G419" s="5">
        <v>1</v>
      </c>
      <c r="H419" s="5">
        <v>899</v>
      </c>
      <c r="I419" s="5">
        <v>0.1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99.9</v>
      </c>
      <c r="R419" s="5">
        <v>14.5</v>
      </c>
      <c r="S419" s="5">
        <v>71</v>
      </c>
      <c r="T419" s="5">
        <v>10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19.8</v>
      </c>
      <c r="AA419" s="5">
        <v>49.6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f>IFERROR(VLOOKUP(IFERROR(VLOOKUP(D419,Mapa_Similitud!$A$2:$B$2000,2,FALSE()),D419),Hoja1!$A$2:$K$1000,2,FALSE()),IFERROR(VLOOKUP(IFERROR(VLOOKUP(D419,Mapa_Similitud!$A$2:$B$2000,2,FALSE()),D419),Omega3_Referencia!$A$2:$E$100,3,FALSE()),0))</f>
        <v>0.7</v>
      </c>
      <c r="AW419" s="3" t="str">
        <f>IFERROR(VLOOKUP(IFERROR(VLOOKUP(D419,Mapa_Similitud!$A$2:$B$2000,2,FALSE()),D419),Hoja1!$A$2:$K$1000,3,FALSE()),IFERROR(VLOOKUP(IFERROR(VLOOKUP(D419,Mapa_Similitud!$A$2:$B$2000,2,FALSE()),D419),Omega3_Referencia!$A$2:$E$100,4,FALSE()),"N/A"))</f>
        <v>ALA</v>
      </c>
      <c r="AX419" s="5">
        <f>IFERROR(VLOOKUP(IFERROR(VLOOKUP(D419,Mapa_Similitud!$A$2:$B$2000,2,FALSE()),D419),Hoja1!$A$2:$K$1000,5,FALSE()),0)</f>
        <v>0</v>
      </c>
      <c r="AY419" s="5">
        <f>IFERROR(VLOOKUP(IFERROR(VLOOKUP(D419,Mapa_Similitud!$A$2:$B$2000,2,FALSE()),D419),Hoja1!$A$2:$K$1000,7,FALSE()),0)</f>
        <v>45</v>
      </c>
      <c r="AZ419" s="5">
        <f>IFERROR(VLOOKUP(IFERROR(VLOOKUP(D419,Mapa_Similitud!$A$2:$B$2000,2,FALSE()),D419),Hoja1!$A$2:$K$1000,9,FALSE()),0)</f>
        <v>0</v>
      </c>
      <c r="BA419" s="25">
        <f t="shared" si="174"/>
        <v>0</v>
      </c>
      <c r="BB419" s="25">
        <f t="shared" si="175"/>
        <v>0</v>
      </c>
      <c r="BC419" s="25">
        <f t="shared" si="176"/>
        <v>0</v>
      </c>
      <c r="BD419" s="25">
        <f t="shared" si="177"/>
        <v>0</v>
      </c>
      <c r="BE419" s="25">
        <f t="shared" si="178"/>
        <v>0</v>
      </c>
      <c r="BF419" s="25">
        <f t="shared" si="179"/>
        <v>0.68965517241379315</v>
      </c>
      <c r="BG419" s="25">
        <f t="shared" si="180"/>
        <v>0</v>
      </c>
      <c r="BH419" s="25">
        <f t="shared" si="181"/>
        <v>0.14514514514514515</v>
      </c>
      <c r="BI419" s="25">
        <f t="shared" si="182"/>
        <v>0</v>
      </c>
      <c r="BJ419" s="25">
        <f t="shared" si="183"/>
        <v>0</v>
      </c>
      <c r="BK419" s="25">
        <f t="shared" si="184"/>
        <v>0</v>
      </c>
      <c r="BL419" s="25">
        <f t="shared" si="185"/>
        <v>1.0001112347052281</v>
      </c>
      <c r="BM419" s="25">
        <f t="shared" si="186"/>
        <v>0</v>
      </c>
      <c r="BN419" s="18" t="str">
        <f t="shared" si="192"/>
        <v>Baja fuente de proteína</v>
      </c>
      <c r="BO419" s="18" t="str">
        <f t="shared" si="193"/>
        <v>Baja fuente de fibra</v>
      </c>
      <c r="BP419" s="18" t="str">
        <f t="shared" si="194"/>
        <v>Baja fuente de calcio</v>
      </c>
      <c r="BQ419" s="18" t="str">
        <f t="shared" si="195"/>
        <v>Baja fuente de hierro</v>
      </c>
      <c r="BR419" s="18" t="str">
        <f t="shared" si="196"/>
        <v>Bajo en sodio</v>
      </c>
      <c r="BS419" s="6" t="str">
        <f t="shared" si="187"/>
        <v>Neutro</v>
      </c>
      <c r="BT419" s="6" t="str">
        <f t="shared" si="188"/>
        <v>Muy alto en grasas</v>
      </c>
      <c r="BU419" s="18" t="str">
        <f t="shared" si="197"/>
        <v>Equilibrio de líquidos ideal</v>
      </c>
      <c r="BV419" s="18" t="str">
        <f t="shared" si="198"/>
        <v>Baja fuente de magnesio</v>
      </c>
      <c r="BW419" s="18" t="str">
        <f t="shared" si="199"/>
        <v>Alta fuente de Omega 3</v>
      </c>
      <c r="BX419" s="18" t="str">
        <f t="shared" si="200"/>
        <v>Libre de grasas trans</v>
      </c>
      <c r="BY419" s="18" t="str">
        <f t="shared" si="201"/>
        <v>Medio poder antioxidante</v>
      </c>
      <c r="BZ419" s="6" t="str">
        <f t="shared" si="189"/>
        <v>Sin probióticos</v>
      </c>
      <c r="CA419" s="18" t="str">
        <f t="shared" si="202"/>
        <v>Antiinflamatorio</v>
      </c>
      <c r="CB419" s="18" t="str">
        <f>IF(ISNUMBER(SEARCH("miel", D419)), "No irritante (Uso condicionado SII)", IF(OR(J419&gt;0, ISNUMBER(SEARCH("cacao", D419)), ISNUMBER(SEARCH("chocolate puro", D419))), "Altamente irritante", IF(OR(AND(O419&gt;15, BI419&gt;1), ISNUMBER(SEARCH("chocolate", D419))), "Moderadamente irritante", "No irritante")))</f>
        <v>No irritante</v>
      </c>
      <c r="CC419" s="6" t="str">
        <f t="shared" si="190"/>
        <v>Exceso relativo de Omega 6</v>
      </c>
    </row>
    <row r="420" spans="1:81" ht="15" customHeight="1" x14ac:dyDescent="0.3">
      <c r="A420" s="2">
        <f t="shared" si="191"/>
        <v>419</v>
      </c>
      <c r="B420" s="3" t="s">
        <v>553</v>
      </c>
      <c r="C420" s="3" t="s">
        <v>554</v>
      </c>
      <c r="D420" s="3" t="s">
        <v>567</v>
      </c>
      <c r="E420" s="3"/>
      <c r="F420" s="4">
        <v>1.5</v>
      </c>
      <c r="G420" s="5">
        <v>1</v>
      </c>
      <c r="H420" s="5">
        <v>899</v>
      </c>
      <c r="I420" s="5">
        <v>0.1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99.9</v>
      </c>
      <c r="R420" s="5">
        <v>14.5</v>
      </c>
      <c r="S420" s="5">
        <v>71</v>
      </c>
      <c r="T420" s="5">
        <v>10</v>
      </c>
      <c r="U420" s="5">
        <v>0</v>
      </c>
      <c r="V420" s="5">
        <v>34</v>
      </c>
      <c r="W420" s="5">
        <v>0</v>
      </c>
      <c r="X420" s="5">
        <v>0</v>
      </c>
      <c r="Y420" s="5">
        <v>0</v>
      </c>
      <c r="Z420" s="5">
        <v>19.8</v>
      </c>
      <c r="AA420" s="5">
        <v>49.6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f>IFERROR(VLOOKUP(IFERROR(VLOOKUP(D420,Mapa_Similitud!$A$2:$B$2000,2,FALSE()),D420),Hoja1!$A$2:$K$1000,2,FALSE()),IFERROR(VLOOKUP(IFERROR(VLOOKUP(D420,Mapa_Similitud!$A$2:$B$2000,2,FALSE()),D420),Omega3_Referencia!$A$2:$E$100,3,FALSE()),0))</f>
        <v>0.7</v>
      </c>
      <c r="AW420" s="3" t="str">
        <f>IFERROR(VLOOKUP(IFERROR(VLOOKUP(D420,Mapa_Similitud!$A$2:$B$2000,2,FALSE()),D420),Hoja1!$A$2:$K$1000,3,FALSE()),IFERROR(VLOOKUP(IFERROR(VLOOKUP(D420,Mapa_Similitud!$A$2:$B$2000,2,FALSE()),D420),Omega3_Referencia!$A$2:$E$100,4,FALSE()),"N/A"))</f>
        <v>ALA</v>
      </c>
      <c r="AX420" s="5">
        <f>IFERROR(VLOOKUP(IFERROR(VLOOKUP(D420,Mapa_Similitud!$A$2:$B$2000,2,FALSE()),D420),Hoja1!$A$2:$K$1000,5,FALSE()),0)</f>
        <v>0</v>
      </c>
      <c r="AY420" s="5">
        <f>IFERROR(VLOOKUP(IFERROR(VLOOKUP(D420,Mapa_Similitud!$A$2:$B$2000,2,FALSE()),D420),Hoja1!$A$2:$K$1000,7,FALSE()),0)</f>
        <v>45</v>
      </c>
      <c r="AZ420" s="5">
        <f>IFERROR(VLOOKUP(IFERROR(VLOOKUP(D420,Mapa_Similitud!$A$2:$B$2000,2,FALSE()),D420),Hoja1!$A$2:$K$1000,9,FALSE()),0)</f>
        <v>0</v>
      </c>
      <c r="BA420" s="25">
        <f t="shared" si="174"/>
        <v>0</v>
      </c>
      <c r="BB420" s="25">
        <f t="shared" si="175"/>
        <v>0</v>
      </c>
      <c r="BC420" s="25">
        <f t="shared" si="176"/>
        <v>0</v>
      </c>
      <c r="BD420" s="25">
        <f t="shared" si="177"/>
        <v>0</v>
      </c>
      <c r="BE420" s="25">
        <f t="shared" si="178"/>
        <v>0</v>
      </c>
      <c r="BF420" s="25">
        <f t="shared" si="179"/>
        <v>0.68965517241379315</v>
      </c>
      <c r="BG420" s="25">
        <f t="shared" si="180"/>
        <v>0</v>
      </c>
      <c r="BH420" s="25">
        <f t="shared" si="181"/>
        <v>0.14514514514514515</v>
      </c>
      <c r="BI420" s="25">
        <f t="shared" si="182"/>
        <v>0</v>
      </c>
      <c r="BJ420" s="25">
        <f t="shared" si="183"/>
        <v>0</v>
      </c>
      <c r="BK420" s="25">
        <f t="shared" si="184"/>
        <v>0</v>
      </c>
      <c r="BL420" s="25">
        <f t="shared" si="185"/>
        <v>1.0001112347052281</v>
      </c>
      <c r="BM420" s="25">
        <f t="shared" si="186"/>
        <v>0</v>
      </c>
      <c r="BN420" s="18" t="str">
        <f t="shared" si="192"/>
        <v>Baja fuente de proteína</v>
      </c>
      <c r="BO420" s="18" t="str">
        <f t="shared" si="193"/>
        <v>Baja fuente de fibra</v>
      </c>
      <c r="BP420" s="18" t="str">
        <f t="shared" si="194"/>
        <v>Baja fuente de calcio</v>
      </c>
      <c r="BQ420" s="18" t="str">
        <f t="shared" si="195"/>
        <v>Baja fuente de hierro</v>
      </c>
      <c r="BR420" s="18" t="str">
        <f t="shared" si="196"/>
        <v>Bajo en sodio</v>
      </c>
      <c r="BS420" s="6" t="str">
        <f t="shared" si="187"/>
        <v>Neutro</v>
      </c>
      <c r="BT420" s="6" t="str">
        <f t="shared" si="188"/>
        <v>Muy alto en grasas</v>
      </c>
      <c r="BU420" s="18" t="str">
        <f t="shared" si="197"/>
        <v>Equilibrio de líquidos ideal</v>
      </c>
      <c r="BV420" s="18" t="str">
        <f t="shared" si="198"/>
        <v>Baja fuente de magnesio</v>
      </c>
      <c r="BW420" s="18" t="str">
        <f t="shared" si="199"/>
        <v>Alta fuente de Omega 3</v>
      </c>
      <c r="BX420" s="18" t="str">
        <f t="shared" si="200"/>
        <v>Libre de grasas trans</v>
      </c>
      <c r="BY420" s="18" t="str">
        <f t="shared" si="201"/>
        <v>Medio poder antioxidante</v>
      </c>
      <c r="BZ420" s="6" t="str">
        <f t="shared" si="189"/>
        <v>Sin probióticos</v>
      </c>
      <c r="CA420" s="18" t="str">
        <f t="shared" si="202"/>
        <v>Antiinflamatorio</v>
      </c>
      <c r="CB420" s="18" t="str">
        <f>IF(ISNUMBER(SEARCH("miel", D420)), "No irritante (Uso condicionado SII)", IF(OR(J420&gt;0, ISNUMBER(SEARCH("cacao", D420)), ISNUMBER(SEARCH("chocolate puro", D420))), "Altamente irritante", IF(OR(AND(O420&gt;15, BI420&gt;1), ISNUMBER(SEARCH("chocolate", D420))), "Moderadamente irritante", "No irritante")))</f>
        <v>No irritante</v>
      </c>
      <c r="CC420" s="6" t="str">
        <f t="shared" si="190"/>
        <v>Exceso relativo de Omega 6</v>
      </c>
    </row>
    <row r="421" spans="1:81" ht="15" customHeight="1" x14ac:dyDescent="0.3">
      <c r="A421" s="2">
        <f t="shared" si="191"/>
        <v>420</v>
      </c>
      <c r="B421" s="3" t="s">
        <v>553</v>
      </c>
      <c r="C421" s="3" t="s">
        <v>554</v>
      </c>
      <c r="D421" s="3" t="s">
        <v>568</v>
      </c>
      <c r="E421" s="3"/>
      <c r="F421" s="4">
        <v>1.5</v>
      </c>
      <c r="G421" s="5">
        <v>1</v>
      </c>
      <c r="H421" s="5">
        <v>899</v>
      </c>
      <c r="I421" s="5">
        <v>0.1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99.9</v>
      </c>
      <c r="R421" s="5">
        <v>47.8</v>
      </c>
      <c r="S421" s="5">
        <v>37.1</v>
      </c>
      <c r="T421" s="5">
        <v>10.4</v>
      </c>
      <c r="U421" s="5">
        <v>0</v>
      </c>
      <c r="V421" s="5">
        <v>9.3000000000000007</v>
      </c>
      <c r="W421" s="5">
        <v>4.0999999999999996</v>
      </c>
      <c r="X421" s="5">
        <v>31</v>
      </c>
      <c r="Y421" s="5">
        <v>8</v>
      </c>
      <c r="Z421" s="5">
        <v>9.5</v>
      </c>
      <c r="AA421" s="5">
        <v>8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f>IFERROR(VLOOKUP(IFERROR(VLOOKUP(D421,Mapa_Similitud!$A$2:$B$2000,2,FALSE()),D421),Hoja1!$A$2:$K$1000,2,FALSE()),IFERROR(VLOOKUP(IFERROR(VLOOKUP(D421,Mapa_Similitud!$A$2:$B$2000,2,FALSE()),D421),Omega3_Referencia!$A$2:$E$100,3,FALSE()),0))</f>
        <v>0</v>
      </c>
      <c r="AW421" s="3" t="str">
        <f>IFERROR(VLOOKUP(IFERROR(VLOOKUP(D421,Mapa_Similitud!$A$2:$B$2000,2,FALSE()),D421),Hoja1!$A$2:$K$1000,3,FALSE()),IFERROR(VLOOKUP(IFERROR(VLOOKUP(D421,Mapa_Similitud!$A$2:$B$2000,2,FALSE()),D421),Omega3_Referencia!$A$2:$E$100,4,FALSE()),"N/A"))</f>
        <v>N/A</v>
      </c>
      <c r="AX421" s="5">
        <f>IFERROR(VLOOKUP(IFERROR(VLOOKUP(D421,Mapa_Similitud!$A$2:$B$2000,2,FALSE()),D421),Hoja1!$A$2:$K$1000,5,FALSE()),0)</f>
        <v>0</v>
      </c>
      <c r="AY421" s="5">
        <f>IFERROR(VLOOKUP(IFERROR(VLOOKUP(D421,Mapa_Similitud!$A$2:$B$2000,2,FALSE()),D421),Hoja1!$A$2:$K$1000,7,FALSE()),0)</f>
        <v>0</v>
      </c>
      <c r="AZ421" s="5">
        <f>IFERROR(VLOOKUP(IFERROR(VLOOKUP(D421,Mapa_Similitud!$A$2:$B$2000,2,FALSE()),D421),Hoja1!$A$2:$K$1000,9,FALSE()),0)</f>
        <v>0</v>
      </c>
      <c r="BA421" s="25">
        <f t="shared" si="174"/>
        <v>0</v>
      </c>
      <c r="BB421" s="25">
        <f t="shared" si="175"/>
        <v>0</v>
      </c>
      <c r="BC421" s="25">
        <f t="shared" si="176"/>
        <v>0</v>
      </c>
      <c r="BD421" s="25">
        <f t="shared" si="177"/>
        <v>0</v>
      </c>
      <c r="BE421" s="25">
        <f t="shared" si="178"/>
        <v>0</v>
      </c>
      <c r="BF421" s="25">
        <f t="shared" si="179"/>
        <v>0.21757322175732219</v>
      </c>
      <c r="BG421" s="25">
        <f t="shared" si="180"/>
        <v>0</v>
      </c>
      <c r="BH421" s="25">
        <f t="shared" si="181"/>
        <v>0.47847847847847841</v>
      </c>
      <c r="BI421" s="25">
        <f t="shared" si="182"/>
        <v>0</v>
      </c>
      <c r="BJ421" s="25">
        <f t="shared" si="183"/>
        <v>0</v>
      </c>
      <c r="BK421" s="25">
        <f t="shared" si="184"/>
        <v>0</v>
      </c>
      <c r="BL421" s="25">
        <f t="shared" si="185"/>
        <v>1.0001112347052281</v>
      </c>
      <c r="BM421" s="25">
        <f t="shared" si="186"/>
        <v>0</v>
      </c>
      <c r="BN421" s="18" t="str">
        <f t="shared" si="192"/>
        <v>Baja fuente de proteína</v>
      </c>
      <c r="BO421" s="18" t="str">
        <f t="shared" si="193"/>
        <v>Baja fuente de fibra</v>
      </c>
      <c r="BP421" s="18" t="str">
        <f t="shared" si="194"/>
        <v>Baja fuente de calcio</v>
      </c>
      <c r="BQ421" s="18" t="str">
        <f t="shared" si="195"/>
        <v>Baja fuente de hierro</v>
      </c>
      <c r="BR421" s="18" t="str">
        <f t="shared" si="196"/>
        <v>Bajo en sodio</v>
      </c>
      <c r="BS421" s="6" t="str">
        <f t="shared" si="187"/>
        <v>Proinflamatorio</v>
      </c>
      <c r="BT421" s="6" t="str">
        <f t="shared" si="188"/>
        <v>Muy alto en grasas</v>
      </c>
      <c r="BU421" s="18" t="str">
        <f t="shared" si="197"/>
        <v>Equilibrio de líquidos ideal</v>
      </c>
      <c r="BV421" s="18" t="str">
        <f t="shared" si="198"/>
        <v>Baja fuente de magnesio</v>
      </c>
      <c r="BW421" s="18" t="str">
        <f t="shared" si="199"/>
        <v>Sin aporte de Omega 3</v>
      </c>
      <c r="BX421" s="18" t="str">
        <f t="shared" si="200"/>
        <v>Libre de grasas trans</v>
      </c>
      <c r="BY421" s="18" t="str">
        <f t="shared" si="201"/>
        <v>Bajo poder antioxidante</v>
      </c>
      <c r="BZ421" s="6" t="str">
        <f t="shared" si="189"/>
        <v>Sin probióticos</v>
      </c>
      <c r="CA421" s="18" t="str">
        <f t="shared" si="202"/>
        <v>Poco inflamatorio</v>
      </c>
      <c r="CB421" s="18" t="str">
        <f>IF(ISNUMBER(SEARCH("miel", D421)), "No irritante (Uso condicionado SII)", IF(OR(J421&gt;0, ISNUMBER(SEARCH("cacao", D421)), ISNUMBER(SEARCH("chocolate puro", D421))), "Altamente irritante", IF(OR(AND(O421&gt;15, BI421&gt;1), ISNUMBER(SEARCH("chocolate", D421))), "Moderadamente irritante", "No irritante")))</f>
        <v>No irritante</v>
      </c>
      <c r="CC421" s="6" t="str">
        <f t="shared" si="190"/>
        <v>Sin Omega 3 para evaluar</v>
      </c>
    </row>
    <row r="422" spans="1:81" ht="15" customHeight="1" x14ac:dyDescent="0.3">
      <c r="A422" s="2">
        <f t="shared" si="191"/>
        <v>421</v>
      </c>
      <c r="B422" s="3" t="s">
        <v>553</v>
      </c>
      <c r="C422" s="3" t="s">
        <v>554</v>
      </c>
      <c r="D422" s="3" t="s">
        <v>569</v>
      </c>
      <c r="E422" s="3"/>
      <c r="F422" s="4">
        <v>1.5</v>
      </c>
      <c r="G422" s="5">
        <v>1</v>
      </c>
      <c r="H422" s="5">
        <v>900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100</v>
      </c>
      <c r="R422" s="5">
        <v>14.2</v>
      </c>
      <c r="S422" s="5">
        <v>39.700000000000003</v>
      </c>
      <c r="T422" s="5">
        <v>41.7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4.0999999999999996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f>IFERROR(VLOOKUP(IFERROR(VLOOKUP(D422,Mapa_Similitud!$A$2:$B$2000,2,FALSE()),D422),Hoja1!$A$2:$K$1000,2,FALSE()),IFERROR(VLOOKUP(IFERROR(VLOOKUP(D422,Mapa_Similitud!$A$2:$B$2000,2,FALSE()),D422),Omega3_Referencia!$A$2:$E$100,3,FALSE()),0))</f>
        <v>0</v>
      </c>
      <c r="AW422" s="3" t="str">
        <f>IFERROR(VLOOKUP(IFERROR(VLOOKUP(D422,Mapa_Similitud!$A$2:$B$2000,2,FALSE()),D422),Hoja1!$A$2:$K$1000,3,FALSE()),IFERROR(VLOOKUP(IFERROR(VLOOKUP(D422,Mapa_Similitud!$A$2:$B$2000,2,FALSE()),D422),Omega3_Referencia!$A$2:$E$100,4,FALSE()),"N/A"))</f>
        <v>N/A</v>
      </c>
      <c r="AX422" s="5">
        <f>IFERROR(VLOOKUP(IFERROR(VLOOKUP(D422,Mapa_Similitud!$A$2:$B$2000,2,FALSE()),D422),Hoja1!$A$2:$K$1000,5,FALSE()),0)</f>
        <v>0</v>
      </c>
      <c r="AY422" s="5">
        <f>IFERROR(VLOOKUP(IFERROR(VLOOKUP(D422,Mapa_Similitud!$A$2:$B$2000,2,FALSE()),D422),Hoja1!$A$2:$K$1000,7,FALSE()),0)</f>
        <v>0</v>
      </c>
      <c r="AZ422" s="5">
        <f>IFERROR(VLOOKUP(IFERROR(VLOOKUP(D422,Mapa_Similitud!$A$2:$B$2000,2,FALSE()),D422),Hoja1!$A$2:$K$1000,9,FALSE()),0)</f>
        <v>0</v>
      </c>
      <c r="BA422" s="25">
        <f t="shared" si="174"/>
        <v>0</v>
      </c>
      <c r="BB422" s="25">
        <f t="shared" si="175"/>
        <v>0</v>
      </c>
      <c r="BC422" s="25">
        <f t="shared" si="176"/>
        <v>0</v>
      </c>
      <c r="BD422" s="25">
        <f t="shared" si="177"/>
        <v>0</v>
      </c>
      <c r="BE422" s="25">
        <f t="shared" si="178"/>
        <v>0</v>
      </c>
      <c r="BF422" s="25">
        <f t="shared" si="179"/>
        <v>2.9366197183098595</v>
      </c>
      <c r="BG422" s="25">
        <f t="shared" si="180"/>
        <v>0</v>
      </c>
      <c r="BH422" s="25">
        <f t="shared" si="181"/>
        <v>0.14199999999999999</v>
      </c>
      <c r="BI422" s="25">
        <f t="shared" si="182"/>
        <v>0</v>
      </c>
      <c r="BJ422" s="25">
        <f t="shared" si="183"/>
        <v>0</v>
      </c>
      <c r="BK422" s="25">
        <f t="shared" si="184"/>
        <v>0</v>
      </c>
      <c r="BL422" s="25">
        <f t="shared" si="185"/>
        <v>1</v>
      </c>
      <c r="BM422" s="25">
        <f t="shared" si="186"/>
        <v>0</v>
      </c>
      <c r="BN422" s="18" t="str">
        <f t="shared" si="192"/>
        <v>Baja fuente de proteína</v>
      </c>
      <c r="BO422" s="18" t="str">
        <f t="shared" si="193"/>
        <v>Baja fuente de fibra</v>
      </c>
      <c r="BP422" s="18" t="str">
        <f t="shared" si="194"/>
        <v>Baja fuente de calcio</v>
      </c>
      <c r="BQ422" s="18" t="str">
        <f t="shared" si="195"/>
        <v>Baja fuente de hierro</v>
      </c>
      <c r="BR422" s="18" t="str">
        <f t="shared" si="196"/>
        <v>Bajo en sodio</v>
      </c>
      <c r="BS422" s="6" t="str">
        <f t="shared" si="187"/>
        <v>Altamente antiinflamatorio</v>
      </c>
      <c r="BT422" s="6" t="str">
        <f t="shared" si="188"/>
        <v>Muy alto en grasas</v>
      </c>
      <c r="BU422" s="18" t="str">
        <f t="shared" si="197"/>
        <v>Equilibrio de líquidos ideal</v>
      </c>
      <c r="BV422" s="18" t="str">
        <f t="shared" si="198"/>
        <v>Baja fuente de magnesio</v>
      </c>
      <c r="BW422" s="18" t="str">
        <f t="shared" si="199"/>
        <v>Sin aporte de Omega 3</v>
      </c>
      <c r="BX422" s="18" t="str">
        <f t="shared" si="200"/>
        <v>Libre de grasas trans</v>
      </c>
      <c r="BY422" s="18" t="str">
        <f t="shared" si="201"/>
        <v>Bajo poder antioxidante</v>
      </c>
      <c r="BZ422" s="6" t="str">
        <f t="shared" si="189"/>
        <v>Sin probióticos</v>
      </c>
      <c r="CA422" s="18" t="str">
        <f t="shared" si="202"/>
        <v>Poco inflamatorio</v>
      </c>
      <c r="CB422" s="18" t="str">
        <f>IF(ISNUMBER(SEARCH("miel", D422)), "No irritante (Uso condicionado SII)", IF(OR(J422&gt;0, ISNUMBER(SEARCH("cacao", D422)), ISNUMBER(SEARCH("chocolate puro", D422))), "Altamente irritante", IF(OR(AND(O422&gt;15, BI422&gt;1), ISNUMBER(SEARCH("chocolate", D422))), "Moderadamente irritante", "No irritante")))</f>
        <v>No irritante</v>
      </c>
      <c r="CC422" s="6" t="str">
        <f t="shared" si="190"/>
        <v>Sin Omega 3 para evaluar</v>
      </c>
    </row>
    <row r="423" spans="1:81" ht="15" customHeight="1" x14ac:dyDescent="0.3">
      <c r="A423" s="2">
        <f t="shared" si="191"/>
        <v>422</v>
      </c>
      <c r="B423" s="3" t="s">
        <v>553</v>
      </c>
      <c r="C423" s="3" t="s">
        <v>554</v>
      </c>
      <c r="D423" s="3" t="s">
        <v>570</v>
      </c>
      <c r="E423" s="3"/>
      <c r="F423" s="4">
        <v>1.5</v>
      </c>
      <c r="G423" s="5">
        <v>1</v>
      </c>
      <c r="H423" s="5">
        <v>900</v>
      </c>
      <c r="I423" s="5">
        <v>0.01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100</v>
      </c>
      <c r="R423" s="5">
        <v>15.6</v>
      </c>
      <c r="S423" s="5">
        <v>21.2</v>
      </c>
      <c r="T423" s="5">
        <v>58.8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16.8</v>
      </c>
      <c r="AA423" s="5">
        <v>138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f>IFERROR(VLOOKUP(IFERROR(VLOOKUP(D423,Mapa_Similitud!$A$2:$B$2000,2,FALSE()),D423),Hoja1!$A$2:$K$1000,2,FALSE()),IFERROR(VLOOKUP(IFERROR(VLOOKUP(D423,Mapa_Similitud!$A$2:$B$2000,2,FALSE()),D423),Omega3_Referencia!$A$2:$E$100,3,FALSE()),0))</f>
        <v>9</v>
      </c>
      <c r="AW423" s="3" t="str">
        <f>IFERROR(VLOOKUP(IFERROR(VLOOKUP(D423,Mapa_Similitud!$A$2:$B$2000,2,FALSE()),D423),Hoja1!$A$2:$K$1000,3,FALSE()),IFERROR(VLOOKUP(IFERROR(VLOOKUP(D423,Mapa_Similitud!$A$2:$B$2000,2,FALSE()),D423),Omega3_Referencia!$A$2:$E$100,4,FALSE()),"N/A"))</f>
        <v>ALA</v>
      </c>
      <c r="AX423" s="5">
        <f>IFERROR(VLOOKUP(IFERROR(VLOOKUP(D423,Mapa_Similitud!$A$2:$B$2000,2,FALSE()),D423),Hoja1!$A$2:$K$1000,5,FALSE()),0)</f>
        <v>0</v>
      </c>
      <c r="AY423" s="5">
        <f>IFERROR(VLOOKUP(IFERROR(VLOOKUP(D423,Mapa_Similitud!$A$2:$B$2000,2,FALSE()),D423),Hoja1!$A$2:$K$1000,7,FALSE()),0)</f>
        <v>0</v>
      </c>
      <c r="AZ423" s="5">
        <f>IFERROR(VLOOKUP(IFERROR(VLOOKUP(D423,Mapa_Similitud!$A$2:$B$2000,2,FALSE()),D423),Hoja1!$A$2:$K$1000,9,FALSE()),0)</f>
        <v>0</v>
      </c>
      <c r="BA423" s="25">
        <f t="shared" si="174"/>
        <v>0</v>
      </c>
      <c r="BB423" s="25">
        <f t="shared" si="175"/>
        <v>0</v>
      </c>
      <c r="BC423" s="25">
        <f t="shared" si="176"/>
        <v>0</v>
      </c>
      <c r="BD423" s="25">
        <f t="shared" si="177"/>
        <v>0</v>
      </c>
      <c r="BE423" s="25">
        <f t="shared" si="178"/>
        <v>0</v>
      </c>
      <c r="BF423" s="25">
        <f t="shared" si="179"/>
        <v>3.7692307692307692</v>
      </c>
      <c r="BG423" s="25">
        <f t="shared" si="180"/>
        <v>0</v>
      </c>
      <c r="BH423" s="25">
        <f t="shared" si="181"/>
        <v>0.156</v>
      </c>
      <c r="BI423" s="25">
        <f t="shared" si="182"/>
        <v>0</v>
      </c>
      <c r="BJ423" s="25">
        <f t="shared" si="183"/>
        <v>0</v>
      </c>
      <c r="BK423" s="25">
        <f t="shared" si="184"/>
        <v>0</v>
      </c>
      <c r="BL423" s="25">
        <f t="shared" si="185"/>
        <v>1</v>
      </c>
      <c r="BM423" s="25">
        <f t="shared" si="186"/>
        <v>0</v>
      </c>
      <c r="BN423" s="18" t="str">
        <f t="shared" si="192"/>
        <v>Baja fuente de proteína</v>
      </c>
      <c r="BO423" s="18" t="str">
        <f t="shared" si="193"/>
        <v>Baja fuente de fibra</v>
      </c>
      <c r="BP423" s="18" t="str">
        <f t="shared" si="194"/>
        <v>Baja fuente de calcio</v>
      </c>
      <c r="BQ423" s="18" t="str">
        <f t="shared" si="195"/>
        <v>Baja fuente de hierro</v>
      </c>
      <c r="BR423" s="18" t="str">
        <f t="shared" si="196"/>
        <v>Bajo en sodio</v>
      </c>
      <c r="BS423" s="6" t="str">
        <f t="shared" si="187"/>
        <v>Altamente antiinflamatorio</v>
      </c>
      <c r="BT423" s="6" t="str">
        <f t="shared" si="188"/>
        <v>Muy alto en grasas</v>
      </c>
      <c r="BU423" s="18" t="str">
        <f t="shared" si="197"/>
        <v>Equilibrio de líquidos ideal</v>
      </c>
      <c r="BV423" s="18" t="str">
        <f t="shared" si="198"/>
        <v>Baja fuente de magnesio</v>
      </c>
      <c r="BW423" s="18" t="str">
        <f t="shared" si="199"/>
        <v>Alta fuente de Omega 3</v>
      </c>
      <c r="BX423" s="18" t="str">
        <f t="shared" si="200"/>
        <v>Libre de grasas trans</v>
      </c>
      <c r="BY423" s="18" t="str">
        <f t="shared" si="201"/>
        <v>Bajo poder antioxidante</v>
      </c>
      <c r="BZ423" s="6" t="str">
        <f t="shared" si="189"/>
        <v>Sin probióticos</v>
      </c>
      <c r="CA423" s="18" t="str">
        <f t="shared" si="202"/>
        <v>Antiinflamatorio</v>
      </c>
      <c r="CB423" s="18" t="str">
        <f>IF(ISNUMBER(SEARCH("miel", D423)), "No irritante (Uso condicionado SII)", IF(OR(J423&gt;0, ISNUMBER(SEARCH("cacao", D423)), ISNUMBER(SEARCH("chocolate puro", D423))), "Altamente irritante", IF(OR(AND(O423&gt;15, BI423&gt;1), ISNUMBER(SEARCH("chocolate", D423))), "Moderadamente irritante", "No irritante")))</f>
        <v>No irritante</v>
      </c>
      <c r="CC423" s="6" t="str">
        <f t="shared" si="190"/>
        <v>Exceso relativo de Omega 6</v>
      </c>
    </row>
    <row r="424" spans="1:81" ht="15" customHeight="1" x14ac:dyDescent="0.3">
      <c r="A424" s="2">
        <f t="shared" si="191"/>
        <v>423</v>
      </c>
      <c r="B424" s="3" t="s">
        <v>553</v>
      </c>
      <c r="C424" s="3" t="s">
        <v>571</v>
      </c>
      <c r="D424" s="3" t="s">
        <v>572</v>
      </c>
      <c r="E424" s="3"/>
      <c r="F424" s="4">
        <v>1.5</v>
      </c>
      <c r="G424" s="5">
        <v>1</v>
      </c>
      <c r="H424" s="5">
        <v>734</v>
      </c>
      <c r="I424" s="5">
        <v>15.9</v>
      </c>
      <c r="J424" s="5">
        <v>0</v>
      </c>
      <c r="K424" s="5">
        <v>0.85</v>
      </c>
      <c r="L424" s="5">
        <v>0.06</v>
      </c>
      <c r="M424" s="5">
        <v>0</v>
      </c>
      <c r="N424" s="5">
        <v>0.06</v>
      </c>
      <c r="O424" s="5">
        <v>0</v>
      </c>
      <c r="P424" s="5">
        <v>0</v>
      </c>
      <c r="Q424" s="5">
        <v>81.099999999999994</v>
      </c>
      <c r="R424" s="5">
        <v>51.4</v>
      </c>
      <c r="S424" s="5">
        <v>21</v>
      </c>
      <c r="T424" s="5">
        <v>3</v>
      </c>
      <c r="U424" s="5">
        <v>215</v>
      </c>
      <c r="V424" s="5">
        <v>739</v>
      </c>
      <c r="W424" s="5">
        <v>671</v>
      </c>
      <c r="X424" s="5">
        <v>410</v>
      </c>
      <c r="Y424" s="5">
        <v>1</v>
      </c>
      <c r="Z424" s="5">
        <v>2.2999999999999998</v>
      </c>
      <c r="AA424" s="5">
        <v>7</v>
      </c>
      <c r="AB424" s="5">
        <v>5.0000000000000001E-3</v>
      </c>
      <c r="AC424" s="5">
        <v>3.4000000000000002E-2</v>
      </c>
      <c r="AD424" s="5">
        <v>0.21</v>
      </c>
      <c r="AE424" s="5">
        <v>3.0000000000000001E-3</v>
      </c>
      <c r="AF424" s="5">
        <v>3</v>
      </c>
      <c r="AG424" s="5">
        <v>0.17</v>
      </c>
      <c r="AH424" s="5">
        <v>0.04</v>
      </c>
      <c r="AI424" s="5">
        <v>0</v>
      </c>
      <c r="AJ424" s="5">
        <v>0</v>
      </c>
      <c r="AK424" s="5">
        <v>24</v>
      </c>
      <c r="AL424" s="5">
        <v>24</v>
      </c>
      <c r="AM424" s="5">
        <v>0.02</v>
      </c>
      <c r="AN424" s="5">
        <v>1.8</v>
      </c>
      <c r="AO424" s="5">
        <v>0.09</v>
      </c>
      <c r="AP424" s="5">
        <v>2</v>
      </c>
      <c r="AQ424" s="5">
        <v>72</v>
      </c>
      <c r="AR424" s="5">
        <v>24</v>
      </c>
      <c r="AS424" s="5">
        <v>0.04</v>
      </c>
      <c r="AT424" s="5">
        <v>0.03</v>
      </c>
      <c r="AU424" s="5">
        <v>1.8</v>
      </c>
      <c r="AV424" s="5">
        <f>IFERROR(VLOOKUP(IFERROR(VLOOKUP(D424,Mapa_Similitud!$A$2:$B$2000,2,FALSE()),D424),Hoja1!$A$2:$K$1000,2,FALSE()),IFERROR(VLOOKUP(IFERROR(VLOOKUP(D424,Mapa_Similitud!$A$2:$B$2000,2,FALSE()),D424),Omega3_Referencia!$A$2:$E$100,3,FALSE()),0))</f>
        <v>0</v>
      </c>
      <c r="AW424" s="3" t="str">
        <f>IFERROR(VLOOKUP(IFERROR(VLOOKUP(D424,Mapa_Similitud!$A$2:$B$2000,2,FALSE()),D424),Hoja1!$A$2:$K$1000,3,FALSE()),IFERROR(VLOOKUP(IFERROR(VLOOKUP(D424,Mapa_Similitud!$A$2:$B$2000,2,FALSE()),D424),Omega3_Referencia!$A$2:$E$100,4,FALSE()),"N/A"))</f>
        <v>N/A</v>
      </c>
      <c r="AX424" s="5">
        <f>IFERROR(VLOOKUP(IFERROR(VLOOKUP(D424,Mapa_Similitud!$A$2:$B$2000,2,FALSE()),D424),Hoja1!$A$2:$K$1000,5,FALSE()),0)</f>
        <v>0</v>
      </c>
      <c r="AY424" s="5">
        <f>IFERROR(VLOOKUP(IFERROR(VLOOKUP(D424,Mapa_Similitud!$A$2:$B$2000,2,FALSE()),D424),Hoja1!$A$2:$K$1000,7,FALSE()),0)</f>
        <v>0</v>
      </c>
      <c r="AZ424" s="5">
        <f>IFERROR(VLOOKUP(IFERROR(VLOOKUP(D424,Mapa_Similitud!$A$2:$B$2000,2,FALSE()),D424),Hoja1!$A$2:$K$1000,9,FALSE()),0)</f>
        <v>0</v>
      </c>
      <c r="BA424" s="25">
        <f t="shared" si="174"/>
        <v>1.1580381471389645E-3</v>
      </c>
      <c r="BB424" s="25">
        <f t="shared" si="175"/>
        <v>0</v>
      </c>
      <c r="BC424" s="25">
        <f t="shared" si="176"/>
        <v>3.2697547683923703E-2</v>
      </c>
      <c r="BD424" s="25">
        <f t="shared" si="177"/>
        <v>2.7247956403269754E-5</v>
      </c>
      <c r="BE424" s="25">
        <f t="shared" si="178"/>
        <v>9.8092643051771122E-2</v>
      </c>
      <c r="BF424" s="25">
        <f t="shared" si="179"/>
        <v>5.8365758754863814E-2</v>
      </c>
      <c r="BG424" s="25">
        <f t="shared" si="180"/>
        <v>1</v>
      </c>
      <c r="BH424" s="25">
        <f t="shared" si="181"/>
        <v>0.63378545006165232</v>
      </c>
      <c r="BI424" s="25">
        <f t="shared" si="182"/>
        <v>3</v>
      </c>
      <c r="BJ424" s="25">
        <f t="shared" si="183"/>
        <v>1</v>
      </c>
      <c r="BK424" s="25">
        <f t="shared" si="184"/>
        <v>0</v>
      </c>
      <c r="BL424" s="25">
        <f t="shared" si="185"/>
        <v>0.9944141689373297</v>
      </c>
      <c r="BM424" s="25">
        <f t="shared" si="186"/>
        <v>2.7247956403269754E-3</v>
      </c>
      <c r="BN424" s="18" t="str">
        <f t="shared" si="192"/>
        <v>Baja fuente de proteína</v>
      </c>
      <c r="BO424" s="18" t="str">
        <f t="shared" si="193"/>
        <v>Baja fuente de fibra</v>
      </c>
      <c r="BP424" s="18" t="str">
        <f t="shared" si="194"/>
        <v>Baja fuente de calcio</v>
      </c>
      <c r="BQ424" s="18" t="str">
        <f t="shared" si="195"/>
        <v>Baja fuente de hierro</v>
      </c>
      <c r="BR424" s="18" t="str">
        <f t="shared" si="196"/>
        <v>Bajo en sodio</v>
      </c>
      <c r="BS424" s="6" t="str">
        <f t="shared" si="187"/>
        <v>Proinflamatorio</v>
      </c>
      <c r="BT424" s="6" t="str">
        <f t="shared" si="188"/>
        <v>Muy alto en grasas</v>
      </c>
      <c r="BU424" s="18" t="str">
        <f t="shared" si="197"/>
        <v>Alto riesgo de retención de líquidos</v>
      </c>
      <c r="BV424" s="18" t="str">
        <f t="shared" si="198"/>
        <v>Baja fuente de magnesio</v>
      </c>
      <c r="BW424" s="18" t="str">
        <f t="shared" si="199"/>
        <v>Sin aporte de Omega 3</v>
      </c>
      <c r="BX424" s="18" t="str">
        <f t="shared" si="200"/>
        <v>Libre de grasas trans</v>
      </c>
      <c r="BY424" s="18" t="str">
        <f t="shared" si="201"/>
        <v>Bajo poder antioxidante</v>
      </c>
      <c r="BZ424" s="6" t="str">
        <f t="shared" si="189"/>
        <v>Sin probióticos</v>
      </c>
      <c r="CA424" s="18" t="str">
        <f t="shared" si="202"/>
        <v>Poco inflamatorio</v>
      </c>
      <c r="CB424" s="18" t="str">
        <f>IF(ISNUMBER(SEARCH("miel", D424)), "No irritante (Uso condicionado SII)", IF(OR(J424&gt;0, ISNUMBER(SEARCH("cacao", D424)), ISNUMBER(SEARCH("chocolate puro", D424))), "Altamente irritante", IF(OR(AND(O424&gt;15, BI424&gt;1), ISNUMBER(SEARCH("chocolate", D424))), "Moderadamente irritante", "No irritante")))</f>
        <v>No irritante</v>
      </c>
      <c r="CC424" s="6" t="str">
        <f t="shared" si="190"/>
        <v>Sin Omega 3 para evaluar</v>
      </c>
    </row>
    <row r="425" spans="1:81" ht="15" customHeight="1" x14ac:dyDescent="0.3">
      <c r="A425" s="2">
        <f t="shared" si="191"/>
        <v>424</v>
      </c>
      <c r="B425" s="3" t="s">
        <v>553</v>
      </c>
      <c r="C425" s="3" t="s">
        <v>571</v>
      </c>
      <c r="D425" s="3" t="s">
        <v>573</v>
      </c>
      <c r="E425" s="3"/>
      <c r="F425" s="4">
        <v>1.5</v>
      </c>
      <c r="G425" s="5">
        <v>1</v>
      </c>
      <c r="H425" s="5">
        <v>517</v>
      </c>
      <c r="I425" s="5">
        <v>39.700000000000003</v>
      </c>
      <c r="J425" s="5">
        <v>0</v>
      </c>
      <c r="K425" s="5">
        <v>3.3</v>
      </c>
      <c r="L425" s="5">
        <v>1.9</v>
      </c>
      <c r="M425" s="5">
        <v>1.9</v>
      </c>
      <c r="N425" s="5">
        <v>0</v>
      </c>
      <c r="O425" s="5">
        <v>0</v>
      </c>
      <c r="P425" s="5">
        <v>0</v>
      </c>
      <c r="Q425" s="5">
        <v>55.1</v>
      </c>
      <c r="R425" s="5">
        <v>34.299999999999997</v>
      </c>
      <c r="S425" s="5">
        <v>15.9</v>
      </c>
      <c r="T425" s="5">
        <v>2</v>
      </c>
      <c r="U425" s="5">
        <v>106</v>
      </c>
      <c r="V425" s="5">
        <v>474</v>
      </c>
      <c r="W425" s="5">
        <v>456</v>
      </c>
      <c r="X425" s="5">
        <v>107</v>
      </c>
      <c r="Y425" s="5">
        <v>1</v>
      </c>
      <c r="Z425" s="5">
        <v>1.6</v>
      </c>
      <c r="AA425" s="5">
        <v>4.8</v>
      </c>
      <c r="AB425" s="5">
        <v>0.01</v>
      </c>
      <c r="AC425" s="5">
        <v>7.0000000000000007E-2</v>
      </c>
      <c r="AD425" s="5">
        <v>7.0000000000000007E-2</v>
      </c>
      <c r="AE425" s="5">
        <v>0.01</v>
      </c>
      <c r="AF425" s="5">
        <v>1</v>
      </c>
      <c r="AG425" s="5">
        <v>0.13</v>
      </c>
      <c r="AH425" s="5">
        <v>0</v>
      </c>
      <c r="AI425" s="5">
        <v>0</v>
      </c>
      <c r="AJ425" s="5">
        <v>0</v>
      </c>
      <c r="AK425" s="5">
        <v>48</v>
      </c>
      <c r="AL425" s="5">
        <v>34</v>
      </c>
      <c r="AM425" s="5">
        <v>1.1000000000000001</v>
      </c>
      <c r="AN425" s="5">
        <v>0</v>
      </c>
      <c r="AO425" s="5">
        <v>0.26</v>
      </c>
      <c r="AP425" s="5">
        <v>5</v>
      </c>
      <c r="AQ425" s="5">
        <v>36</v>
      </c>
      <c r="AR425" s="5">
        <v>71</v>
      </c>
      <c r="AS425" s="5">
        <v>0</v>
      </c>
      <c r="AT425" s="5">
        <v>0</v>
      </c>
      <c r="AU425" s="5">
        <v>1</v>
      </c>
      <c r="AV425" s="5">
        <f>IFERROR(VLOOKUP(IFERROR(VLOOKUP(D425,Mapa_Similitud!$A$2:$B$2000,2,FALSE()),D425),Hoja1!$A$2:$K$1000,2,FALSE()),IFERROR(VLOOKUP(IFERROR(VLOOKUP(D425,Mapa_Similitud!$A$2:$B$2000,2,FALSE()),D425),Omega3_Referencia!$A$2:$E$100,3,FALSE()),0))</f>
        <v>0</v>
      </c>
      <c r="AW425" s="3" t="str">
        <f>IFERROR(VLOOKUP(IFERROR(VLOOKUP(D425,Mapa_Similitud!$A$2:$B$2000,2,FALSE()),D425),Hoja1!$A$2:$K$1000,3,FALSE()),IFERROR(VLOOKUP(IFERROR(VLOOKUP(D425,Mapa_Similitud!$A$2:$B$2000,2,FALSE()),D425),Omega3_Referencia!$A$2:$E$100,4,FALSE()),"N/A"))</f>
        <v>N/A</v>
      </c>
      <c r="AX425" s="5">
        <f>IFERROR(VLOOKUP(IFERROR(VLOOKUP(D425,Mapa_Similitud!$A$2:$B$2000,2,FALSE()),D425),Hoja1!$A$2:$K$1000,5,FALSE()),0)</f>
        <v>0</v>
      </c>
      <c r="AY425" s="5">
        <f>IFERROR(VLOOKUP(IFERROR(VLOOKUP(D425,Mapa_Similitud!$A$2:$B$2000,2,FALSE()),D425),Hoja1!$A$2:$K$1000,7,FALSE()),0)</f>
        <v>0</v>
      </c>
      <c r="AZ425" s="5">
        <f>IFERROR(VLOOKUP(IFERROR(VLOOKUP(D425,Mapa_Similitud!$A$2:$B$2000,2,FALSE()),D425),Hoja1!$A$2:$K$1000,9,FALSE()),0)</f>
        <v>0</v>
      </c>
      <c r="BA425" s="25">
        <f t="shared" si="174"/>
        <v>6.382978723404255E-3</v>
      </c>
      <c r="BB425" s="25">
        <f t="shared" si="175"/>
        <v>0</v>
      </c>
      <c r="BC425" s="25">
        <f t="shared" si="176"/>
        <v>9.2843326885880081E-2</v>
      </c>
      <c r="BD425" s="25">
        <f t="shared" si="177"/>
        <v>2.1276595744680851E-3</v>
      </c>
      <c r="BE425" s="25">
        <f t="shared" si="178"/>
        <v>6.9632495164410058E-2</v>
      </c>
      <c r="BF425" s="25">
        <f t="shared" si="179"/>
        <v>5.830903790087464E-2</v>
      </c>
      <c r="BG425" s="25">
        <f t="shared" si="180"/>
        <v>1.411764705882353</v>
      </c>
      <c r="BH425" s="25">
        <f t="shared" si="181"/>
        <v>0.62250453720508159</v>
      </c>
      <c r="BI425" s="25">
        <f t="shared" si="182"/>
        <v>0.50704225352112675</v>
      </c>
      <c r="BJ425" s="25">
        <f t="shared" si="183"/>
        <v>0</v>
      </c>
      <c r="BK425" s="25">
        <f t="shared" si="184"/>
        <v>0</v>
      </c>
      <c r="BL425" s="25">
        <f t="shared" si="185"/>
        <v>0.95918762088974863</v>
      </c>
      <c r="BM425" s="25">
        <f t="shared" si="186"/>
        <v>9.6711798839458421E-3</v>
      </c>
      <c r="BN425" s="18" t="str">
        <f t="shared" si="192"/>
        <v>Baja fuente de proteína</v>
      </c>
      <c r="BO425" s="18" t="str">
        <f t="shared" si="193"/>
        <v>Baja fuente de fibra</v>
      </c>
      <c r="BP425" s="18" t="str">
        <f t="shared" si="194"/>
        <v>Baja fuente de calcio</v>
      </c>
      <c r="BQ425" s="18" t="str">
        <f t="shared" si="195"/>
        <v>Baja fuente de hierro</v>
      </c>
      <c r="BR425" s="18" t="str">
        <f t="shared" si="196"/>
        <v>Bajo en sodio</v>
      </c>
      <c r="BS425" s="6" t="str">
        <f t="shared" si="187"/>
        <v>Proinflamatorio</v>
      </c>
      <c r="BT425" s="6" t="str">
        <f t="shared" si="188"/>
        <v>Muy alto en grasas</v>
      </c>
      <c r="BU425" s="18" t="str">
        <f t="shared" si="197"/>
        <v>Riesgo moderado de retención</v>
      </c>
      <c r="BV425" s="18" t="str">
        <f t="shared" si="198"/>
        <v>Baja fuente de magnesio</v>
      </c>
      <c r="BW425" s="18" t="str">
        <f t="shared" si="199"/>
        <v>Sin aporte de Omega 3</v>
      </c>
      <c r="BX425" s="18" t="str">
        <f t="shared" si="200"/>
        <v>Libre de grasas trans</v>
      </c>
      <c r="BY425" s="18" t="str">
        <f t="shared" si="201"/>
        <v>Bajo poder antioxidante</v>
      </c>
      <c r="BZ425" s="6" t="str">
        <f t="shared" si="189"/>
        <v>Sin probióticos</v>
      </c>
      <c r="CA425" s="18" t="str">
        <f t="shared" si="202"/>
        <v>Poco inflamatorio</v>
      </c>
      <c r="CB425" s="18" t="str">
        <f>IF(ISNUMBER(SEARCH("miel", D425)), "No irritante (Uso condicionado SII)", IF(OR(J425&gt;0, ISNUMBER(SEARCH("cacao", D425)), ISNUMBER(SEARCH("chocolate puro", D425))), "Altamente irritante", IF(OR(AND(O425&gt;15, BI425&gt;1), ISNUMBER(SEARCH("chocolate", D425))), "Moderadamente irritante", "No irritante")))</f>
        <v>No irritante</v>
      </c>
      <c r="CC425" s="6" t="str">
        <f t="shared" si="190"/>
        <v>Sin Omega 3 para evaluar</v>
      </c>
    </row>
    <row r="426" spans="1:81" ht="15" customHeight="1" x14ac:dyDescent="0.3">
      <c r="A426" s="2">
        <f t="shared" si="191"/>
        <v>425</v>
      </c>
      <c r="B426" s="3" t="s">
        <v>553</v>
      </c>
      <c r="C426" s="3" t="s">
        <v>571</v>
      </c>
      <c r="D426" s="3" t="s">
        <v>574</v>
      </c>
      <c r="E426" s="3"/>
      <c r="F426" s="4">
        <v>1.5</v>
      </c>
      <c r="G426" s="5">
        <v>1</v>
      </c>
      <c r="H426" s="5">
        <v>736</v>
      </c>
      <c r="I426" s="5">
        <v>18</v>
      </c>
      <c r="J426" s="5">
        <v>0</v>
      </c>
      <c r="K426" s="5">
        <v>0.89</v>
      </c>
      <c r="L426" s="5">
        <v>0.7</v>
      </c>
      <c r="M426" s="5">
        <v>0</v>
      </c>
      <c r="N426" s="5">
        <v>0.7</v>
      </c>
      <c r="O426" s="5">
        <v>0</v>
      </c>
      <c r="P426" s="5">
        <v>0</v>
      </c>
      <c r="Q426" s="5">
        <v>81.099999999999994</v>
      </c>
      <c r="R426" s="5">
        <v>40.799999999999997</v>
      </c>
      <c r="S426" s="5">
        <v>33.4</v>
      </c>
      <c r="T426" s="5">
        <v>3.3</v>
      </c>
      <c r="U426" s="5">
        <v>215</v>
      </c>
      <c r="V426" s="5">
        <v>697</v>
      </c>
      <c r="W426" s="5">
        <v>671</v>
      </c>
      <c r="X426" s="5">
        <v>158</v>
      </c>
      <c r="Y426" s="5">
        <v>1.4</v>
      </c>
      <c r="Z426" s="5">
        <v>2.2999999999999998</v>
      </c>
      <c r="AA426" s="5">
        <v>7</v>
      </c>
      <c r="AB426" s="5">
        <v>5.0000000000000001E-3</v>
      </c>
      <c r="AC426" s="5">
        <v>3.4000000000000002E-2</v>
      </c>
      <c r="AD426" s="5">
        <v>0.24</v>
      </c>
      <c r="AE426" s="5">
        <v>3.0000000000000001E-3</v>
      </c>
      <c r="AF426" s="5">
        <v>3</v>
      </c>
      <c r="AG426" s="5">
        <v>0.17</v>
      </c>
      <c r="AH426" s="5">
        <v>0.11</v>
      </c>
      <c r="AI426" s="5">
        <v>0</v>
      </c>
      <c r="AJ426" s="5">
        <v>0</v>
      </c>
      <c r="AK426" s="5">
        <v>24</v>
      </c>
      <c r="AL426" s="5">
        <v>24</v>
      </c>
      <c r="AM426" s="5">
        <v>0.02</v>
      </c>
      <c r="AN426" s="5">
        <v>38</v>
      </c>
      <c r="AO426" s="5">
        <v>0.09</v>
      </c>
      <c r="AP426" s="5">
        <v>2</v>
      </c>
      <c r="AQ426" s="5">
        <v>714</v>
      </c>
      <c r="AR426" s="5">
        <v>24</v>
      </c>
      <c r="AS426" s="5">
        <v>0.04</v>
      </c>
      <c r="AT426" s="5">
        <v>0.03</v>
      </c>
      <c r="AU426" s="5">
        <v>1</v>
      </c>
      <c r="AV426" s="5">
        <f>IFERROR(VLOOKUP(IFERROR(VLOOKUP(D426,Mapa_Similitud!$A$2:$B$2000,2,FALSE()),D426),Hoja1!$A$2:$K$1000,2,FALSE()),IFERROR(VLOOKUP(IFERROR(VLOOKUP(D426,Mapa_Similitud!$A$2:$B$2000,2,FALSE()),D426),Omega3_Referencia!$A$2:$E$100,3,FALSE()),0))</f>
        <v>0</v>
      </c>
      <c r="AW426" s="3" t="str">
        <f>IFERROR(VLOOKUP(IFERROR(VLOOKUP(D426,Mapa_Similitud!$A$2:$B$2000,2,FALSE()),D426),Hoja1!$A$2:$K$1000,3,FALSE()),IFERROR(VLOOKUP(IFERROR(VLOOKUP(D426,Mapa_Similitud!$A$2:$B$2000,2,FALSE()),D426),Omega3_Referencia!$A$2:$E$100,4,FALSE()),"N/A"))</f>
        <v>N/A</v>
      </c>
      <c r="AX426" s="5">
        <f>IFERROR(VLOOKUP(IFERROR(VLOOKUP(D426,Mapa_Similitud!$A$2:$B$2000,2,FALSE()),D426),Hoja1!$A$2:$K$1000,5,FALSE()),0)</f>
        <v>0</v>
      </c>
      <c r="AY426" s="5">
        <f>IFERROR(VLOOKUP(IFERROR(VLOOKUP(D426,Mapa_Similitud!$A$2:$B$2000,2,FALSE()),D426),Hoja1!$A$2:$K$1000,7,FALSE()),0)</f>
        <v>0</v>
      </c>
      <c r="AZ426" s="5">
        <f>IFERROR(VLOOKUP(IFERROR(VLOOKUP(D426,Mapa_Similitud!$A$2:$B$2000,2,FALSE()),D426),Hoja1!$A$2:$K$1000,9,FALSE()),0)</f>
        <v>0</v>
      </c>
      <c r="BA426" s="25">
        <f t="shared" si="174"/>
        <v>1.2092391304347825E-3</v>
      </c>
      <c r="BB426" s="25">
        <f t="shared" si="175"/>
        <v>0</v>
      </c>
      <c r="BC426" s="25">
        <f t="shared" si="176"/>
        <v>3.2608695652173912E-2</v>
      </c>
      <c r="BD426" s="25">
        <f t="shared" si="177"/>
        <v>2.7173913043478262E-5</v>
      </c>
      <c r="BE426" s="25">
        <f t="shared" si="178"/>
        <v>0.97010869565217395</v>
      </c>
      <c r="BF426" s="25">
        <f t="shared" si="179"/>
        <v>8.0882352941176475E-2</v>
      </c>
      <c r="BG426" s="25">
        <f t="shared" si="180"/>
        <v>1</v>
      </c>
      <c r="BH426" s="25">
        <f t="shared" si="181"/>
        <v>0.50308261405672006</v>
      </c>
      <c r="BI426" s="25">
        <f t="shared" si="182"/>
        <v>29.75</v>
      </c>
      <c r="BJ426" s="25">
        <f t="shared" si="183"/>
        <v>1</v>
      </c>
      <c r="BK426" s="25">
        <f t="shared" si="184"/>
        <v>0</v>
      </c>
      <c r="BL426" s="25">
        <f t="shared" si="185"/>
        <v>0.99171195652173905</v>
      </c>
      <c r="BM426" s="25">
        <f t="shared" si="186"/>
        <v>2.717391304347826E-3</v>
      </c>
      <c r="BN426" s="18" t="str">
        <f t="shared" si="192"/>
        <v>Baja fuente de proteína</v>
      </c>
      <c r="BO426" s="18" t="str">
        <f t="shared" si="193"/>
        <v>Baja fuente de fibra</v>
      </c>
      <c r="BP426" s="18" t="str">
        <f t="shared" si="194"/>
        <v>Baja fuente de calcio</v>
      </c>
      <c r="BQ426" s="18" t="str">
        <f t="shared" si="195"/>
        <v>Baja fuente de hierro</v>
      </c>
      <c r="BR426" s="18" t="str">
        <f t="shared" si="196"/>
        <v>Moderado en sodio</v>
      </c>
      <c r="BS426" s="6" t="str">
        <f t="shared" si="187"/>
        <v>Proinflamatorio</v>
      </c>
      <c r="BT426" s="6" t="str">
        <f t="shared" si="188"/>
        <v>Muy alto en grasas</v>
      </c>
      <c r="BU426" s="18" t="str">
        <f t="shared" si="197"/>
        <v>Alto riesgo de retención de líquidos</v>
      </c>
      <c r="BV426" s="18" t="str">
        <f t="shared" si="198"/>
        <v>Baja fuente de magnesio</v>
      </c>
      <c r="BW426" s="18" t="str">
        <f t="shared" si="199"/>
        <v>Sin aporte de Omega 3</v>
      </c>
      <c r="BX426" s="18" t="str">
        <f t="shared" si="200"/>
        <v>Libre de grasas trans</v>
      </c>
      <c r="BY426" s="18" t="str">
        <f t="shared" si="201"/>
        <v>Bajo poder antioxidante</v>
      </c>
      <c r="BZ426" s="6" t="str">
        <f t="shared" si="189"/>
        <v>Sin probióticos</v>
      </c>
      <c r="CA426" s="18" t="str">
        <f t="shared" si="202"/>
        <v>Poco inflamatorio</v>
      </c>
      <c r="CB426" s="18" t="str">
        <f>IF(ISNUMBER(SEARCH("miel", D426)), "No irritante (Uso condicionado SII)", IF(OR(J426&gt;0, ISNUMBER(SEARCH("cacao", D426)), ISNUMBER(SEARCH("chocolate puro", D426))), "Altamente irritante", IF(OR(AND(O426&gt;15, BI426&gt;1), ISNUMBER(SEARCH("chocolate", D426))), "Moderadamente irritante", "No irritante")))</f>
        <v>No irritante</v>
      </c>
      <c r="CC426" s="6" t="str">
        <f t="shared" si="190"/>
        <v>Sin Omega 3 para evaluar</v>
      </c>
    </row>
    <row r="427" spans="1:81" ht="15" customHeight="1" x14ac:dyDescent="0.3">
      <c r="A427" s="2">
        <f t="shared" si="191"/>
        <v>426</v>
      </c>
      <c r="B427" s="3" t="s">
        <v>553</v>
      </c>
      <c r="C427" s="3" t="s">
        <v>571</v>
      </c>
      <c r="D427" s="3" t="s">
        <v>575</v>
      </c>
      <c r="E427" s="3"/>
      <c r="F427" s="4">
        <v>1.5</v>
      </c>
      <c r="G427" s="5">
        <v>1</v>
      </c>
      <c r="H427" s="5">
        <v>722</v>
      </c>
      <c r="I427" s="5">
        <v>19.399999999999999</v>
      </c>
      <c r="J427" s="5">
        <v>0</v>
      </c>
      <c r="K427" s="5">
        <v>0.2</v>
      </c>
      <c r="L427" s="5">
        <v>0.4</v>
      </c>
      <c r="M427" s="5">
        <v>0</v>
      </c>
      <c r="N427" s="5">
        <v>0.4</v>
      </c>
      <c r="O427" s="5">
        <v>0</v>
      </c>
      <c r="P427" s="5">
        <v>0</v>
      </c>
      <c r="Q427" s="5">
        <v>80</v>
      </c>
      <c r="R427" s="5">
        <v>23.8</v>
      </c>
      <c r="S427" s="5">
        <v>31</v>
      </c>
      <c r="T427" s="5">
        <v>19.5</v>
      </c>
      <c r="U427" s="5">
        <v>115</v>
      </c>
      <c r="V427" s="5">
        <v>638</v>
      </c>
      <c r="W427" s="5">
        <v>530</v>
      </c>
      <c r="X427" s="5">
        <v>650</v>
      </c>
      <c r="Y427" s="5">
        <v>8</v>
      </c>
      <c r="Z427" s="5">
        <v>10</v>
      </c>
      <c r="AA427" s="5">
        <v>93</v>
      </c>
      <c r="AB427" s="5">
        <v>0</v>
      </c>
      <c r="AC427" s="5">
        <v>0</v>
      </c>
      <c r="AD427" s="5">
        <v>0.04</v>
      </c>
      <c r="AE427" s="5">
        <v>0</v>
      </c>
      <c r="AF427" s="5">
        <v>0</v>
      </c>
      <c r="AG427" s="5">
        <v>0</v>
      </c>
      <c r="AH427" s="5">
        <v>0.03</v>
      </c>
      <c r="AI427" s="5">
        <v>0</v>
      </c>
      <c r="AJ427" s="5">
        <v>0</v>
      </c>
      <c r="AK427" s="5">
        <v>4</v>
      </c>
      <c r="AL427" s="5">
        <v>12</v>
      </c>
      <c r="AM427" s="5">
        <v>0.3</v>
      </c>
      <c r="AN427" s="5">
        <v>26</v>
      </c>
      <c r="AO427" s="5">
        <v>0</v>
      </c>
      <c r="AP427" s="5">
        <v>0</v>
      </c>
      <c r="AQ427" s="5">
        <v>132</v>
      </c>
      <c r="AR427" s="5">
        <v>5</v>
      </c>
      <c r="AS427" s="5">
        <v>0</v>
      </c>
      <c r="AT427" s="5">
        <v>0.04</v>
      </c>
      <c r="AU427" s="5">
        <v>0</v>
      </c>
      <c r="AV427" s="5">
        <f>IFERROR(VLOOKUP(IFERROR(VLOOKUP(D427,Mapa_Similitud!$A$2:$B$2000,2,FALSE()),D427),Hoja1!$A$2:$K$1000,2,FALSE()),IFERROR(VLOOKUP(IFERROR(VLOOKUP(D427,Mapa_Similitud!$A$2:$B$2000,2,FALSE()),D427),Omega3_Referencia!$A$2:$E$100,3,FALSE()),0))</f>
        <v>0</v>
      </c>
      <c r="AW427" s="3" t="str">
        <f>IFERROR(VLOOKUP(IFERROR(VLOOKUP(D427,Mapa_Similitud!$A$2:$B$2000,2,FALSE()),D427),Hoja1!$A$2:$K$1000,3,FALSE()),IFERROR(VLOOKUP(IFERROR(VLOOKUP(D427,Mapa_Similitud!$A$2:$B$2000,2,FALSE()),D427),Omega3_Referencia!$A$2:$E$100,4,FALSE()),"N/A"))</f>
        <v>N/A</v>
      </c>
      <c r="AX427" s="5">
        <f>IFERROR(VLOOKUP(IFERROR(VLOOKUP(D427,Mapa_Similitud!$A$2:$B$2000,2,FALSE()),D427),Hoja1!$A$2:$K$1000,5,FALSE()),0)</f>
        <v>0</v>
      </c>
      <c r="AY427" s="5">
        <f>IFERROR(VLOOKUP(IFERROR(VLOOKUP(D427,Mapa_Similitud!$A$2:$B$2000,2,FALSE()),D427),Hoja1!$A$2:$K$1000,7,FALSE()),0)</f>
        <v>0</v>
      </c>
      <c r="AZ427" s="5">
        <f>IFERROR(VLOOKUP(IFERROR(VLOOKUP(D427,Mapa_Similitud!$A$2:$B$2000,2,FALSE()),D427),Hoja1!$A$2:$K$1000,9,FALSE()),0)</f>
        <v>0</v>
      </c>
      <c r="BA427" s="25">
        <f t="shared" si="174"/>
        <v>2.770083102493075E-4</v>
      </c>
      <c r="BB427" s="25">
        <f t="shared" si="175"/>
        <v>0</v>
      </c>
      <c r="BC427" s="25">
        <f t="shared" si="176"/>
        <v>5.5401662049861496E-3</v>
      </c>
      <c r="BD427" s="25">
        <f t="shared" si="177"/>
        <v>4.155124653739612E-4</v>
      </c>
      <c r="BE427" s="25">
        <f t="shared" si="178"/>
        <v>0.18282548476454294</v>
      </c>
      <c r="BF427" s="25">
        <f t="shared" si="179"/>
        <v>0.81932773109243695</v>
      </c>
      <c r="BG427" s="25">
        <f t="shared" si="180"/>
        <v>0.33333333333333331</v>
      </c>
      <c r="BH427" s="25">
        <f t="shared" si="181"/>
        <v>0.29749999999999999</v>
      </c>
      <c r="BI427" s="25">
        <f t="shared" si="182"/>
        <v>26.4</v>
      </c>
      <c r="BJ427" s="25">
        <f t="shared" si="183"/>
        <v>1</v>
      </c>
      <c r="BK427" s="25">
        <f t="shared" si="184"/>
        <v>0</v>
      </c>
      <c r="BL427" s="25">
        <f t="shared" si="185"/>
        <v>0.99722991689750695</v>
      </c>
      <c r="BM427" s="25">
        <f t="shared" si="186"/>
        <v>0</v>
      </c>
      <c r="BN427" s="18" t="str">
        <f t="shared" si="192"/>
        <v>Baja fuente de proteína</v>
      </c>
      <c r="BO427" s="18" t="str">
        <f t="shared" si="193"/>
        <v>Baja fuente de fibra</v>
      </c>
      <c r="BP427" s="18" t="str">
        <f t="shared" si="194"/>
        <v>Baja fuente de calcio</v>
      </c>
      <c r="BQ427" s="18" t="str">
        <f t="shared" si="195"/>
        <v>Baja fuente de hierro</v>
      </c>
      <c r="BR427" s="18" t="str">
        <f t="shared" si="196"/>
        <v>Bajo en sodio</v>
      </c>
      <c r="BS427" s="6" t="str">
        <f t="shared" si="187"/>
        <v>Neutro</v>
      </c>
      <c r="BT427" s="6" t="str">
        <f t="shared" si="188"/>
        <v>Muy alto en grasas</v>
      </c>
      <c r="BU427" s="18" t="str">
        <f t="shared" si="197"/>
        <v>Alto riesgo de retención de líquidos</v>
      </c>
      <c r="BV427" s="18" t="str">
        <f t="shared" si="198"/>
        <v>Baja fuente de magnesio</v>
      </c>
      <c r="BW427" s="18" t="str">
        <f t="shared" si="199"/>
        <v>Sin aporte de Omega 3</v>
      </c>
      <c r="BX427" s="18" t="str">
        <f t="shared" si="200"/>
        <v>Libre de grasas trans</v>
      </c>
      <c r="BY427" s="18" t="str">
        <f t="shared" si="201"/>
        <v>Bajo poder antioxidante</v>
      </c>
      <c r="BZ427" s="6" t="str">
        <f t="shared" si="189"/>
        <v>Sin probióticos</v>
      </c>
      <c r="CA427" s="18" t="str">
        <f t="shared" si="202"/>
        <v>Poco inflamatorio</v>
      </c>
      <c r="CB427" s="18" t="str">
        <f>IF(ISNUMBER(SEARCH("miel", D427)), "No irritante (Uso condicionado SII)", IF(OR(J427&gt;0, ISNUMBER(SEARCH("cacao", D427)), ISNUMBER(SEARCH("chocolate puro", D427))), "Altamente irritante", IF(OR(AND(O427&gt;15, BI427&gt;1), ISNUMBER(SEARCH("chocolate", D427))), "Moderadamente irritante", "No irritante")))</f>
        <v>No irritante</v>
      </c>
      <c r="CC427" s="6" t="str">
        <f t="shared" si="190"/>
        <v>Sin Omega 3 para evaluar</v>
      </c>
    </row>
    <row r="428" spans="1:81" ht="15" customHeight="1" x14ac:dyDescent="0.3">
      <c r="A428" s="2">
        <f t="shared" si="191"/>
        <v>427</v>
      </c>
      <c r="B428" s="3" t="s">
        <v>553</v>
      </c>
      <c r="C428" s="3" t="s">
        <v>571</v>
      </c>
      <c r="D428" s="3" t="s">
        <v>576</v>
      </c>
      <c r="E428" s="3"/>
      <c r="F428" s="4">
        <v>1.5</v>
      </c>
      <c r="G428" s="5">
        <v>1</v>
      </c>
      <c r="H428" s="5">
        <v>387</v>
      </c>
      <c r="I428" s="5">
        <v>53.9</v>
      </c>
      <c r="J428" s="5">
        <v>0</v>
      </c>
      <c r="K428" s="5">
        <v>0.1</v>
      </c>
      <c r="L428" s="5">
        <v>0.95</v>
      </c>
      <c r="M428" s="5">
        <v>0.45</v>
      </c>
      <c r="N428" s="5">
        <v>0.5</v>
      </c>
      <c r="O428" s="5">
        <v>0</v>
      </c>
      <c r="P428" s="5">
        <v>0.3</v>
      </c>
      <c r="Q428" s="5">
        <v>42.5</v>
      </c>
      <c r="R428" s="5">
        <v>8.5</v>
      </c>
      <c r="S428" s="5">
        <v>9</v>
      </c>
      <c r="T428" s="5">
        <v>17.5</v>
      </c>
      <c r="U428" s="5">
        <v>0</v>
      </c>
      <c r="V428" s="5">
        <v>0</v>
      </c>
      <c r="W428" s="5">
        <v>0</v>
      </c>
      <c r="X428" s="5">
        <v>0</v>
      </c>
      <c r="Y428" s="5">
        <v>4.3</v>
      </c>
      <c r="Z428" s="5">
        <v>5.7</v>
      </c>
      <c r="AA428" s="5">
        <v>93</v>
      </c>
      <c r="AB428" s="5">
        <v>0.01</v>
      </c>
      <c r="AC428" s="5">
        <v>0.02</v>
      </c>
      <c r="AD428" s="5">
        <v>0.36</v>
      </c>
      <c r="AE428" s="5">
        <v>0.01</v>
      </c>
      <c r="AF428" s="5">
        <v>1</v>
      </c>
      <c r="AG428" s="5">
        <v>0.06</v>
      </c>
      <c r="AH428" s="5">
        <v>0.05</v>
      </c>
      <c r="AI428" s="5">
        <v>0</v>
      </c>
      <c r="AJ428" s="5">
        <v>0.1</v>
      </c>
      <c r="AK428" s="5">
        <v>13</v>
      </c>
      <c r="AL428" s="5">
        <v>8</v>
      </c>
      <c r="AM428" s="5">
        <v>0.06</v>
      </c>
      <c r="AN428" s="5">
        <v>26</v>
      </c>
      <c r="AO428" s="5">
        <v>0</v>
      </c>
      <c r="AP428" s="5">
        <v>0.5</v>
      </c>
      <c r="AQ428" s="5">
        <v>133</v>
      </c>
      <c r="AR428" s="5">
        <v>7</v>
      </c>
      <c r="AS428" s="5">
        <v>0</v>
      </c>
      <c r="AT428" s="5">
        <v>0.03</v>
      </c>
      <c r="AU428" s="5">
        <v>0</v>
      </c>
      <c r="AV428" s="5">
        <f>IFERROR(VLOOKUP(IFERROR(VLOOKUP(D428,Mapa_Similitud!$A$2:$B$2000,2,FALSE()),D428),Hoja1!$A$2:$K$1000,2,FALSE()),IFERROR(VLOOKUP(IFERROR(VLOOKUP(D428,Mapa_Similitud!$A$2:$B$2000,2,FALSE()),D428),Omega3_Referencia!$A$2:$E$100,3,FALSE()),0))</f>
        <v>0</v>
      </c>
      <c r="AW428" s="3" t="str">
        <f>IFERROR(VLOOKUP(IFERROR(VLOOKUP(D428,Mapa_Similitud!$A$2:$B$2000,2,FALSE()),D428),Hoja1!$A$2:$K$1000,3,FALSE()),IFERROR(VLOOKUP(IFERROR(VLOOKUP(D428,Mapa_Similitud!$A$2:$B$2000,2,FALSE()),D428),Omega3_Referencia!$A$2:$E$100,4,FALSE()),"N/A"))</f>
        <v>N/A</v>
      </c>
      <c r="AX428" s="5">
        <f>IFERROR(VLOOKUP(IFERROR(VLOOKUP(D428,Mapa_Similitud!$A$2:$B$2000,2,FALSE()),D428),Hoja1!$A$2:$K$1000,5,FALSE()),0)</f>
        <v>0</v>
      </c>
      <c r="AY428" s="5">
        <f>IFERROR(VLOOKUP(IFERROR(VLOOKUP(D428,Mapa_Similitud!$A$2:$B$2000,2,FALSE()),D428),Hoja1!$A$2:$K$1000,7,FALSE()),0)</f>
        <v>0</v>
      </c>
      <c r="AZ428" s="5">
        <f>IFERROR(VLOOKUP(IFERROR(VLOOKUP(D428,Mapa_Similitud!$A$2:$B$2000,2,FALSE()),D428),Hoja1!$A$2:$K$1000,9,FALSE()),0)</f>
        <v>0</v>
      </c>
      <c r="BA428" s="25">
        <f t="shared" si="174"/>
        <v>2.583979328165375E-4</v>
      </c>
      <c r="BB428" s="25">
        <f t="shared" si="175"/>
        <v>7.7519379844961239E-4</v>
      </c>
      <c r="BC428" s="25">
        <f t="shared" si="176"/>
        <v>3.3591731266149873E-2</v>
      </c>
      <c r="BD428" s="25">
        <f t="shared" si="177"/>
        <v>1.5503875968992246E-4</v>
      </c>
      <c r="BE428" s="25">
        <f t="shared" si="178"/>
        <v>0.34366925064599485</v>
      </c>
      <c r="BF428" s="25">
        <f t="shared" si="179"/>
        <v>2.0588235294117645</v>
      </c>
      <c r="BG428" s="25">
        <f t="shared" si="180"/>
        <v>1.625</v>
      </c>
      <c r="BH428" s="25">
        <f t="shared" si="181"/>
        <v>0.2</v>
      </c>
      <c r="BI428" s="25">
        <f t="shared" si="182"/>
        <v>19</v>
      </c>
      <c r="BJ428" s="25">
        <f t="shared" si="183"/>
        <v>0.52631578947368418</v>
      </c>
      <c r="BK428" s="25">
        <f t="shared" si="184"/>
        <v>0.31578947368421051</v>
      </c>
      <c r="BL428" s="25">
        <f t="shared" si="185"/>
        <v>0.98837209302325579</v>
      </c>
      <c r="BM428" s="25">
        <f t="shared" si="186"/>
        <v>1.2919896640826874E-3</v>
      </c>
      <c r="BN428" s="18" t="str">
        <f t="shared" si="192"/>
        <v>Baja fuente de proteína</v>
      </c>
      <c r="BO428" s="18" t="str">
        <f t="shared" si="193"/>
        <v>Baja fuente de fibra</v>
      </c>
      <c r="BP428" s="18" t="str">
        <f t="shared" si="194"/>
        <v>Baja fuente de calcio</v>
      </c>
      <c r="BQ428" s="18" t="str">
        <f t="shared" si="195"/>
        <v>Baja fuente de hierro</v>
      </c>
      <c r="BR428" s="18" t="str">
        <f t="shared" si="196"/>
        <v>Bajo en sodio</v>
      </c>
      <c r="BS428" s="6" t="str">
        <f t="shared" si="187"/>
        <v>Altamente antiinflamatorio</v>
      </c>
      <c r="BT428" s="6" t="str">
        <f t="shared" si="188"/>
        <v>Muy alto en grasas</v>
      </c>
      <c r="BU428" s="18" t="str">
        <f t="shared" si="197"/>
        <v>Alto riesgo de retención de líquidos</v>
      </c>
      <c r="BV428" s="18" t="str">
        <f t="shared" si="198"/>
        <v>Baja fuente de magnesio</v>
      </c>
      <c r="BW428" s="18" t="str">
        <f t="shared" si="199"/>
        <v>Sin aporte de Omega 3</v>
      </c>
      <c r="BX428" s="18" t="str">
        <f t="shared" si="200"/>
        <v>Libre de grasas trans</v>
      </c>
      <c r="BY428" s="18" t="str">
        <f t="shared" si="201"/>
        <v>Bajo poder antioxidante</v>
      </c>
      <c r="BZ428" s="6" t="str">
        <f t="shared" si="189"/>
        <v>Sin probióticos</v>
      </c>
      <c r="CA428" s="18" t="str">
        <f t="shared" si="202"/>
        <v>Poco inflamatorio</v>
      </c>
      <c r="CB428" s="18" t="str">
        <f>IF(ISNUMBER(SEARCH("miel", D428)), "No irritante (Uso condicionado SII)", IF(OR(J428&gt;0, ISNUMBER(SEARCH("cacao", D428)), ISNUMBER(SEARCH("chocolate puro", D428))), "Altamente irritante", IF(OR(AND(O428&gt;15, BI428&gt;1), ISNUMBER(SEARCH("chocolate", D428))), "Moderadamente irritante", "No irritante")))</f>
        <v>No irritante</v>
      </c>
      <c r="CC428" s="6" t="str">
        <f t="shared" si="190"/>
        <v>Sin Omega 3 para evaluar</v>
      </c>
    </row>
    <row r="429" spans="1:81" ht="15" customHeight="1" x14ac:dyDescent="0.3">
      <c r="A429" s="2">
        <f t="shared" si="191"/>
        <v>428</v>
      </c>
      <c r="B429" s="3" t="s">
        <v>553</v>
      </c>
      <c r="C429" s="3" t="s">
        <v>571</v>
      </c>
      <c r="D429" s="3" t="s">
        <v>577</v>
      </c>
      <c r="E429" s="3"/>
      <c r="F429" s="4">
        <v>1.5</v>
      </c>
      <c r="G429" s="5">
        <v>1</v>
      </c>
      <c r="H429" s="5">
        <v>740</v>
      </c>
      <c r="I429" s="5">
        <v>15.1</v>
      </c>
      <c r="J429" s="5">
        <v>0</v>
      </c>
      <c r="K429" s="5">
        <v>0.9</v>
      </c>
      <c r="L429" s="5">
        <v>4</v>
      </c>
      <c r="M429" s="5">
        <v>4</v>
      </c>
      <c r="N429" s="5">
        <v>0</v>
      </c>
      <c r="O429" s="5">
        <v>0</v>
      </c>
      <c r="P429" s="5">
        <v>0</v>
      </c>
      <c r="Q429" s="5">
        <v>80</v>
      </c>
      <c r="R429" s="5">
        <v>13</v>
      </c>
      <c r="S429" s="5">
        <v>32</v>
      </c>
      <c r="T429" s="5">
        <v>31</v>
      </c>
      <c r="U429" s="5">
        <v>2</v>
      </c>
      <c r="V429" s="5">
        <v>731</v>
      </c>
      <c r="W429" s="5">
        <v>662</v>
      </c>
      <c r="X429" s="5">
        <v>414</v>
      </c>
      <c r="Y429" s="5">
        <v>3.8</v>
      </c>
      <c r="Z429" s="5">
        <v>7.5</v>
      </c>
      <c r="AA429" s="5">
        <v>1.5</v>
      </c>
      <c r="AB429" s="5">
        <v>0.01</v>
      </c>
      <c r="AC429" s="5">
        <v>1.6</v>
      </c>
      <c r="AD429" s="5">
        <v>0.67</v>
      </c>
      <c r="AE429" s="5">
        <v>8.9999999999999993E-3</v>
      </c>
      <c r="AF429" s="5">
        <v>1</v>
      </c>
      <c r="AG429" s="5">
        <v>0.1</v>
      </c>
      <c r="AH429" s="5">
        <v>8.4000000000000005E-2</v>
      </c>
      <c r="AI429" s="5">
        <v>0</v>
      </c>
      <c r="AJ429" s="5">
        <v>0.2</v>
      </c>
      <c r="AK429" s="5">
        <v>30</v>
      </c>
      <c r="AL429" s="5">
        <v>23</v>
      </c>
      <c r="AM429" s="5">
        <v>0</v>
      </c>
      <c r="AN429" s="5">
        <v>26</v>
      </c>
      <c r="AO429" s="5">
        <v>0</v>
      </c>
      <c r="AP429" s="5">
        <v>3</v>
      </c>
      <c r="AQ429" s="5">
        <v>212</v>
      </c>
      <c r="AR429" s="5">
        <v>42</v>
      </c>
      <c r="AS429" s="5">
        <v>0</v>
      </c>
      <c r="AT429" s="5">
        <v>0</v>
      </c>
      <c r="AU429" s="5">
        <v>0</v>
      </c>
      <c r="AV429" s="5">
        <f>IFERROR(VLOOKUP(IFERROR(VLOOKUP(D429,Mapa_Similitud!$A$2:$B$2000,2,FALSE()),D429),Hoja1!$A$2:$K$1000,2,FALSE()),IFERROR(VLOOKUP(IFERROR(VLOOKUP(D429,Mapa_Similitud!$A$2:$B$2000,2,FALSE()),D429),Omega3_Referencia!$A$2:$E$100,3,FALSE()),0))</f>
        <v>0</v>
      </c>
      <c r="AW429" s="3" t="str">
        <f>IFERROR(VLOOKUP(IFERROR(VLOOKUP(D429,Mapa_Similitud!$A$2:$B$2000,2,FALSE()),D429),Hoja1!$A$2:$K$1000,3,FALSE()),IFERROR(VLOOKUP(IFERROR(VLOOKUP(D429,Mapa_Similitud!$A$2:$B$2000,2,FALSE()),D429),Omega3_Referencia!$A$2:$E$100,4,FALSE()),"N/A"))</f>
        <v>N/A</v>
      </c>
      <c r="AX429" s="5">
        <f>IFERROR(VLOOKUP(IFERROR(VLOOKUP(D429,Mapa_Similitud!$A$2:$B$2000,2,FALSE()),D429),Hoja1!$A$2:$K$1000,5,FALSE()),0)</f>
        <v>0</v>
      </c>
      <c r="AY429" s="5">
        <f>IFERROR(VLOOKUP(IFERROR(VLOOKUP(D429,Mapa_Similitud!$A$2:$B$2000,2,FALSE()),D429),Hoja1!$A$2:$K$1000,7,FALSE()),0)</f>
        <v>0</v>
      </c>
      <c r="AZ429" s="5">
        <f>IFERROR(VLOOKUP(IFERROR(VLOOKUP(D429,Mapa_Similitud!$A$2:$B$2000,2,FALSE()),D429),Hoja1!$A$2:$K$1000,9,FALSE()),0)</f>
        <v>0</v>
      </c>
      <c r="BA429" s="25">
        <f t="shared" si="174"/>
        <v>1.2162162162162162E-3</v>
      </c>
      <c r="BB429" s="25">
        <f t="shared" si="175"/>
        <v>0</v>
      </c>
      <c r="BC429" s="25">
        <f t="shared" si="176"/>
        <v>4.0540540540540543E-2</v>
      </c>
      <c r="BD429" s="25">
        <f t="shared" si="177"/>
        <v>0</v>
      </c>
      <c r="BE429" s="25">
        <f t="shared" si="178"/>
        <v>0.2864864864864865</v>
      </c>
      <c r="BF429" s="25">
        <f t="shared" si="179"/>
        <v>2.3846153846153846</v>
      </c>
      <c r="BG429" s="25">
        <f t="shared" si="180"/>
        <v>1.3043478260869565</v>
      </c>
      <c r="BH429" s="25">
        <f t="shared" si="181"/>
        <v>0.16250000000000001</v>
      </c>
      <c r="BI429" s="25">
        <f t="shared" si="182"/>
        <v>5.0476190476190474</v>
      </c>
      <c r="BJ429" s="25">
        <f t="shared" si="183"/>
        <v>0</v>
      </c>
      <c r="BK429" s="25">
        <f t="shared" si="184"/>
        <v>0</v>
      </c>
      <c r="BL429" s="25">
        <f t="shared" si="185"/>
        <v>0.97297297297297303</v>
      </c>
      <c r="BM429" s="25">
        <f t="shared" si="186"/>
        <v>4.0540540540540543E-3</v>
      </c>
      <c r="BN429" s="18" t="str">
        <f t="shared" si="192"/>
        <v>Baja fuente de proteína</v>
      </c>
      <c r="BO429" s="18" t="str">
        <f t="shared" si="193"/>
        <v>Baja fuente de fibra</v>
      </c>
      <c r="BP429" s="18" t="str">
        <f t="shared" si="194"/>
        <v>Baja fuente de calcio</v>
      </c>
      <c r="BQ429" s="18" t="str">
        <f t="shared" si="195"/>
        <v>Baja fuente de hierro</v>
      </c>
      <c r="BR429" s="18" t="str">
        <f t="shared" si="196"/>
        <v>Bajo en sodio</v>
      </c>
      <c r="BS429" s="6" t="str">
        <f t="shared" si="187"/>
        <v>Altamente antiinflamatorio</v>
      </c>
      <c r="BT429" s="6" t="str">
        <f t="shared" si="188"/>
        <v>Muy alto en grasas</v>
      </c>
      <c r="BU429" s="18" t="str">
        <f t="shared" si="197"/>
        <v>Alto riesgo de retención de líquidos</v>
      </c>
      <c r="BV429" s="18" t="str">
        <f t="shared" si="198"/>
        <v>Baja fuente de magnesio</v>
      </c>
      <c r="BW429" s="18" t="str">
        <f t="shared" si="199"/>
        <v>Sin aporte de Omega 3</v>
      </c>
      <c r="BX429" s="18" t="str">
        <f t="shared" si="200"/>
        <v>Libre de grasas trans</v>
      </c>
      <c r="BY429" s="18" t="str">
        <f t="shared" si="201"/>
        <v>Bajo poder antioxidante</v>
      </c>
      <c r="BZ429" s="6" t="str">
        <f t="shared" si="189"/>
        <v>Sin probióticos</v>
      </c>
      <c r="CA429" s="18" t="str">
        <f t="shared" si="202"/>
        <v>Poco inflamatorio</v>
      </c>
      <c r="CB429" s="18" t="str">
        <f>IF(ISNUMBER(SEARCH("miel", D429)), "No irritante (Uso condicionado SII)", IF(OR(J429&gt;0, ISNUMBER(SEARCH("cacao", D429)), ISNUMBER(SEARCH("chocolate puro", D429))), "Altamente irritante", IF(OR(AND(O429&gt;15, BI429&gt;1), ISNUMBER(SEARCH("chocolate", D429))), "Moderadamente irritante", "No irritante")))</f>
        <v>No irritante</v>
      </c>
      <c r="CC429" s="6" t="str">
        <f t="shared" si="190"/>
        <v>Sin Omega 3 para evaluar</v>
      </c>
    </row>
    <row r="430" spans="1:81" ht="15" customHeight="1" x14ac:dyDescent="0.3">
      <c r="A430" s="2">
        <f t="shared" si="191"/>
        <v>429</v>
      </c>
      <c r="B430" s="3" t="s">
        <v>553</v>
      </c>
      <c r="C430" s="3" t="s">
        <v>571</v>
      </c>
      <c r="D430" s="3" t="s">
        <v>578</v>
      </c>
      <c r="E430" s="3"/>
      <c r="F430" s="4">
        <v>1.5</v>
      </c>
      <c r="G430" s="5">
        <v>1</v>
      </c>
      <c r="H430" s="5">
        <v>371</v>
      </c>
      <c r="I430" s="5">
        <v>58</v>
      </c>
      <c r="J430" s="5">
        <v>0</v>
      </c>
      <c r="K430" s="5">
        <v>1.6</v>
      </c>
      <c r="L430" s="5">
        <v>1.1000000000000001</v>
      </c>
      <c r="M430" s="5">
        <v>0.6</v>
      </c>
      <c r="N430" s="5">
        <v>0.5</v>
      </c>
      <c r="O430" s="5">
        <v>0</v>
      </c>
      <c r="P430" s="5">
        <v>0</v>
      </c>
      <c r="Q430" s="5">
        <v>40</v>
      </c>
      <c r="R430" s="5">
        <v>11.3</v>
      </c>
      <c r="S430" s="5">
        <v>13.5</v>
      </c>
      <c r="T430" s="5">
        <v>13.9</v>
      </c>
      <c r="U430" s="5">
        <v>4.2</v>
      </c>
      <c r="V430" s="5">
        <v>584</v>
      </c>
      <c r="W430" s="5">
        <v>500</v>
      </c>
      <c r="X430" s="5">
        <v>500</v>
      </c>
      <c r="Y430" s="5">
        <v>2.5</v>
      </c>
      <c r="Z430" s="5">
        <v>6</v>
      </c>
      <c r="AA430" s="5">
        <v>93</v>
      </c>
      <c r="AB430" s="5">
        <v>6.0000000000000001E-3</v>
      </c>
      <c r="AC430" s="5">
        <v>2.1999999999999999E-2</v>
      </c>
      <c r="AD430" s="5">
        <v>0.36</v>
      </c>
      <c r="AE430" s="5">
        <v>5.0000000000000001E-3</v>
      </c>
      <c r="AF430" s="5">
        <v>1</v>
      </c>
      <c r="AG430" s="5">
        <v>0.06</v>
      </c>
      <c r="AH430" s="5">
        <v>5.0999999999999997E-2</v>
      </c>
      <c r="AI430" s="5">
        <v>0</v>
      </c>
      <c r="AJ430" s="5">
        <v>0.1</v>
      </c>
      <c r="AK430" s="5">
        <v>12</v>
      </c>
      <c r="AL430" s="5">
        <v>8</v>
      </c>
      <c r="AM430" s="5">
        <v>0.06</v>
      </c>
      <c r="AN430" s="5">
        <v>26</v>
      </c>
      <c r="AO430" s="5">
        <v>0</v>
      </c>
      <c r="AP430" s="5">
        <v>0.5</v>
      </c>
      <c r="AQ430" s="5">
        <v>132</v>
      </c>
      <c r="AR430" s="5">
        <v>7</v>
      </c>
      <c r="AS430" s="5">
        <v>0</v>
      </c>
      <c r="AT430" s="5">
        <v>0.03</v>
      </c>
      <c r="AU430" s="5">
        <v>0</v>
      </c>
      <c r="AV430" s="5">
        <f>IFERROR(VLOOKUP(IFERROR(VLOOKUP(D430,Mapa_Similitud!$A$2:$B$2000,2,FALSE()),D430),Hoja1!$A$2:$K$1000,2,FALSE()),IFERROR(VLOOKUP(IFERROR(VLOOKUP(D430,Mapa_Similitud!$A$2:$B$2000,2,FALSE()),D430),Omega3_Referencia!$A$2:$E$100,3,FALSE()),0))</f>
        <v>0</v>
      </c>
      <c r="AW430" s="3" t="str">
        <f>IFERROR(VLOOKUP(IFERROR(VLOOKUP(D430,Mapa_Similitud!$A$2:$B$2000,2,FALSE()),D430),Hoja1!$A$2:$K$1000,3,FALSE()),IFERROR(VLOOKUP(IFERROR(VLOOKUP(D430,Mapa_Similitud!$A$2:$B$2000,2,FALSE()),D430),Omega3_Referencia!$A$2:$E$100,4,FALSE()),"N/A"))</f>
        <v>N/A</v>
      </c>
      <c r="AX430" s="5">
        <f>IFERROR(VLOOKUP(IFERROR(VLOOKUP(D430,Mapa_Similitud!$A$2:$B$2000,2,FALSE()),D430),Hoja1!$A$2:$K$1000,5,FALSE()),0)</f>
        <v>0</v>
      </c>
      <c r="AY430" s="5">
        <f>IFERROR(VLOOKUP(IFERROR(VLOOKUP(D430,Mapa_Similitud!$A$2:$B$2000,2,FALSE()),D430),Hoja1!$A$2:$K$1000,7,FALSE()),0)</f>
        <v>0</v>
      </c>
      <c r="AZ430" s="5">
        <f>IFERROR(VLOOKUP(IFERROR(VLOOKUP(D430,Mapa_Similitud!$A$2:$B$2000,2,FALSE()),D430),Hoja1!$A$2:$K$1000,9,FALSE()),0)</f>
        <v>0</v>
      </c>
      <c r="BA430" s="25">
        <f t="shared" si="174"/>
        <v>4.3126684636118602E-3</v>
      </c>
      <c r="BB430" s="25">
        <f t="shared" si="175"/>
        <v>0</v>
      </c>
      <c r="BC430" s="25">
        <f t="shared" si="176"/>
        <v>3.2345013477088951E-2</v>
      </c>
      <c r="BD430" s="25">
        <f t="shared" si="177"/>
        <v>1.6172506738544473E-4</v>
      </c>
      <c r="BE430" s="25">
        <f t="shared" si="178"/>
        <v>0.35579514824797842</v>
      </c>
      <c r="BF430" s="25">
        <f t="shared" si="179"/>
        <v>1.2300884955752212</v>
      </c>
      <c r="BG430" s="25">
        <f t="shared" si="180"/>
        <v>1.5</v>
      </c>
      <c r="BH430" s="25">
        <f t="shared" si="181"/>
        <v>0.28250000000000003</v>
      </c>
      <c r="BI430" s="25">
        <f t="shared" si="182"/>
        <v>18.857142857142858</v>
      </c>
      <c r="BJ430" s="25">
        <f t="shared" si="183"/>
        <v>0.45454545454545453</v>
      </c>
      <c r="BK430" s="25">
        <f t="shared" si="184"/>
        <v>0</v>
      </c>
      <c r="BL430" s="25">
        <f t="shared" si="185"/>
        <v>0.9703504043126685</v>
      </c>
      <c r="BM430" s="25">
        <f t="shared" si="186"/>
        <v>1.3477088948787063E-3</v>
      </c>
      <c r="BN430" s="18" t="str">
        <f t="shared" si="192"/>
        <v>Baja fuente de proteína</v>
      </c>
      <c r="BO430" s="18" t="str">
        <f t="shared" si="193"/>
        <v>Baja fuente de fibra</v>
      </c>
      <c r="BP430" s="18" t="str">
        <f t="shared" si="194"/>
        <v>Baja fuente de calcio</v>
      </c>
      <c r="BQ430" s="18" t="str">
        <f t="shared" si="195"/>
        <v>Baja fuente de hierro</v>
      </c>
      <c r="BR430" s="18" t="str">
        <f t="shared" si="196"/>
        <v>Bajo en sodio</v>
      </c>
      <c r="BS430" s="6" t="str">
        <f t="shared" si="187"/>
        <v>Ligeramente antiinflamatorio</v>
      </c>
      <c r="BT430" s="6" t="str">
        <f t="shared" si="188"/>
        <v>Muy alto en grasas</v>
      </c>
      <c r="BU430" s="18" t="str">
        <f t="shared" si="197"/>
        <v>Alto riesgo de retención de líquidos</v>
      </c>
      <c r="BV430" s="18" t="str">
        <f t="shared" si="198"/>
        <v>Baja fuente de magnesio</v>
      </c>
      <c r="BW430" s="18" t="str">
        <f t="shared" si="199"/>
        <v>Sin aporte de Omega 3</v>
      </c>
      <c r="BX430" s="18" t="str">
        <f t="shared" si="200"/>
        <v>Libre de grasas trans</v>
      </c>
      <c r="BY430" s="18" t="str">
        <f t="shared" si="201"/>
        <v>Bajo poder antioxidante</v>
      </c>
      <c r="BZ430" s="6" t="str">
        <f t="shared" si="189"/>
        <v>Sin probióticos</v>
      </c>
      <c r="CA430" s="18" t="str">
        <f t="shared" si="202"/>
        <v>Poco inflamatorio</v>
      </c>
      <c r="CB430" s="18" t="str">
        <f>IF(ISNUMBER(SEARCH("miel", D430)), "No irritante (Uso condicionado SII)", IF(OR(J430&gt;0, ISNUMBER(SEARCH("cacao", D430)), ISNUMBER(SEARCH("chocolate puro", D430))), "Altamente irritante", IF(OR(AND(O430&gt;15, BI430&gt;1), ISNUMBER(SEARCH("chocolate", D430))), "Moderadamente irritante", "No irritante")))</f>
        <v>No irritante</v>
      </c>
      <c r="CC430" s="6" t="str">
        <f t="shared" si="190"/>
        <v>Sin Omega 3 para evaluar</v>
      </c>
    </row>
    <row r="431" spans="1:81" ht="15" customHeight="1" x14ac:dyDescent="0.3">
      <c r="A431" s="2">
        <f t="shared" si="191"/>
        <v>430</v>
      </c>
      <c r="B431" s="3" t="s">
        <v>553</v>
      </c>
      <c r="C431" s="3" t="s">
        <v>571</v>
      </c>
      <c r="D431" s="3" t="s">
        <v>579</v>
      </c>
      <c r="E431" s="3"/>
      <c r="F431" s="4">
        <v>1.5</v>
      </c>
      <c r="G431" s="5">
        <v>1</v>
      </c>
      <c r="H431" s="5">
        <v>730</v>
      </c>
      <c r="I431" s="5">
        <v>15.8</v>
      </c>
      <c r="J431" s="5">
        <v>0</v>
      </c>
      <c r="K431" s="5">
        <v>0.9</v>
      </c>
      <c r="L431" s="5">
        <v>0.5</v>
      </c>
      <c r="M431" s="5">
        <v>0</v>
      </c>
      <c r="N431" s="5">
        <v>0.5</v>
      </c>
      <c r="O431" s="5">
        <v>0</v>
      </c>
      <c r="P431" s="5">
        <v>0</v>
      </c>
      <c r="Q431" s="5">
        <v>80.5</v>
      </c>
      <c r="R431" s="5">
        <v>15.8</v>
      </c>
      <c r="S431" s="5">
        <v>35.799999999999997</v>
      </c>
      <c r="T431" s="5">
        <v>25.4</v>
      </c>
      <c r="U431" s="5">
        <v>0</v>
      </c>
      <c r="V431" s="5">
        <v>731</v>
      </c>
      <c r="W431" s="5">
        <v>650</v>
      </c>
      <c r="X431" s="5">
        <v>485</v>
      </c>
      <c r="Y431" s="5">
        <v>8</v>
      </c>
      <c r="Z431" s="5">
        <v>12.8</v>
      </c>
      <c r="AA431" s="5">
        <v>93</v>
      </c>
      <c r="AB431" s="5">
        <v>0.01</v>
      </c>
      <c r="AC431" s="5">
        <v>3.6999999999999998E-2</v>
      </c>
      <c r="AD431" s="5">
        <v>0.02</v>
      </c>
      <c r="AE431" s="5">
        <v>8.9999999999999993E-3</v>
      </c>
      <c r="AF431" s="5">
        <v>1</v>
      </c>
      <c r="AG431" s="5">
        <v>0.1</v>
      </c>
      <c r="AH431" s="5">
        <v>8.4000000000000005E-2</v>
      </c>
      <c r="AI431" s="5">
        <v>0</v>
      </c>
      <c r="AJ431" s="5">
        <v>0.2</v>
      </c>
      <c r="AK431" s="5">
        <v>30</v>
      </c>
      <c r="AL431" s="5">
        <v>23</v>
      </c>
      <c r="AM431" s="5">
        <v>0.06</v>
      </c>
      <c r="AN431" s="5">
        <v>26</v>
      </c>
      <c r="AO431" s="5">
        <v>0</v>
      </c>
      <c r="AP431" s="5">
        <v>3</v>
      </c>
      <c r="AQ431" s="5">
        <v>232</v>
      </c>
      <c r="AR431" s="5">
        <v>42</v>
      </c>
      <c r="AS431" s="5">
        <v>0</v>
      </c>
      <c r="AT431" s="5">
        <v>0</v>
      </c>
      <c r="AU431" s="5">
        <v>0</v>
      </c>
      <c r="AV431" s="5">
        <f>IFERROR(VLOOKUP(IFERROR(VLOOKUP(D431,Mapa_Similitud!$A$2:$B$2000,2,FALSE()),D431),Hoja1!$A$2:$K$1000,2,FALSE()),IFERROR(VLOOKUP(IFERROR(VLOOKUP(D431,Mapa_Similitud!$A$2:$B$2000,2,FALSE()),D431),Omega3_Referencia!$A$2:$E$100,3,FALSE()),0))</f>
        <v>0</v>
      </c>
      <c r="AW431" s="3" t="str">
        <f>IFERROR(VLOOKUP(IFERROR(VLOOKUP(D431,Mapa_Similitud!$A$2:$B$2000,2,FALSE()),D431),Hoja1!$A$2:$K$1000,3,FALSE()),IFERROR(VLOOKUP(IFERROR(VLOOKUP(D431,Mapa_Similitud!$A$2:$B$2000,2,FALSE()),D431),Omega3_Referencia!$A$2:$E$100,4,FALSE()),"N/A"))</f>
        <v>N/A</v>
      </c>
      <c r="AX431" s="5">
        <f>IFERROR(VLOOKUP(IFERROR(VLOOKUP(D431,Mapa_Similitud!$A$2:$B$2000,2,FALSE()),D431),Hoja1!$A$2:$K$1000,5,FALSE()),0)</f>
        <v>0</v>
      </c>
      <c r="AY431" s="5">
        <f>IFERROR(VLOOKUP(IFERROR(VLOOKUP(D431,Mapa_Similitud!$A$2:$B$2000,2,FALSE()),D431),Hoja1!$A$2:$K$1000,7,FALSE()),0)</f>
        <v>0</v>
      </c>
      <c r="AZ431" s="5">
        <f>IFERROR(VLOOKUP(IFERROR(VLOOKUP(D431,Mapa_Similitud!$A$2:$B$2000,2,FALSE()),D431),Hoja1!$A$2:$K$1000,9,FALSE()),0)</f>
        <v>0</v>
      </c>
      <c r="BA431" s="25">
        <f t="shared" si="174"/>
        <v>1.2328767123287671E-3</v>
      </c>
      <c r="BB431" s="25">
        <f t="shared" si="175"/>
        <v>0</v>
      </c>
      <c r="BC431" s="25">
        <f t="shared" si="176"/>
        <v>4.1095890410958902E-2</v>
      </c>
      <c r="BD431" s="25">
        <f t="shared" si="177"/>
        <v>8.219178082191781E-5</v>
      </c>
      <c r="BE431" s="25">
        <f t="shared" si="178"/>
        <v>0.31780821917808222</v>
      </c>
      <c r="BF431" s="25">
        <f t="shared" si="179"/>
        <v>1.6075949367088607</v>
      </c>
      <c r="BG431" s="25">
        <f t="shared" si="180"/>
        <v>1.3043478260869565</v>
      </c>
      <c r="BH431" s="25">
        <f t="shared" si="181"/>
        <v>0.19627329192546586</v>
      </c>
      <c r="BI431" s="25">
        <f t="shared" si="182"/>
        <v>5.5238095238095237</v>
      </c>
      <c r="BJ431" s="25">
        <f t="shared" si="183"/>
        <v>1</v>
      </c>
      <c r="BK431" s="25">
        <f t="shared" si="184"/>
        <v>0</v>
      </c>
      <c r="BL431" s="25">
        <f t="shared" si="185"/>
        <v>0.99246575342465748</v>
      </c>
      <c r="BM431" s="25">
        <f t="shared" si="186"/>
        <v>4.10958904109589E-3</v>
      </c>
      <c r="BN431" s="18" t="str">
        <f t="shared" si="192"/>
        <v>Baja fuente de proteína</v>
      </c>
      <c r="BO431" s="18" t="str">
        <f t="shared" si="193"/>
        <v>Baja fuente de fibra</v>
      </c>
      <c r="BP431" s="18" t="str">
        <f t="shared" si="194"/>
        <v>Baja fuente de calcio</v>
      </c>
      <c r="BQ431" s="18" t="str">
        <f t="shared" si="195"/>
        <v>Baja fuente de hierro</v>
      </c>
      <c r="BR431" s="18" t="str">
        <f t="shared" si="196"/>
        <v>Bajo en sodio</v>
      </c>
      <c r="BS431" s="6" t="str">
        <f t="shared" si="187"/>
        <v>Ligeramente antiinflamatorio</v>
      </c>
      <c r="BT431" s="6" t="str">
        <f t="shared" si="188"/>
        <v>Muy alto en grasas</v>
      </c>
      <c r="BU431" s="18" t="str">
        <f t="shared" si="197"/>
        <v>Alto riesgo de retención de líquidos</v>
      </c>
      <c r="BV431" s="18" t="str">
        <f t="shared" si="198"/>
        <v>Baja fuente de magnesio</v>
      </c>
      <c r="BW431" s="18" t="str">
        <f t="shared" si="199"/>
        <v>Sin aporte de Omega 3</v>
      </c>
      <c r="BX431" s="18" t="str">
        <f t="shared" si="200"/>
        <v>Libre de grasas trans</v>
      </c>
      <c r="BY431" s="18" t="str">
        <f t="shared" si="201"/>
        <v>Bajo poder antioxidante</v>
      </c>
      <c r="BZ431" s="6" t="str">
        <f t="shared" si="189"/>
        <v>Sin probióticos</v>
      </c>
      <c r="CA431" s="18" t="str">
        <f t="shared" si="202"/>
        <v>Poco inflamatorio</v>
      </c>
      <c r="CB431" s="18" t="str">
        <f>IF(ISNUMBER(SEARCH("miel", D431)), "No irritante (Uso condicionado SII)", IF(OR(J431&gt;0, ISNUMBER(SEARCH("cacao", D431)), ISNUMBER(SEARCH("chocolate puro", D431))), "Altamente irritante", IF(OR(AND(O431&gt;15, BI431&gt;1), ISNUMBER(SEARCH("chocolate", D431))), "Moderadamente irritante", "No irritante")))</f>
        <v>No irritante</v>
      </c>
      <c r="CC431" s="6" t="str">
        <f t="shared" si="190"/>
        <v>Sin Omega 3 para evaluar</v>
      </c>
    </row>
    <row r="432" spans="1:81" ht="15" customHeight="1" x14ac:dyDescent="0.3">
      <c r="A432" s="2">
        <f t="shared" si="191"/>
        <v>431</v>
      </c>
      <c r="B432" s="3" t="s">
        <v>553</v>
      </c>
      <c r="C432" s="3" t="s">
        <v>571</v>
      </c>
      <c r="D432" s="3" t="s">
        <v>580</v>
      </c>
      <c r="E432" s="3"/>
      <c r="F432" s="4">
        <v>1.5</v>
      </c>
      <c r="G432" s="5">
        <v>1</v>
      </c>
      <c r="H432" s="5">
        <v>731</v>
      </c>
      <c r="I432" s="5">
        <v>17.2</v>
      </c>
      <c r="J432" s="5">
        <v>0</v>
      </c>
      <c r="K432" s="5">
        <v>0.5</v>
      </c>
      <c r="L432" s="5">
        <v>0.4</v>
      </c>
      <c r="M432" s="5">
        <v>0</v>
      </c>
      <c r="N432" s="5">
        <v>0.4</v>
      </c>
      <c r="O432" s="5">
        <v>0</v>
      </c>
      <c r="P432" s="5">
        <v>0</v>
      </c>
      <c r="Q432" s="5">
        <v>80.8</v>
      </c>
      <c r="R432" s="5">
        <v>22.6</v>
      </c>
      <c r="S432" s="5">
        <v>31.9</v>
      </c>
      <c r="T432" s="5">
        <v>22.8</v>
      </c>
      <c r="U432" s="5">
        <v>0</v>
      </c>
      <c r="V432" s="5">
        <v>672</v>
      </c>
      <c r="W432" s="5">
        <v>560</v>
      </c>
      <c r="X432" s="5">
        <v>670</v>
      </c>
      <c r="Y432" s="5">
        <v>8</v>
      </c>
      <c r="Z432" s="5">
        <v>26.5</v>
      </c>
      <c r="AA432" s="5">
        <v>0</v>
      </c>
      <c r="AB432" s="5">
        <v>0.01</v>
      </c>
      <c r="AC432" s="5">
        <v>0.03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19</v>
      </c>
      <c r="AL432" s="5">
        <v>16</v>
      </c>
      <c r="AM432" s="5">
        <v>0</v>
      </c>
      <c r="AN432" s="5">
        <v>0</v>
      </c>
      <c r="AO432" s="5">
        <v>0</v>
      </c>
      <c r="AP432" s="5">
        <v>2</v>
      </c>
      <c r="AQ432" s="5">
        <v>118</v>
      </c>
      <c r="AR432" s="5">
        <v>22</v>
      </c>
      <c r="AS432" s="5">
        <v>0</v>
      </c>
      <c r="AT432" s="5">
        <v>0</v>
      </c>
      <c r="AU432" s="5">
        <v>0</v>
      </c>
      <c r="AV432" s="5">
        <f>IFERROR(VLOOKUP(IFERROR(VLOOKUP(D432,Mapa_Similitud!$A$2:$B$2000,2,FALSE()),D432),Hoja1!$A$2:$K$1000,2,FALSE()),IFERROR(VLOOKUP(IFERROR(VLOOKUP(D432,Mapa_Similitud!$A$2:$B$2000,2,FALSE()),D432),Omega3_Referencia!$A$2:$E$100,3,FALSE()),0))</f>
        <v>0</v>
      </c>
      <c r="AW432" s="3" t="str">
        <f>IFERROR(VLOOKUP(IFERROR(VLOOKUP(D432,Mapa_Similitud!$A$2:$B$2000,2,FALSE()),D432),Hoja1!$A$2:$K$1000,3,FALSE()),IFERROR(VLOOKUP(IFERROR(VLOOKUP(D432,Mapa_Similitud!$A$2:$B$2000,2,FALSE()),D432),Omega3_Referencia!$A$2:$E$100,4,FALSE()),"N/A"))</f>
        <v>N/A</v>
      </c>
      <c r="AX432" s="5">
        <f>IFERROR(VLOOKUP(IFERROR(VLOOKUP(D432,Mapa_Similitud!$A$2:$B$2000,2,FALSE()),D432),Hoja1!$A$2:$K$1000,5,FALSE()),0)</f>
        <v>0</v>
      </c>
      <c r="AY432" s="5">
        <f>IFERROR(VLOOKUP(IFERROR(VLOOKUP(D432,Mapa_Similitud!$A$2:$B$2000,2,FALSE()),D432),Hoja1!$A$2:$K$1000,7,FALSE()),0)</f>
        <v>0</v>
      </c>
      <c r="AZ432" s="5">
        <f>IFERROR(VLOOKUP(IFERROR(VLOOKUP(D432,Mapa_Similitud!$A$2:$B$2000,2,FALSE()),D432),Hoja1!$A$2:$K$1000,9,FALSE()),0)</f>
        <v>0</v>
      </c>
      <c r="BA432" s="25">
        <f t="shared" si="174"/>
        <v>6.8399452804377564E-4</v>
      </c>
      <c r="BB432" s="25">
        <f t="shared" si="175"/>
        <v>0</v>
      </c>
      <c r="BC432" s="25">
        <f t="shared" si="176"/>
        <v>2.5991792065663474E-2</v>
      </c>
      <c r="BD432" s="25">
        <f t="shared" si="177"/>
        <v>0</v>
      </c>
      <c r="BE432" s="25">
        <f t="shared" si="178"/>
        <v>0.16142270861833105</v>
      </c>
      <c r="BF432" s="25">
        <f t="shared" si="179"/>
        <v>1.0088495575221239</v>
      </c>
      <c r="BG432" s="25">
        <f t="shared" si="180"/>
        <v>1.1875</v>
      </c>
      <c r="BH432" s="25">
        <f t="shared" si="181"/>
        <v>0.27970297029702973</v>
      </c>
      <c r="BI432" s="25">
        <f t="shared" si="182"/>
        <v>5.3636363636363633</v>
      </c>
      <c r="BJ432" s="25">
        <f t="shared" si="183"/>
        <v>1</v>
      </c>
      <c r="BK432" s="25">
        <f t="shared" si="184"/>
        <v>0</v>
      </c>
      <c r="BL432" s="25">
        <f t="shared" si="185"/>
        <v>0.99480164158686724</v>
      </c>
      <c r="BM432" s="25">
        <f t="shared" si="186"/>
        <v>2.7359781121751026E-3</v>
      </c>
      <c r="BN432" s="18" t="str">
        <f t="shared" si="192"/>
        <v>Baja fuente de proteína</v>
      </c>
      <c r="BO432" s="18" t="str">
        <f t="shared" si="193"/>
        <v>Baja fuente de fibra</v>
      </c>
      <c r="BP432" s="18" t="str">
        <f t="shared" si="194"/>
        <v>Baja fuente de calcio</v>
      </c>
      <c r="BQ432" s="18" t="str">
        <f t="shared" si="195"/>
        <v>Baja fuente de hierro</v>
      </c>
      <c r="BR432" s="18" t="str">
        <f t="shared" si="196"/>
        <v>Bajo en sodio</v>
      </c>
      <c r="BS432" s="6" t="str">
        <f t="shared" si="187"/>
        <v>Ligeramente antiinflamatorio</v>
      </c>
      <c r="BT432" s="6" t="str">
        <f t="shared" si="188"/>
        <v>Muy alto en grasas</v>
      </c>
      <c r="BU432" s="18" t="str">
        <f t="shared" si="197"/>
        <v>Alto riesgo de retención de líquidos</v>
      </c>
      <c r="BV432" s="18" t="str">
        <f t="shared" si="198"/>
        <v>Baja fuente de magnesio</v>
      </c>
      <c r="BW432" s="18" t="str">
        <f t="shared" si="199"/>
        <v>Sin aporte de Omega 3</v>
      </c>
      <c r="BX432" s="18" t="str">
        <f t="shared" si="200"/>
        <v>Libre de grasas trans</v>
      </c>
      <c r="BY432" s="18" t="str">
        <f t="shared" si="201"/>
        <v>Bajo poder antioxidante</v>
      </c>
      <c r="BZ432" s="6" t="str">
        <f t="shared" si="189"/>
        <v>Sin probióticos</v>
      </c>
      <c r="CA432" s="18" t="str">
        <f t="shared" si="202"/>
        <v>Poco inflamatorio</v>
      </c>
      <c r="CB432" s="18" t="str">
        <f>IF(ISNUMBER(SEARCH("miel", D432)), "No irritante (Uso condicionado SII)", IF(OR(J432&gt;0, ISNUMBER(SEARCH("cacao", D432)), ISNUMBER(SEARCH("chocolate puro", D432))), "Altamente irritante", IF(OR(AND(O432&gt;15, BI432&gt;1), ISNUMBER(SEARCH("chocolate", D432))), "Moderadamente irritante", "No irritante")))</f>
        <v>No irritante</v>
      </c>
      <c r="CC432" s="6" t="str">
        <f t="shared" si="190"/>
        <v>Sin Omega 3 para evaluar</v>
      </c>
    </row>
    <row r="433" spans="1:81" ht="15" customHeight="1" x14ac:dyDescent="0.3">
      <c r="A433" s="2">
        <f t="shared" si="191"/>
        <v>432</v>
      </c>
      <c r="B433" s="3" t="s">
        <v>553</v>
      </c>
      <c r="C433" s="3" t="s">
        <v>581</v>
      </c>
      <c r="D433" s="3" t="s">
        <v>582</v>
      </c>
      <c r="E433" s="3"/>
      <c r="F433" s="4">
        <v>1.5</v>
      </c>
      <c r="G433" s="5">
        <v>1</v>
      </c>
      <c r="H433" s="5">
        <v>900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100</v>
      </c>
      <c r="R433" s="5">
        <v>59.7</v>
      </c>
      <c r="S433" s="5">
        <v>32.9</v>
      </c>
      <c r="T433" s="5">
        <v>3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1.8</v>
      </c>
      <c r="AA433" s="5">
        <v>24.7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f>IFERROR(VLOOKUP(IFERROR(VLOOKUP(D433,Mapa_Similitud!$A$2:$B$2000,2,FALSE()),D433),Hoja1!$A$2:$K$1000,2,FALSE()),IFERROR(VLOOKUP(IFERROR(VLOOKUP(D433,Mapa_Similitud!$A$2:$B$2000,2,FALSE()),D433),Omega3_Referencia!$A$2:$E$100,3,FALSE()),0))</f>
        <v>0.1</v>
      </c>
      <c r="AW433" s="3" t="str">
        <f>IFERROR(VLOOKUP(IFERROR(VLOOKUP(D433,Mapa_Similitud!$A$2:$B$2000,2,FALSE()),D433),Hoja1!$A$2:$K$1000,3,FALSE()),IFERROR(VLOOKUP(IFERROR(VLOOKUP(D433,Mapa_Similitud!$A$2:$B$2000,2,FALSE()),D433),Omega3_Referencia!$A$2:$E$100,4,FALSE()),"N/A"))</f>
        <v>ALA</v>
      </c>
      <c r="AX433" s="5">
        <f>IFERROR(VLOOKUP(IFERROR(VLOOKUP(D433,Mapa_Similitud!$A$2:$B$2000,2,FALSE()),D433),Hoja1!$A$2:$K$1000,5,FALSE()),0)</f>
        <v>0.5</v>
      </c>
      <c r="AY433" s="5">
        <f>IFERROR(VLOOKUP(IFERROR(VLOOKUP(D433,Mapa_Similitud!$A$2:$B$2000,2,FALSE()),D433),Hoja1!$A$2:$K$1000,7,FALSE()),0)</f>
        <v>0</v>
      </c>
      <c r="AZ433" s="5">
        <f>IFERROR(VLOOKUP(IFERROR(VLOOKUP(D433,Mapa_Similitud!$A$2:$B$2000,2,FALSE()),D433),Hoja1!$A$2:$K$1000,9,FALSE()),0)</f>
        <v>0</v>
      </c>
      <c r="BA433" s="25">
        <f t="shared" si="174"/>
        <v>0</v>
      </c>
      <c r="BB433" s="25">
        <f t="shared" si="175"/>
        <v>0</v>
      </c>
      <c r="BC433" s="25">
        <f t="shared" si="176"/>
        <v>0</v>
      </c>
      <c r="BD433" s="25">
        <f t="shared" si="177"/>
        <v>0</v>
      </c>
      <c r="BE433" s="25">
        <f t="shared" si="178"/>
        <v>0</v>
      </c>
      <c r="BF433" s="25">
        <f t="shared" si="179"/>
        <v>5.0251256281407031E-2</v>
      </c>
      <c r="BG433" s="25">
        <f t="shared" si="180"/>
        <v>0</v>
      </c>
      <c r="BH433" s="25">
        <f t="shared" si="181"/>
        <v>0.59699999999999998</v>
      </c>
      <c r="BI433" s="25">
        <f t="shared" si="182"/>
        <v>0</v>
      </c>
      <c r="BJ433" s="25">
        <f t="shared" si="183"/>
        <v>0</v>
      </c>
      <c r="BK433" s="25">
        <f t="shared" si="184"/>
        <v>0</v>
      </c>
      <c r="BL433" s="25">
        <f t="shared" si="185"/>
        <v>1</v>
      </c>
      <c r="BM433" s="25">
        <f t="shared" si="186"/>
        <v>0</v>
      </c>
      <c r="BN433" s="18" t="str">
        <f t="shared" si="192"/>
        <v>Baja fuente de proteína</v>
      </c>
      <c r="BO433" s="18" t="str">
        <f t="shared" si="193"/>
        <v>Baja fuente de fibra</v>
      </c>
      <c r="BP433" s="18" t="str">
        <f t="shared" si="194"/>
        <v>Baja fuente de calcio</v>
      </c>
      <c r="BQ433" s="18" t="str">
        <f t="shared" si="195"/>
        <v>Baja fuente de hierro</v>
      </c>
      <c r="BR433" s="18" t="str">
        <f t="shared" si="196"/>
        <v>Bajo en sodio</v>
      </c>
      <c r="BS433" s="6" t="str">
        <f t="shared" si="187"/>
        <v>Proinflamatorio</v>
      </c>
      <c r="BT433" s="6" t="str">
        <f t="shared" si="188"/>
        <v>Muy alto en grasas</v>
      </c>
      <c r="BU433" s="18" t="str">
        <f t="shared" si="197"/>
        <v>Equilibrio de líquidos ideal</v>
      </c>
      <c r="BV433" s="18" t="str">
        <f t="shared" si="198"/>
        <v>Baja fuente de magnesio</v>
      </c>
      <c r="BW433" s="18" t="str">
        <f t="shared" si="199"/>
        <v>Sin aporte de Omega 3</v>
      </c>
      <c r="BX433" s="18" t="str">
        <f t="shared" si="200"/>
        <v>Contiene grasas trans</v>
      </c>
      <c r="BY433" s="18" t="str">
        <f t="shared" si="201"/>
        <v>Bajo poder antioxidante</v>
      </c>
      <c r="BZ433" s="6" t="str">
        <f t="shared" si="189"/>
        <v>Sin probióticos</v>
      </c>
      <c r="CA433" s="18" t="str">
        <f t="shared" si="202"/>
        <v>Moderadamente inflamatorio</v>
      </c>
      <c r="CB433" s="18" t="str">
        <f>IF(ISNUMBER(SEARCH("miel", D433)), "No irritante (Uso condicionado SII)", IF(OR(J433&gt;0, ISNUMBER(SEARCH("cacao", D433)), ISNUMBER(SEARCH("chocolate puro", D433))), "Altamente irritante", IF(OR(AND(O433&gt;15, BI433&gt;1), ISNUMBER(SEARCH("chocolate", D433))), "Moderadamente irritante", "No irritante")))</f>
        <v>Altamente irritante</v>
      </c>
      <c r="CC433" s="6" t="str">
        <f t="shared" si="190"/>
        <v>Exceso relativo de Omega 6</v>
      </c>
    </row>
    <row r="434" spans="1:81" ht="15" customHeight="1" x14ac:dyDescent="0.3">
      <c r="A434" s="2">
        <f t="shared" si="191"/>
        <v>433</v>
      </c>
      <c r="B434" s="3" t="s">
        <v>553</v>
      </c>
      <c r="C434" s="3" t="s">
        <v>581</v>
      </c>
      <c r="D434" s="3" t="s">
        <v>583</v>
      </c>
      <c r="E434" s="3"/>
      <c r="F434" s="4">
        <v>1.5</v>
      </c>
      <c r="G434" s="5">
        <v>1</v>
      </c>
      <c r="H434" s="5">
        <v>891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99</v>
      </c>
      <c r="R434" s="5">
        <v>40.6</v>
      </c>
      <c r="S434" s="5">
        <v>43</v>
      </c>
      <c r="T434" s="5">
        <v>9.8000000000000007</v>
      </c>
      <c r="U434" s="5">
        <v>93</v>
      </c>
      <c r="V434" s="5">
        <v>0</v>
      </c>
      <c r="W434" s="5">
        <v>0</v>
      </c>
      <c r="X434" s="5">
        <v>0</v>
      </c>
      <c r="Y434" s="5">
        <v>0</v>
      </c>
      <c r="Z434" s="5">
        <v>1.6</v>
      </c>
      <c r="AA434" s="5">
        <v>7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1</v>
      </c>
      <c r="AL434" s="5">
        <v>3</v>
      </c>
      <c r="AM434" s="5">
        <v>0.1</v>
      </c>
      <c r="AN434" s="5">
        <v>9.6999999999999993</v>
      </c>
      <c r="AO434" s="5">
        <v>0</v>
      </c>
      <c r="AP434" s="5">
        <v>1</v>
      </c>
      <c r="AQ434" s="5">
        <v>1</v>
      </c>
      <c r="AR434" s="5">
        <v>1</v>
      </c>
      <c r="AS434" s="5">
        <v>0</v>
      </c>
      <c r="AT434" s="5">
        <v>0.02</v>
      </c>
      <c r="AU434" s="5">
        <v>0</v>
      </c>
      <c r="AV434" s="5">
        <f>IFERROR(VLOOKUP(IFERROR(VLOOKUP(D434,Mapa_Similitud!$A$2:$B$2000,2,FALSE()),D434),Hoja1!$A$2:$K$1000,2,FALSE()),IFERROR(VLOOKUP(IFERROR(VLOOKUP(D434,Mapa_Similitud!$A$2:$B$2000,2,FALSE()),D434),Omega3_Referencia!$A$2:$E$100,3,FALSE()),0))</f>
        <v>0</v>
      </c>
      <c r="AW434" s="3" t="str">
        <f>IFERROR(VLOOKUP(IFERROR(VLOOKUP(D434,Mapa_Similitud!$A$2:$B$2000,2,FALSE()),D434),Hoja1!$A$2:$K$1000,3,FALSE()),IFERROR(VLOOKUP(IFERROR(VLOOKUP(D434,Mapa_Similitud!$A$2:$B$2000,2,FALSE()),D434),Omega3_Referencia!$A$2:$E$100,4,FALSE()),"N/A"))</f>
        <v>N/A</v>
      </c>
      <c r="AX434" s="5">
        <f>IFERROR(VLOOKUP(IFERROR(VLOOKUP(D434,Mapa_Similitud!$A$2:$B$2000,2,FALSE()),D434),Hoja1!$A$2:$K$1000,5,FALSE()),0)</f>
        <v>0</v>
      </c>
      <c r="AY434" s="5">
        <f>IFERROR(VLOOKUP(IFERROR(VLOOKUP(D434,Mapa_Similitud!$A$2:$B$2000,2,FALSE()),D434),Hoja1!$A$2:$K$1000,7,FALSE()),0)</f>
        <v>0</v>
      </c>
      <c r="AZ434" s="5">
        <f>IFERROR(VLOOKUP(IFERROR(VLOOKUP(D434,Mapa_Similitud!$A$2:$B$2000,2,FALSE()),D434),Hoja1!$A$2:$K$1000,9,FALSE()),0)</f>
        <v>0</v>
      </c>
      <c r="BA434" s="25">
        <f t="shared" si="174"/>
        <v>0</v>
      </c>
      <c r="BB434" s="25">
        <f t="shared" si="175"/>
        <v>0</v>
      </c>
      <c r="BC434" s="25">
        <f t="shared" si="176"/>
        <v>1.1223344556677891E-3</v>
      </c>
      <c r="BD434" s="25">
        <f t="shared" si="177"/>
        <v>1.122334455667789E-4</v>
      </c>
      <c r="BE434" s="25">
        <f t="shared" si="178"/>
        <v>1.1223344556677891E-3</v>
      </c>
      <c r="BF434" s="25">
        <f t="shared" si="179"/>
        <v>0.2413793103448276</v>
      </c>
      <c r="BG434" s="25">
        <f t="shared" si="180"/>
        <v>0.33333333333333331</v>
      </c>
      <c r="BH434" s="25">
        <f t="shared" si="181"/>
        <v>0.41010101010101013</v>
      </c>
      <c r="BI434" s="25">
        <f t="shared" si="182"/>
        <v>1</v>
      </c>
      <c r="BJ434" s="25">
        <f t="shared" si="183"/>
        <v>0</v>
      </c>
      <c r="BK434" s="25">
        <f t="shared" si="184"/>
        <v>0</v>
      </c>
      <c r="BL434" s="25">
        <f t="shared" si="185"/>
        <v>1</v>
      </c>
      <c r="BM434" s="25">
        <f t="shared" si="186"/>
        <v>1.1223344556677891E-3</v>
      </c>
      <c r="BN434" s="18" t="str">
        <f t="shared" si="192"/>
        <v>Baja fuente de proteína</v>
      </c>
      <c r="BO434" s="18" t="str">
        <f t="shared" si="193"/>
        <v>Baja fuente de fibra</v>
      </c>
      <c r="BP434" s="18" t="str">
        <f t="shared" si="194"/>
        <v>Baja fuente de calcio</v>
      </c>
      <c r="BQ434" s="18" t="str">
        <f t="shared" si="195"/>
        <v>Baja fuente de hierro</v>
      </c>
      <c r="BR434" s="18" t="str">
        <f t="shared" si="196"/>
        <v>Bajo en sodio</v>
      </c>
      <c r="BS434" s="6" t="str">
        <f t="shared" si="187"/>
        <v>Proinflamatorio</v>
      </c>
      <c r="BT434" s="6" t="str">
        <f t="shared" si="188"/>
        <v>Muy alto en grasas</v>
      </c>
      <c r="BU434" s="18" t="str">
        <f t="shared" si="197"/>
        <v>Riesgo moderado de retención</v>
      </c>
      <c r="BV434" s="18" t="str">
        <f t="shared" si="198"/>
        <v>Baja fuente de magnesio</v>
      </c>
      <c r="BW434" s="18" t="str">
        <f t="shared" si="199"/>
        <v>Sin aporte de Omega 3</v>
      </c>
      <c r="BX434" s="18" t="str">
        <f t="shared" si="200"/>
        <v>Libre de grasas trans</v>
      </c>
      <c r="BY434" s="18" t="str">
        <f t="shared" si="201"/>
        <v>Bajo poder antioxidante</v>
      </c>
      <c r="BZ434" s="6" t="str">
        <f t="shared" si="189"/>
        <v>Sin probióticos</v>
      </c>
      <c r="CA434" s="18" t="str">
        <f t="shared" si="202"/>
        <v>Poco inflamatorio</v>
      </c>
      <c r="CB434" s="18" t="str">
        <f>IF(ISNUMBER(SEARCH("miel", D434)), "No irritante (Uso condicionado SII)", IF(OR(J434&gt;0, ISNUMBER(SEARCH("cacao", D434)), ISNUMBER(SEARCH("chocolate puro", D434))), "Altamente irritante", IF(OR(AND(O434&gt;15, BI434&gt;1), ISNUMBER(SEARCH("chocolate", D434))), "Moderadamente irritante", "No irritante")))</f>
        <v>No irritante</v>
      </c>
      <c r="CC434" s="6" t="str">
        <f t="shared" si="190"/>
        <v>Sin Omega 3 para evaluar</v>
      </c>
    </row>
    <row r="435" spans="1:81" ht="15" customHeight="1" x14ac:dyDescent="0.3">
      <c r="A435" s="2">
        <f t="shared" si="191"/>
        <v>434</v>
      </c>
      <c r="B435" s="3" t="s">
        <v>584</v>
      </c>
      <c r="C435" s="3" t="s">
        <v>585</v>
      </c>
      <c r="D435" s="3" t="s">
        <v>586</v>
      </c>
      <c r="E435" s="3"/>
      <c r="F435" s="4">
        <v>1.5</v>
      </c>
      <c r="G435" s="5">
        <v>1</v>
      </c>
      <c r="H435" s="5">
        <v>346</v>
      </c>
      <c r="I435" s="5">
        <v>0.97</v>
      </c>
      <c r="J435" s="5">
        <v>0</v>
      </c>
      <c r="K435" s="5">
        <v>16.600000000000001</v>
      </c>
      <c r="L435" s="5">
        <v>63.7</v>
      </c>
      <c r="M435" s="5">
        <v>61.3</v>
      </c>
      <c r="N435" s="5">
        <v>2.4</v>
      </c>
      <c r="O435" s="5">
        <v>0</v>
      </c>
      <c r="P435" s="5">
        <v>9</v>
      </c>
      <c r="Q435" s="5">
        <v>0.73</v>
      </c>
      <c r="R435" s="5">
        <v>0.25</v>
      </c>
      <c r="S435" s="5">
        <v>0.12</v>
      </c>
      <c r="T435" s="5">
        <v>0.18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0.67</v>
      </c>
      <c r="AA435" s="5">
        <v>0.4</v>
      </c>
      <c r="AB435" s="5">
        <v>0.44</v>
      </c>
      <c r="AC435" s="5">
        <v>0.14000000000000001</v>
      </c>
      <c r="AD435" s="5">
        <v>0.8</v>
      </c>
      <c r="AE435" s="5">
        <v>1654</v>
      </c>
      <c r="AF435" s="5">
        <v>47</v>
      </c>
      <c r="AG435" s="5">
        <v>0</v>
      </c>
      <c r="AH435" s="5">
        <v>0</v>
      </c>
      <c r="AI435" s="5">
        <v>0</v>
      </c>
      <c r="AJ435" s="5">
        <v>1.2</v>
      </c>
      <c r="AK435" s="5">
        <v>79</v>
      </c>
      <c r="AL435" s="5">
        <v>414</v>
      </c>
      <c r="AM435" s="5">
        <v>5.7</v>
      </c>
      <c r="AN435" s="5">
        <v>0</v>
      </c>
      <c r="AO435" s="5">
        <v>3</v>
      </c>
      <c r="AP435" s="5">
        <v>77</v>
      </c>
      <c r="AQ435" s="5">
        <v>60</v>
      </c>
      <c r="AR435" s="5">
        <v>1193</v>
      </c>
      <c r="AS435" s="5">
        <v>0.98</v>
      </c>
      <c r="AT435" s="5">
        <v>0.53</v>
      </c>
      <c r="AU435" s="5">
        <v>23.9</v>
      </c>
      <c r="AV435" s="5">
        <f>IFERROR(VLOOKUP(IFERROR(VLOOKUP(D435,Mapa_Similitud!$A$2:$B$2000,2,FALSE()),D435),Hoja1!$A$2:$K$1000,2,FALSE()),IFERROR(VLOOKUP(IFERROR(VLOOKUP(D435,Mapa_Similitud!$A$2:$B$2000,2,FALSE()),D435),Omega3_Referencia!$A$2:$E$100,3,FALSE()),0))</f>
        <v>0.02</v>
      </c>
      <c r="AW435" s="3" t="str">
        <f>IFERROR(VLOOKUP(IFERROR(VLOOKUP(D435,Mapa_Similitud!$A$2:$B$2000,2,FALSE()),D435),Hoja1!$A$2:$K$1000,3,FALSE()),IFERROR(VLOOKUP(IFERROR(VLOOKUP(D435,Mapa_Similitud!$A$2:$B$2000,2,FALSE()),D435),Omega3_Referencia!$A$2:$E$100,4,FALSE()),"N/A"))</f>
        <v>ALA</v>
      </c>
      <c r="AX435" s="5">
        <f>IFERROR(VLOOKUP(IFERROR(VLOOKUP(D435,Mapa_Similitud!$A$2:$B$2000,2,FALSE()),D435),Hoja1!$A$2:$K$1000,5,FALSE()),0)</f>
        <v>0</v>
      </c>
      <c r="AY435" s="5">
        <f>IFERROR(VLOOKUP(IFERROR(VLOOKUP(D435,Mapa_Similitud!$A$2:$B$2000,2,FALSE()),D435),Hoja1!$A$2:$K$1000,7,FALSE()),0)</f>
        <v>2500</v>
      </c>
      <c r="AZ435" s="5">
        <f>IFERROR(VLOOKUP(IFERROR(VLOOKUP(D435,Mapa_Similitud!$A$2:$B$2000,2,FALSE()),D435),Hoja1!$A$2:$K$1000,9,FALSE()),0)</f>
        <v>0</v>
      </c>
      <c r="BA435" s="25">
        <f t="shared" si="174"/>
        <v>4.7976878612716767E-2</v>
      </c>
      <c r="BB435" s="25">
        <f t="shared" si="175"/>
        <v>2.6011560693641619E-2</v>
      </c>
      <c r="BC435" s="25">
        <f t="shared" si="176"/>
        <v>0.22832369942196531</v>
      </c>
      <c r="BD435" s="25">
        <f t="shared" si="177"/>
        <v>1.6473988439306361E-2</v>
      </c>
      <c r="BE435" s="25">
        <f t="shared" si="178"/>
        <v>0.17341040462427745</v>
      </c>
      <c r="BF435" s="25">
        <f t="shared" si="179"/>
        <v>0.72</v>
      </c>
      <c r="BG435" s="25">
        <f t="shared" si="180"/>
        <v>0.19082125603864733</v>
      </c>
      <c r="BH435" s="25">
        <f t="shared" si="181"/>
        <v>0.34246575342465752</v>
      </c>
      <c r="BI435" s="25">
        <f t="shared" si="182"/>
        <v>5.0293378038558254E-2</v>
      </c>
      <c r="BJ435" s="25">
        <f t="shared" si="183"/>
        <v>3.7676609105180531E-2</v>
      </c>
      <c r="BK435" s="25">
        <f t="shared" si="184"/>
        <v>0.14128728414442698</v>
      </c>
      <c r="BL435" s="25">
        <f t="shared" si="185"/>
        <v>1.8988439306358382E-2</v>
      </c>
      <c r="BM435" s="25">
        <f t="shared" si="186"/>
        <v>0.22254335260115607</v>
      </c>
      <c r="BN435" s="18" t="str">
        <f t="shared" si="192"/>
        <v>Baja fuente de proteína</v>
      </c>
      <c r="BO435" s="18" t="str">
        <f t="shared" si="193"/>
        <v>Media fuente de fibra</v>
      </c>
      <c r="BP435" s="18" t="str">
        <f t="shared" si="194"/>
        <v>Baja fuente de calcio</v>
      </c>
      <c r="BQ435" s="18" t="str">
        <f t="shared" si="195"/>
        <v>Alta fuente de hierro</v>
      </c>
      <c r="BR435" s="18" t="str">
        <f t="shared" si="196"/>
        <v>Bajo en sodio</v>
      </c>
      <c r="BS435" s="6" t="str">
        <f t="shared" si="187"/>
        <v>Neutro</v>
      </c>
      <c r="BT435" s="6" t="str">
        <f t="shared" si="188"/>
        <v>Bajo en grasas</v>
      </c>
      <c r="BU435" s="18" t="str">
        <f t="shared" si="197"/>
        <v>Equilibrio de líquidos ideal</v>
      </c>
      <c r="BV435" s="18" t="str">
        <f t="shared" si="198"/>
        <v>Media fuente de magnesio</v>
      </c>
      <c r="BW435" s="18" t="str">
        <f t="shared" si="199"/>
        <v>Sin aporte de Omega 3</v>
      </c>
      <c r="BX435" s="18" t="str">
        <f t="shared" si="200"/>
        <v>Libre de grasas trans</v>
      </c>
      <c r="BY435" s="18" t="str">
        <f t="shared" si="201"/>
        <v>Alto poder antioxidante</v>
      </c>
      <c r="BZ435" s="6" t="str">
        <f t="shared" si="189"/>
        <v>Sin probióticos</v>
      </c>
      <c r="CA435" s="18" t="str">
        <f t="shared" si="202"/>
        <v>Antiinflamatorio</v>
      </c>
      <c r="CB435" s="18" t="str">
        <f>IF(ISNUMBER(SEARCH("miel", D435)), "No irritante (Uso condicionado SII)", IF(OR(J435&gt;0, ISNUMBER(SEARCH("cacao", D435)), ISNUMBER(SEARCH("chocolate puro", D435))), "Altamente irritante", IF(OR(AND(O435&gt;15, BI435&gt;1), ISNUMBER(SEARCH("chocolate", D435))), "Moderadamente irritante", "No irritante")))</f>
        <v>No irritante</v>
      </c>
      <c r="CC435" s="6" t="str">
        <f t="shared" si="190"/>
        <v>Exceso relativo de Omega 6</v>
      </c>
    </row>
    <row r="436" spans="1:81" ht="15" customHeight="1" x14ac:dyDescent="0.3">
      <c r="A436" s="2">
        <f t="shared" si="191"/>
        <v>435</v>
      </c>
      <c r="B436" s="3" t="s">
        <v>584</v>
      </c>
      <c r="C436" s="3" t="s">
        <v>585</v>
      </c>
      <c r="D436" s="3" t="s">
        <v>587</v>
      </c>
      <c r="E436" s="3"/>
      <c r="F436" s="4">
        <v>1.5</v>
      </c>
      <c r="G436" s="5">
        <v>1</v>
      </c>
      <c r="H436" s="5">
        <v>26.2</v>
      </c>
      <c r="I436" s="5">
        <v>92.1</v>
      </c>
      <c r="J436" s="5">
        <v>0</v>
      </c>
      <c r="K436" s="5">
        <v>3.2</v>
      </c>
      <c r="L436" s="5">
        <v>1.1000000000000001</v>
      </c>
      <c r="M436" s="5">
        <v>0</v>
      </c>
      <c r="N436" s="5">
        <v>0.3</v>
      </c>
      <c r="O436" s="5">
        <v>0</v>
      </c>
      <c r="P436" s="5">
        <v>1.6</v>
      </c>
      <c r="Q436" s="5">
        <v>0.64</v>
      </c>
      <c r="R436" s="5">
        <v>4.1000000000000002E-2</v>
      </c>
      <c r="S436" s="5">
        <v>8.7999999999999995E-2</v>
      </c>
      <c r="T436" s="5">
        <v>0.39</v>
      </c>
      <c r="U436" s="5">
        <v>0</v>
      </c>
      <c r="V436" s="5">
        <v>264</v>
      </c>
      <c r="W436" s="5">
        <v>0</v>
      </c>
      <c r="X436" s="5">
        <v>1584</v>
      </c>
      <c r="Y436" s="5">
        <v>0</v>
      </c>
      <c r="Z436" s="5">
        <v>0.8</v>
      </c>
      <c r="AA436" s="5">
        <v>415</v>
      </c>
      <c r="AB436" s="5">
        <v>3.4000000000000002E-2</v>
      </c>
      <c r="AC436" s="5">
        <v>7.5999999999999998E-2</v>
      </c>
      <c r="AD436" s="5">
        <v>0.9</v>
      </c>
      <c r="AE436" s="5">
        <v>0.16</v>
      </c>
      <c r="AF436" s="5">
        <v>68</v>
      </c>
      <c r="AG436" s="5">
        <v>0</v>
      </c>
      <c r="AH436" s="5">
        <v>0.21</v>
      </c>
      <c r="AI436" s="5">
        <v>0</v>
      </c>
      <c r="AJ436" s="5">
        <v>18</v>
      </c>
      <c r="AK436" s="5">
        <v>177</v>
      </c>
      <c r="AL436" s="5">
        <v>56</v>
      </c>
      <c r="AM436" s="5">
        <v>3.2</v>
      </c>
      <c r="AN436" s="5">
        <v>0</v>
      </c>
      <c r="AO436" s="5">
        <v>0.81</v>
      </c>
      <c r="AP436" s="5">
        <v>64</v>
      </c>
      <c r="AQ436" s="5">
        <v>4</v>
      </c>
      <c r="AR436" s="5">
        <v>295</v>
      </c>
      <c r="AS436" s="5">
        <v>1.1000000000000001</v>
      </c>
      <c r="AT436" s="5">
        <v>0.39</v>
      </c>
      <c r="AU436" s="5">
        <v>0.3</v>
      </c>
      <c r="AV436" s="5">
        <f>IFERROR(VLOOKUP(IFERROR(VLOOKUP(D436,Mapa_Similitud!$A$2:$B$2000,2,FALSE()),D436),Hoja1!$A$2:$K$1000,2,FALSE()),IFERROR(VLOOKUP(IFERROR(VLOOKUP(D436,Mapa_Similitud!$A$2:$B$2000,2,FALSE()),D436),Omega3_Referencia!$A$2:$E$100,3,FALSE()),0))</f>
        <v>0.1</v>
      </c>
      <c r="AW436" s="3" t="str">
        <f>IFERROR(VLOOKUP(IFERROR(VLOOKUP(D436,Mapa_Similitud!$A$2:$B$2000,2,FALSE()),D436),Hoja1!$A$2:$K$1000,3,FALSE()),IFERROR(VLOOKUP(IFERROR(VLOOKUP(D436,Mapa_Similitud!$A$2:$B$2000,2,FALSE()),D436),Omega3_Referencia!$A$2:$E$100,4,FALSE()),"N/A"))</f>
        <v>ALA</v>
      </c>
      <c r="AX436" s="5">
        <f>IFERROR(VLOOKUP(IFERROR(VLOOKUP(D436,Mapa_Similitud!$A$2:$B$2000,2,FALSE()),D436),Hoja1!$A$2:$K$1000,5,FALSE()),0)</f>
        <v>0</v>
      </c>
      <c r="AY436" s="5">
        <f>IFERROR(VLOOKUP(IFERROR(VLOOKUP(D436,Mapa_Similitud!$A$2:$B$2000,2,FALSE()),D436),Hoja1!$A$2:$K$1000,7,FALSE()),0)</f>
        <v>1200</v>
      </c>
      <c r="AZ436" s="5">
        <f>IFERROR(VLOOKUP(IFERROR(VLOOKUP(D436,Mapa_Similitud!$A$2:$B$2000,2,FALSE()),D436),Hoja1!$A$2:$K$1000,9,FALSE()),0)</f>
        <v>0</v>
      </c>
      <c r="BA436" s="25">
        <f t="shared" si="174"/>
        <v>0.12213740458015268</v>
      </c>
      <c r="BB436" s="25">
        <f t="shared" si="175"/>
        <v>6.106870229007634E-2</v>
      </c>
      <c r="BC436" s="25">
        <f t="shared" si="176"/>
        <v>6.7557251908396951</v>
      </c>
      <c r="BD436" s="25">
        <f t="shared" si="177"/>
        <v>0.12213740458015268</v>
      </c>
      <c r="BE436" s="25">
        <f t="shared" si="178"/>
        <v>0.15267175572519084</v>
      </c>
      <c r="BF436" s="25">
        <f t="shared" si="179"/>
        <v>9.5121951219512191</v>
      </c>
      <c r="BG436" s="25">
        <f t="shared" si="180"/>
        <v>3.1607142857142856</v>
      </c>
      <c r="BH436" s="25">
        <f t="shared" si="181"/>
        <v>6.4062499999999994E-2</v>
      </c>
      <c r="BI436" s="25">
        <f t="shared" si="182"/>
        <v>1.3559322033898305E-2</v>
      </c>
      <c r="BJ436" s="25">
        <f t="shared" si="183"/>
        <v>0.27272727272727271</v>
      </c>
      <c r="BK436" s="25">
        <f t="shared" si="184"/>
        <v>1.4545454545454546</v>
      </c>
      <c r="BL436" s="25">
        <f t="shared" si="185"/>
        <v>0.2198473282442748</v>
      </c>
      <c r="BM436" s="25">
        <f t="shared" si="186"/>
        <v>2.4427480916030535</v>
      </c>
      <c r="BN436" s="18" t="str">
        <f t="shared" si="192"/>
        <v>Media fuente de proteína</v>
      </c>
      <c r="BO436" s="18" t="str">
        <f t="shared" si="193"/>
        <v>Alta fuente de fibra</v>
      </c>
      <c r="BP436" s="18" t="str">
        <f t="shared" si="194"/>
        <v>Alta fuente de calcio</v>
      </c>
      <c r="BQ436" s="18" t="str">
        <f t="shared" si="195"/>
        <v>Alta fuente de hierro</v>
      </c>
      <c r="BR436" s="18" t="str">
        <f t="shared" si="196"/>
        <v>Bajo en sodio</v>
      </c>
      <c r="BS436" s="6" t="str">
        <f t="shared" si="187"/>
        <v>Altamente antiinflamatorio</v>
      </c>
      <c r="BT436" s="6" t="str">
        <f t="shared" si="188"/>
        <v>Moderado en grasas</v>
      </c>
      <c r="BU436" s="18" t="str">
        <f t="shared" si="197"/>
        <v>Equilibrio de líquidos ideal</v>
      </c>
      <c r="BV436" s="18" t="str">
        <f t="shared" si="198"/>
        <v>Alta fuente de magnesio</v>
      </c>
      <c r="BW436" s="18" t="str">
        <f t="shared" si="199"/>
        <v>Sin aporte de Omega 3</v>
      </c>
      <c r="BX436" s="18" t="str">
        <f t="shared" si="200"/>
        <v>Libre de grasas trans</v>
      </c>
      <c r="BY436" s="18" t="str">
        <f t="shared" si="201"/>
        <v>Alto poder antioxidante</v>
      </c>
      <c r="BZ436" s="6" t="str">
        <f t="shared" si="189"/>
        <v>Sin probióticos</v>
      </c>
      <c r="CA436" s="18" t="str">
        <f t="shared" si="202"/>
        <v>Antiinflamatorio</v>
      </c>
      <c r="CB436" s="18" t="str">
        <f>IF(ISNUMBER(SEARCH("miel", D436)), "No irritante (Uso condicionado SII)", IF(OR(J436&gt;0, ISNUMBER(SEARCH("cacao", D436)), ISNUMBER(SEARCH("chocolate puro", D436))), "Altamente irritante", IF(OR(AND(O436&gt;15, BI436&gt;1), ISNUMBER(SEARCH("chocolate", D436))), "Moderadamente irritante", "No irritante")))</f>
        <v>No irritante</v>
      </c>
      <c r="CC436" s="6" t="str">
        <f t="shared" si="190"/>
        <v>Balance de omegas favorable</v>
      </c>
    </row>
    <row r="437" spans="1:81" ht="15" customHeight="1" x14ac:dyDescent="0.3">
      <c r="A437" s="2">
        <f t="shared" si="191"/>
        <v>436</v>
      </c>
      <c r="B437" s="3" t="s">
        <v>584</v>
      </c>
      <c r="C437" s="3" t="s">
        <v>585</v>
      </c>
      <c r="D437" s="3" t="s">
        <v>588</v>
      </c>
      <c r="E437" s="3"/>
      <c r="F437" s="4">
        <v>1.5</v>
      </c>
      <c r="G437" s="5">
        <v>1</v>
      </c>
      <c r="H437" s="5">
        <v>255</v>
      </c>
      <c r="I437" s="5">
        <v>20.6</v>
      </c>
      <c r="J437" s="5">
        <v>0</v>
      </c>
      <c r="K437" s="5">
        <v>14</v>
      </c>
      <c r="L437" s="5">
        <v>20.5</v>
      </c>
      <c r="M437" s="5">
        <v>1.7</v>
      </c>
      <c r="N437" s="5">
        <v>18.8</v>
      </c>
      <c r="O437" s="5">
        <v>0</v>
      </c>
      <c r="P437" s="5">
        <v>40.5</v>
      </c>
      <c r="Q437" s="5">
        <v>4</v>
      </c>
      <c r="R437" s="5">
        <v>0.24</v>
      </c>
      <c r="S437" s="5">
        <v>0.45</v>
      </c>
      <c r="T437" s="5">
        <v>2.2000000000000002</v>
      </c>
      <c r="U437" s="5">
        <v>0</v>
      </c>
      <c r="V437" s="5">
        <v>931</v>
      </c>
      <c r="W437" s="5">
        <v>0</v>
      </c>
      <c r="X437" s="5">
        <v>5584</v>
      </c>
      <c r="Y437" s="5">
        <v>0</v>
      </c>
      <c r="Z437" s="5">
        <v>7.5</v>
      </c>
      <c r="AA437" s="5">
        <v>0</v>
      </c>
      <c r="AB437" s="5">
        <v>0.15</v>
      </c>
      <c r="AC437" s="5">
        <v>0.32</v>
      </c>
      <c r="AD437" s="5">
        <v>7</v>
      </c>
      <c r="AE437" s="5">
        <v>2.2999999999999998</v>
      </c>
      <c r="AF437" s="5">
        <v>274</v>
      </c>
      <c r="AG437" s="5">
        <v>0</v>
      </c>
      <c r="AH437" s="5">
        <v>0</v>
      </c>
      <c r="AI437" s="5">
        <v>0</v>
      </c>
      <c r="AJ437" s="5">
        <v>61.2</v>
      </c>
      <c r="AK437" s="5">
        <v>2113</v>
      </c>
      <c r="AL437" s="5">
        <v>490</v>
      </c>
      <c r="AM437" s="5">
        <v>42</v>
      </c>
      <c r="AN437" s="5">
        <v>0</v>
      </c>
      <c r="AO437" s="5">
        <v>5.8</v>
      </c>
      <c r="AP437" s="5">
        <v>422</v>
      </c>
      <c r="AQ437" s="5">
        <v>34</v>
      </c>
      <c r="AR437" s="5">
        <v>3433</v>
      </c>
      <c r="AS437" s="5">
        <v>0</v>
      </c>
      <c r="AT437" s="5">
        <v>0</v>
      </c>
      <c r="AU437" s="5">
        <v>2.8</v>
      </c>
      <c r="AV437" s="5">
        <f>IFERROR(VLOOKUP(IFERROR(VLOOKUP(D437,Mapa_Similitud!$A$2:$B$2000,2,FALSE()),D437),Hoja1!$A$2:$K$1000,2,FALSE()),IFERROR(VLOOKUP(IFERROR(VLOOKUP(D437,Mapa_Similitud!$A$2:$B$2000,2,FALSE()),D437),Omega3_Referencia!$A$2:$E$100,3,FALSE()),0))</f>
        <v>0</v>
      </c>
      <c r="AW437" s="3" t="str">
        <f>IFERROR(VLOOKUP(IFERROR(VLOOKUP(D437,Mapa_Similitud!$A$2:$B$2000,2,FALSE()),D437),Hoja1!$A$2:$K$1000,3,FALSE()),IFERROR(VLOOKUP(IFERROR(VLOOKUP(D437,Mapa_Similitud!$A$2:$B$2000,2,FALSE()),D437),Omega3_Referencia!$A$2:$E$100,4,FALSE()),"N/A"))</f>
        <v>N/A</v>
      </c>
      <c r="AX437" s="5">
        <f>IFERROR(VLOOKUP(IFERROR(VLOOKUP(D437,Mapa_Similitud!$A$2:$B$2000,2,FALSE()),D437),Hoja1!$A$2:$K$1000,5,FALSE()),0)</f>
        <v>0</v>
      </c>
      <c r="AY437" s="5">
        <f>IFERROR(VLOOKUP(IFERROR(VLOOKUP(D437,Mapa_Similitud!$A$2:$B$2000,2,FALSE()),D437),Hoja1!$A$2:$K$1000,7,FALSE()),0)</f>
        <v>0</v>
      </c>
      <c r="AZ437" s="5">
        <f>IFERROR(VLOOKUP(IFERROR(VLOOKUP(D437,Mapa_Similitud!$A$2:$B$2000,2,FALSE()),D437),Hoja1!$A$2:$K$1000,9,FALSE()),0)</f>
        <v>0</v>
      </c>
      <c r="BA437" s="25">
        <f t="shared" si="174"/>
        <v>5.4901960784313725E-2</v>
      </c>
      <c r="BB437" s="25">
        <f t="shared" si="175"/>
        <v>0.1588235294117647</v>
      </c>
      <c r="BC437" s="25">
        <f t="shared" si="176"/>
        <v>8.2862745098039223</v>
      </c>
      <c r="BD437" s="25">
        <f t="shared" si="177"/>
        <v>0.16470588235294117</v>
      </c>
      <c r="BE437" s="25">
        <f t="shared" si="178"/>
        <v>0.13333333333333333</v>
      </c>
      <c r="BF437" s="25">
        <f t="shared" si="179"/>
        <v>9.1666666666666679</v>
      </c>
      <c r="BG437" s="25">
        <f t="shared" si="180"/>
        <v>4.3122448979591841</v>
      </c>
      <c r="BH437" s="25">
        <f t="shared" si="181"/>
        <v>0.06</v>
      </c>
      <c r="BI437" s="25">
        <f t="shared" si="182"/>
        <v>9.9038741625400526E-3</v>
      </c>
      <c r="BJ437" s="25">
        <f t="shared" si="183"/>
        <v>0.91707317073170735</v>
      </c>
      <c r="BK437" s="25">
        <f t="shared" si="184"/>
        <v>1.975609756097561</v>
      </c>
      <c r="BL437" s="25">
        <f t="shared" si="185"/>
        <v>0.14117647058823529</v>
      </c>
      <c r="BM437" s="25">
        <f t="shared" si="186"/>
        <v>1.6549019607843136</v>
      </c>
      <c r="BN437" s="18" t="str">
        <f t="shared" si="192"/>
        <v>Baja fuente de proteína</v>
      </c>
      <c r="BO437" s="18" t="str">
        <f t="shared" si="193"/>
        <v>Alta fuente de fibra</v>
      </c>
      <c r="BP437" s="18" t="str">
        <f t="shared" si="194"/>
        <v>Alta fuente de calcio</v>
      </c>
      <c r="BQ437" s="18" t="str">
        <f t="shared" si="195"/>
        <v>Alta fuente de hierro</v>
      </c>
      <c r="BR437" s="18" t="str">
        <f t="shared" si="196"/>
        <v>Bajo en sodio</v>
      </c>
      <c r="BS437" s="6" t="str">
        <f t="shared" si="187"/>
        <v>Altamente antiinflamatorio</v>
      </c>
      <c r="BT437" s="6" t="str">
        <f t="shared" si="188"/>
        <v>Bajo en grasas</v>
      </c>
      <c r="BU437" s="18" t="str">
        <f t="shared" si="197"/>
        <v>Equilibrio de líquidos ideal</v>
      </c>
      <c r="BV437" s="18" t="str">
        <f t="shared" si="198"/>
        <v>Alta fuente de magnesio</v>
      </c>
      <c r="BW437" s="18" t="str">
        <f t="shared" si="199"/>
        <v>Sin aporte de Omega 3</v>
      </c>
      <c r="BX437" s="18" t="str">
        <f t="shared" si="200"/>
        <v>Libre de grasas trans</v>
      </c>
      <c r="BY437" s="18" t="str">
        <f t="shared" si="201"/>
        <v>Bajo poder antioxidante</v>
      </c>
      <c r="BZ437" s="6" t="str">
        <f t="shared" si="189"/>
        <v>Sin probióticos</v>
      </c>
      <c r="CA437" s="18" t="str">
        <f t="shared" si="202"/>
        <v>Poco inflamatorio</v>
      </c>
      <c r="CB437" s="18" t="str">
        <f>IF(ISNUMBER(SEARCH("miel", D437)), "No irritante (Uso condicionado SII)", IF(OR(J437&gt;0, ISNUMBER(SEARCH("cacao", D437)), ISNUMBER(SEARCH("chocolate puro", D437))), "Altamente irritante", IF(OR(AND(O437&gt;15, BI437&gt;1), ISNUMBER(SEARCH("chocolate", D437))), "Moderadamente irritante", "No irritante")))</f>
        <v>No irritante</v>
      </c>
      <c r="CC437" s="6" t="str">
        <f t="shared" si="190"/>
        <v>Sin Omega 3 para evaluar</v>
      </c>
    </row>
    <row r="438" spans="1:81" ht="15" customHeight="1" x14ac:dyDescent="0.3">
      <c r="A438" s="2">
        <f t="shared" si="191"/>
        <v>437</v>
      </c>
      <c r="B438" s="3" t="s">
        <v>584</v>
      </c>
      <c r="C438" s="3" t="s">
        <v>585</v>
      </c>
      <c r="D438" s="3" t="s">
        <v>589</v>
      </c>
      <c r="E438" s="3"/>
      <c r="F438" s="4">
        <v>1.5</v>
      </c>
      <c r="G438" s="5">
        <v>1</v>
      </c>
      <c r="H438" s="5">
        <v>353</v>
      </c>
      <c r="I438" s="5">
        <v>17.3</v>
      </c>
      <c r="J438" s="5">
        <v>0</v>
      </c>
      <c r="K438" s="5">
        <v>11.4</v>
      </c>
      <c r="L438" s="5">
        <v>61.5</v>
      </c>
      <c r="M438" s="5">
        <v>19.100000000000001</v>
      </c>
      <c r="N438" s="5">
        <v>42.4</v>
      </c>
      <c r="O438" s="5">
        <v>0</v>
      </c>
      <c r="P438" s="5">
        <v>3.9</v>
      </c>
      <c r="Q438" s="5">
        <v>5.9</v>
      </c>
      <c r="R438" s="5">
        <v>1.6</v>
      </c>
      <c r="S438" s="5">
        <v>0.43</v>
      </c>
      <c r="T438" s="5">
        <v>2.1</v>
      </c>
      <c r="U438" s="5">
        <v>0</v>
      </c>
      <c r="V438" s="5">
        <v>27</v>
      </c>
      <c r="W438" s="5">
        <v>0</v>
      </c>
      <c r="X438" s="5">
        <v>162</v>
      </c>
      <c r="Y438" s="5">
        <v>0</v>
      </c>
      <c r="Z438" s="5">
        <v>0</v>
      </c>
      <c r="AA438" s="5">
        <v>0</v>
      </c>
      <c r="AB438" s="5">
        <v>0.12</v>
      </c>
      <c r="AC438" s="5">
        <v>0.27</v>
      </c>
      <c r="AD438" s="5">
        <v>1.5</v>
      </c>
      <c r="AE438" s="5">
        <v>1</v>
      </c>
      <c r="AF438" s="5">
        <v>93</v>
      </c>
      <c r="AG438" s="5">
        <v>0</v>
      </c>
      <c r="AH438" s="5">
        <v>0</v>
      </c>
      <c r="AI438" s="5">
        <v>0</v>
      </c>
      <c r="AJ438" s="5">
        <v>80.8</v>
      </c>
      <c r="AK438" s="5">
        <v>111</v>
      </c>
      <c r="AL438" s="5">
        <v>252</v>
      </c>
      <c r="AM438" s="5">
        <v>11.1</v>
      </c>
      <c r="AN438" s="5">
        <v>0</v>
      </c>
      <c r="AO438" s="5">
        <v>1.1000000000000001</v>
      </c>
      <c r="AP438" s="5">
        <v>264</v>
      </c>
      <c r="AQ438" s="5">
        <v>148</v>
      </c>
      <c r="AR438" s="5">
        <v>1724</v>
      </c>
      <c r="AS438" s="5">
        <v>28.4</v>
      </c>
      <c r="AT438" s="5">
        <v>0.33</v>
      </c>
      <c r="AU438" s="5">
        <v>5.6</v>
      </c>
      <c r="AV438" s="5">
        <f>IFERROR(VLOOKUP(IFERROR(VLOOKUP(D438,Mapa_Similitud!$A$2:$B$2000,2,FALSE()),D438),Hoja1!$A$2:$K$1000,2,FALSE()),IFERROR(VLOOKUP(IFERROR(VLOOKUP(D438,Mapa_Similitud!$A$2:$B$2000,2,FALSE()),D438),Omega3_Referencia!$A$2:$E$100,3,FALSE()),0))</f>
        <v>0.05</v>
      </c>
      <c r="AW438" s="3" t="str">
        <f>IFERROR(VLOOKUP(IFERROR(VLOOKUP(D438,Mapa_Similitud!$A$2:$B$2000,2,FALSE()),D438),Hoja1!$A$2:$K$1000,3,FALSE()),IFERROR(VLOOKUP(IFERROR(VLOOKUP(D438,Mapa_Similitud!$A$2:$B$2000,2,FALSE()),D438),Omega3_Referencia!$A$2:$E$100,4,FALSE()),"N/A"))</f>
        <v>ALA</v>
      </c>
      <c r="AX438" s="5">
        <f>IFERROR(VLOOKUP(IFERROR(VLOOKUP(D438,Mapa_Similitud!$A$2:$B$2000,2,FALSE()),D438),Hoja1!$A$2:$K$1000,5,FALSE()),0)</f>
        <v>0</v>
      </c>
      <c r="AY438" s="5">
        <f>IFERROR(VLOOKUP(IFERROR(VLOOKUP(D438,Mapa_Similitud!$A$2:$B$2000,2,FALSE()),D438),Hoja1!$A$2:$K$1000,7,FALSE()),0)</f>
        <v>800</v>
      </c>
      <c r="AZ438" s="5">
        <f>IFERROR(VLOOKUP(IFERROR(VLOOKUP(D438,Mapa_Similitud!$A$2:$B$2000,2,FALSE()),D438),Hoja1!$A$2:$K$1000,9,FALSE()),0)</f>
        <v>0</v>
      </c>
      <c r="BA438" s="25">
        <f t="shared" si="174"/>
        <v>3.2294617563739379E-2</v>
      </c>
      <c r="BB438" s="25">
        <f t="shared" si="175"/>
        <v>1.1048158640226629E-2</v>
      </c>
      <c r="BC438" s="25">
        <f t="shared" si="176"/>
        <v>0.31444759206798867</v>
      </c>
      <c r="BD438" s="25">
        <f t="shared" si="177"/>
        <v>3.1444759206798865E-2</v>
      </c>
      <c r="BE438" s="25">
        <f t="shared" si="178"/>
        <v>0.41926345609065158</v>
      </c>
      <c r="BF438" s="25">
        <f t="shared" si="179"/>
        <v>1.3125</v>
      </c>
      <c r="BG438" s="25">
        <f t="shared" si="180"/>
        <v>0.44047619047619047</v>
      </c>
      <c r="BH438" s="25">
        <f t="shared" si="181"/>
        <v>0.2711864406779661</v>
      </c>
      <c r="BI438" s="25">
        <f t="shared" si="182"/>
        <v>8.584686774941995E-2</v>
      </c>
      <c r="BJ438" s="25">
        <f t="shared" si="183"/>
        <v>0.68943089430894311</v>
      </c>
      <c r="BK438" s="25">
        <f t="shared" si="184"/>
        <v>6.3414634146341464E-2</v>
      </c>
      <c r="BL438" s="25">
        <f t="shared" si="185"/>
        <v>0.15042492917847025</v>
      </c>
      <c r="BM438" s="25">
        <f t="shared" si="186"/>
        <v>0.74787535410764872</v>
      </c>
      <c r="BN438" s="18" t="str">
        <f t="shared" si="192"/>
        <v>Baja fuente de proteína</v>
      </c>
      <c r="BO438" s="18" t="str">
        <f t="shared" si="193"/>
        <v>Baja fuente de fibra</v>
      </c>
      <c r="BP438" s="18" t="str">
        <f t="shared" si="194"/>
        <v>Baja fuente de calcio</v>
      </c>
      <c r="BQ438" s="18" t="str">
        <f t="shared" si="195"/>
        <v>Alta fuente de hierro</v>
      </c>
      <c r="BR438" s="18" t="str">
        <f t="shared" si="196"/>
        <v>Bajo en sodio</v>
      </c>
      <c r="BS438" s="6" t="str">
        <f t="shared" si="187"/>
        <v>Ligeramente antiinflamatorio</v>
      </c>
      <c r="BT438" s="6" t="str">
        <f t="shared" si="188"/>
        <v>Bajo en grasas</v>
      </c>
      <c r="BU438" s="18" t="str">
        <f t="shared" si="197"/>
        <v>Equilibrio de líquidos ideal</v>
      </c>
      <c r="BV438" s="18" t="str">
        <f t="shared" si="198"/>
        <v>Alta fuente de magnesio</v>
      </c>
      <c r="BW438" s="18" t="str">
        <f t="shared" si="199"/>
        <v>Sin aporte de Omega 3</v>
      </c>
      <c r="BX438" s="18" t="str">
        <f t="shared" si="200"/>
        <v>Libre de grasas trans</v>
      </c>
      <c r="BY438" s="18" t="str">
        <f t="shared" si="201"/>
        <v>Alto poder antioxidante</v>
      </c>
      <c r="BZ438" s="6" t="str">
        <f t="shared" si="189"/>
        <v>Sin probióticos</v>
      </c>
      <c r="CA438" s="18" t="str">
        <f t="shared" si="202"/>
        <v>Antiinflamatorio</v>
      </c>
      <c r="CB438" s="18" t="str">
        <f>IF(ISNUMBER(SEARCH("miel", D438)), "No irritante (Uso condicionado SII)", IF(OR(J438&gt;0, ISNUMBER(SEARCH("cacao", D438)), ISNUMBER(SEARCH("chocolate puro", D438))), "Altamente irritante", IF(OR(AND(O438&gt;15, BI438&gt;1), ISNUMBER(SEARCH("chocolate", D438))), "Moderadamente irritante", "No irritante")))</f>
        <v>No irritante</v>
      </c>
      <c r="CC438" s="6" t="str">
        <f t="shared" si="190"/>
        <v>Exceso relativo de Omega 6</v>
      </c>
    </row>
    <row r="439" spans="1:81" ht="15" customHeight="1" x14ac:dyDescent="0.3">
      <c r="A439" s="2">
        <f t="shared" si="191"/>
        <v>438</v>
      </c>
      <c r="B439" s="3" t="s">
        <v>584</v>
      </c>
      <c r="C439" s="3" t="s">
        <v>585</v>
      </c>
      <c r="D439" s="3" t="s">
        <v>590</v>
      </c>
      <c r="E439" s="3"/>
      <c r="F439" s="4">
        <v>1.5</v>
      </c>
      <c r="G439" s="5">
        <v>1</v>
      </c>
      <c r="H439" s="5">
        <v>255</v>
      </c>
      <c r="I439" s="5">
        <v>9.6</v>
      </c>
      <c r="J439" s="5">
        <v>0</v>
      </c>
      <c r="K439" s="5">
        <v>3.9</v>
      </c>
      <c r="L439" s="5">
        <v>25.6</v>
      </c>
      <c r="M439" s="5">
        <v>23.4</v>
      </c>
      <c r="N439" s="5">
        <v>2.2000000000000002</v>
      </c>
      <c r="O439" s="5">
        <v>0</v>
      </c>
      <c r="P439" s="5">
        <v>54.3</v>
      </c>
      <c r="Q439" s="5">
        <v>3.2</v>
      </c>
      <c r="R439" s="5">
        <v>0.65</v>
      </c>
      <c r="S439" s="5">
        <v>0.48</v>
      </c>
      <c r="T439" s="5">
        <v>0.53</v>
      </c>
      <c r="U439" s="5">
        <v>0</v>
      </c>
      <c r="V439" s="5">
        <v>28</v>
      </c>
      <c r="W439" s="5">
        <v>0</v>
      </c>
      <c r="X439" s="5">
        <v>168</v>
      </c>
      <c r="Y439" s="5">
        <v>0</v>
      </c>
      <c r="Z439" s="5">
        <v>0.95</v>
      </c>
      <c r="AA439" s="5">
        <v>31.2</v>
      </c>
      <c r="AB439" s="5">
        <v>7.6999999999999999E-2</v>
      </c>
      <c r="AC439" s="5">
        <v>0.14000000000000001</v>
      </c>
      <c r="AD439" s="5">
        <v>0</v>
      </c>
      <c r="AE439" s="5">
        <v>0.31</v>
      </c>
      <c r="AF439" s="5">
        <v>29</v>
      </c>
      <c r="AG439" s="5">
        <v>0</v>
      </c>
      <c r="AH439" s="5">
        <v>0</v>
      </c>
      <c r="AI439" s="5">
        <v>0</v>
      </c>
      <c r="AJ439" s="5">
        <v>28.5</v>
      </c>
      <c r="AK439" s="5">
        <v>1228</v>
      </c>
      <c r="AL439" s="5">
        <v>61</v>
      </c>
      <c r="AM439" s="5">
        <v>38.1</v>
      </c>
      <c r="AN439" s="5">
        <v>0</v>
      </c>
      <c r="AO439" s="5">
        <v>2</v>
      </c>
      <c r="AP439" s="5">
        <v>56</v>
      </c>
      <c r="AQ439" s="5">
        <v>26</v>
      </c>
      <c r="AR439" s="5">
        <v>500</v>
      </c>
      <c r="AS439" s="5">
        <v>16.7</v>
      </c>
      <c r="AT439" s="5">
        <v>0.23</v>
      </c>
      <c r="AU439" s="5">
        <v>1.1000000000000001</v>
      </c>
      <c r="AV439" s="5">
        <f>IFERROR(VLOOKUP(IFERROR(VLOOKUP(D439,Mapa_Similitud!$A$2:$B$2000,2,FALSE()),D439),Hoja1!$A$2:$K$1000,2,FALSE()),IFERROR(VLOOKUP(IFERROR(VLOOKUP(D439,Mapa_Similitud!$A$2:$B$2000,2,FALSE()),D439),Omega3_Referencia!$A$2:$E$100,3,FALSE()),0))</f>
        <v>0.05</v>
      </c>
      <c r="AW439" s="3" t="str">
        <f>IFERROR(VLOOKUP(IFERROR(VLOOKUP(D439,Mapa_Similitud!$A$2:$B$2000,2,FALSE()),D439),Hoja1!$A$2:$K$1000,3,FALSE()),IFERROR(VLOOKUP(IFERROR(VLOOKUP(D439,Mapa_Similitud!$A$2:$B$2000,2,FALSE()),D439),Omega3_Referencia!$A$2:$E$100,4,FALSE()),"N/A"))</f>
        <v>ALA</v>
      </c>
      <c r="AX439" s="5">
        <f>IFERROR(VLOOKUP(IFERROR(VLOOKUP(D439,Mapa_Similitud!$A$2:$B$2000,2,FALSE()),D439),Hoja1!$A$2:$K$1000,5,FALSE()),0)</f>
        <v>0</v>
      </c>
      <c r="AY439" s="5">
        <f>IFERROR(VLOOKUP(IFERROR(VLOOKUP(D439,Mapa_Similitud!$A$2:$B$2000,2,FALSE()),D439),Hoja1!$A$2:$K$1000,7,FALSE()),0)</f>
        <v>3500</v>
      </c>
      <c r="AZ439" s="5">
        <f>IFERROR(VLOOKUP(IFERROR(VLOOKUP(D439,Mapa_Similitud!$A$2:$B$2000,2,FALSE()),D439),Hoja1!$A$2:$K$1000,9,FALSE()),0)</f>
        <v>0</v>
      </c>
      <c r="BA439" s="25">
        <f t="shared" si="174"/>
        <v>1.5294117647058823E-2</v>
      </c>
      <c r="BB439" s="25">
        <f t="shared" si="175"/>
        <v>0.21294117647058822</v>
      </c>
      <c r="BC439" s="25">
        <f t="shared" si="176"/>
        <v>4.8156862745098037</v>
      </c>
      <c r="BD439" s="25">
        <f t="shared" si="177"/>
        <v>0.14941176470588236</v>
      </c>
      <c r="BE439" s="25">
        <f t="shared" si="178"/>
        <v>0.10196078431372549</v>
      </c>
      <c r="BF439" s="25">
        <f t="shared" si="179"/>
        <v>0.81538461538461537</v>
      </c>
      <c r="BG439" s="25">
        <f t="shared" si="180"/>
        <v>20.131147540983605</v>
      </c>
      <c r="BH439" s="25">
        <f t="shared" si="181"/>
        <v>0.203125</v>
      </c>
      <c r="BI439" s="25">
        <f t="shared" si="182"/>
        <v>5.1999999999999998E-2</v>
      </c>
      <c r="BJ439" s="25">
        <f t="shared" si="183"/>
        <v>8.59375E-2</v>
      </c>
      <c r="BK439" s="25">
        <f t="shared" si="184"/>
        <v>2.1210937499999996</v>
      </c>
      <c r="BL439" s="25">
        <f t="shared" si="185"/>
        <v>0.11294117647058824</v>
      </c>
      <c r="BM439" s="25">
        <f t="shared" si="186"/>
        <v>0.2196078431372549</v>
      </c>
      <c r="BN439" s="18" t="str">
        <f t="shared" si="192"/>
        <v>Baja fuente de proteína</v>
      </c>
      <c r="BO439" s="18" t="str">
        <f t="shared" si="193"/>
        <v>Alta fuente de fibra</v>
      </c>
      <c r="BP439" s="18" t="str">
        <f t="shared" si="194"/>
        <v>Alta fuente de calcio</v>
      </c>
      <c r="BQ439" s="18" t="str">
        <f t="shared" si="195"/>
        <v>Alta fuente de hierro</v>
      </c>
      <c r="BR439" s="18" t="str">
        <f t="shared" si="196"/>
        <v>Bajo en sodio</v>
      </c>
      <c r="BS439" s="6" t="str">
        <f t="shared" si="187"/>
        <v>Neutro</v>
      </c>
      <c r="BT439" s="6" t="str">
        <f t="shared" si="188"/>
        <v>Bajo en grasas</v>
      </c>
      <c r="BU439" s="18" t="str">
        <f t="shared" si="197"/>
        <v>Equilibrio de líquidos ideal</v>
      </c>
      <c r="BV439" s="18" t="str">
        <f t="shared" si="198"/>
        <v>Media fuente de magnesio</v>
      </c>
      <c r="BW439" s="18" t="str">
        <f t="shared" si="199"/>
        <v>Sin aporte de Omega 3</v>
      </c>
      <c r="BX439" s="18" t="str">
        <f t="shared" si="200"/>
        <v>Libre de grasas trans</v>
      </c>
      <c r="BY439" s="18" t="str">
        <f t="shared" si="201"/>
        <v>Alto poder antioxidante</v>
      </c>
      <c r="BZ439" s="6" t="str">
        <f t="shared" si="189"/>
        <v>Sin probióticos</v>
      </c>
      <c r="CA439" s="18" t="str">
        <f t="shared" si="202"/>
        <v>Antiinflamatorio</v>
      </c>
      <c r="CB439" s="18" t="str">
        <f>IF(ISNUMBER(SEARCH("miel", D439)), "No irritante (Uso condicionado SII)", IF(OR(J439&gt;0, ISNUMBER(SEARCH("cacao", D439)), ISNUMBER(SEARCH("chocolate puro", D439))), "Altamente irritante", IF(OR(AND(O439&gt;15, BI439&gt;1), ISNUMBER(SEARCH("chocolate", D439))), "Moderadamente irritante", "No irritante")))</f>
        <v>No irritante</v>
      </c>
      <c r="CC439" s="6" t="str">
        <f t="shared" si="190"/>
        <v>Exceso relativo de Omega 6</v>
      </c>
    </row>
    <row r="440" spans="1:81" ht="15" customHeight="1" x14ac:dyDescent="0.3">
      <c r="A440" s="2">
        <f t="shared" si="191"/>
        <v>439</v>
      </c>
      <c r="B440" s="3" t="s">
        <v>584</v>
      </c>
      <c r="C440" s="3" t="s">
        <v>585</v>
      </c>
      <c r="D440" s="3" t="s">
        <v>591</v>
      </c>
      <c r="E440" s="3"/>
      <c r="F440" s="4">
        <v>1.5</v>
      </c>
      <c r="G440" s="5">
        <v>1</v>
      </c>
      <c r="H440" s="5">
        <v>344</v>
      </c>
      <c r="I440" s="5">
        <v>8.3000000000000007</v>
      </c>
      <c r="J440" s="5">
        <v>0</v>
      </c>
      <c r="K440" s="5">
        <v>10.8</v>
      </c>
      <c r="L440" s="5">
        <v>46.2</v>
      </c>
      <c r="M440" s="5">
        <v>0</v>
      </c>
      <c r="N440" s="5">
        <v>0</v>
      </c>
      <c r="O440" s="5">
        <v>0</v>
      </c>
      <c r="P440" s="5">
        <v>28</v>
      </c>
      <c r="Q440" s="5">
        <v>6.7</v>
      </c>
      <c r="R440" s="5">
        <v>0.68</v>
      </c>
      <c r="S440" s="5">
        <v>0.87</v>
      </c>
      <c r="T440" s="5">
        <v>0.43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0.2</v>
      </c>
      <c r="AC440" s="5">
        <v>0.18</v>
      </c>
      <c r="AD440" s="5">
        <v>1.1000000000000001</v>
      </c>
      <c r="AE440" s="5">
        <v>0.23</v>
      </c>
      <c r="AF440" s="5">
        <v>0</v>
      </c>
      <c r="AG440" s="5">
        <v>0</v>
      </c>
      <c r="AH440" s="5">
        <v>0</v>
      </c>
      <c r="AI440" s="5">
        <v>0</v>
      </c>
      <c r="AJ440" s="5">
        <v>21</v>
      </c>
      <c r="AK440" s="5">
        <v>383</v>
      </c>
      <c r="AL440" s="5">
        <v>178</v>
      </c>
      <c r="AM440" s="5">
        <v>14</v>
      </c>
      <c r="AN440" s="5">
        <v>0</v>
      </c>
      <c r="AO440" s="5">
        <v>7.5</v>
      </c>
      <c r="AP440" s="5">
        <v>229</v>
      </c>
      <c r="AQ440" s="5">
        <v>18</v>
      </c>
      <c r="AR440" s="5">
        <v>1119</v>
      </c>
      <c r="AS440" s="5">
        <v>0</v>
      </c>
      <c r="AT440" s="5">
        <v>0</v>
      </c>
      <c r="AU440" s="5">
        <v>0</v>
      </c>
      <c r="AV440" s="5">
        <f>IFERROR(VLOOKUP(IFERROR(VLOOKUP(D440,Mapa_Similitud!$A$2:$B$2000,2,FALSE()),D440),Hoja1!$A$2:$K$1000,2,FALSE()),IFERROR(VLOOKUP(IFERROR(VLOOKUP(D440,Mapa_Similitud!$A$2:$B$2000,2,FALSE()),D440),Omega3_Referencia!$A$2:$E$100,3,FALSE()),0))</f>
        <v>0.05</v>
      </c>
      <c r="AW440" s="3" t="str">
        <f>IFERROR(VLOOKUP(IFERROR(VLOOKUP(D440,Mapa_Similitud!$A$2:$B$2000,2,FALSE()),D440),Hoja1!$A$2:$K$1000,3,FALSE()),IFERROR(VLOOKUP(IFERROR(VLOOKUP(D440,Mapa_Similitud!$A$2:$B$2000,2,FALSE()),D440),Omega3_Referencia!$A$2:$E$100,4,FALSE()),"N/A"))</f>
        <v>ALA</v>
      </c>
      <c r="AX440" s="5">
        <f>IFERROR(VLOOKUP(IFERROR(VLOOKUP(D440,Mapa_Similitud!$A$2:$B$2000,2,FALSE()),D440),Hoja1!$A$2:$K$1000,5,FALSE()),0)</f>
        <v>0</v>
      </c>
      <c r="AY440" s="5">
        <f>IFERROR(VLOOKUP(IFERROR(VLOOKUP(D440,Mapa_Similitud!$A$2:$B$2000,2,FALSE()),D440),Hoja1!$A$2:$K$1000,7,FALSE()),0)</f>
        <v>800</v>
      </c>
      <c r="AZ440" s="5">
        <f>IFERROR(VLOOKUP(IFERROR(VLOOKUP(D440,Mapa_Similitud!$A$2:$B$2000,2,FALSE()),D440),Hoja1!$A$2:$K$1000,9,FALSE()),0)</f>
        <v>0</v>
      </c>
      <c r="BA440" s="25">
        <f t="shared" si="174"/>
        <v>3.1395348837209305E-2</v>
      </c>
      <c r="BB440" s="25">
        <f t="shared" si="175"/>
        <v>8.1395348837209308E-2</v>
      </c>
      <c r="BC440" s="25">
        <f t="shared" si="176"/>
        <v>1.1133720930232558</v>
      </c>
      <c r="BD440" s="25">
        <f t="shared" si="177"/>
        <v>4.0697674418604654E-2</v>
      </c>
      <c r="BE440" s="25">
        <f t="shared" si="178"/>
        <v>5.232558139534884E-2</v>
      </c>
      <c r="BF440" s="25">
        <f t="shared" si="179"/>
        <v>0.63235294117647056</v>
      </c>
      <c r="BG440" s="25">
        <f t="shared" si="180"/>
        <v>2.1516853932584268</v>
      </c>
      <c r="BH440" s="25">
        <f t="shared" si="181"/>
        <v>0.10149253731343284</v>
      </c>
      <c r="BI440" s="25">
        <f t="shared" si="182"/>
        <v>1.6085790884718499E-2</v>
      </c>
      <c r="BJ440" s="25">
        <f t="shared" si="183"/>
        <v>0</v>
      </c>
      <c r="BK440" s="25">
        <f t="shared" si="184"/>
        <v>0.60606060606060608</v>
      </c>
      <c r="BL440" s="25">
        <f t="shared" si="185"/>
        <v>0.17529069767441863</v>
      </c>
      <c r="BM440" s="25">
        <f t="shared" si="186"/>
        <v>0.66569767441860461</v>
      </c>
      <c r="BN440" s="18" t="str">
        <f t="shared" si="192"/>
        <v>Baja fuente de proteína</v>
      </c>
      <c r="BO440" s="18" t="str">
        <f t="shared" si="193"/>
        <v>Alta fuente de fibra</v>
      </c>
      <c r="BP440" s="18" t="str">
        <f t="shared" si="194"/>
        <v>Media fuente de calcio</v>
      </c>
      <c r="BQ440" s="18" t="str">
        <f t="shared" si="195"/>
        <v>Alta fuente de hierro</v>
      </c>
      <c r="BR440" s="18" t="str">
        <f t="shared" si="196"/>
        <v>Bajo en sodio</v>
      </c>
      <c r="BS440" s="6" t="str">
        <f t="shared" si="187"/>
        <v>Neutro</v>
      </c>
      <c r="BT440" s="6" t="str">
        <f t="shared" si="188"/>
        <v>Bajo en grasas</v>
      </c>
      <c r="BU440" s="18" t="str">
        <f t="shared" si="197"/>
        <v>Equilibrio de líquidos ideal</v>
      </c>
      <c r="BV440" s="18" t="str">
        <f t="shared" si="198"/>
        <v>Alta fuente de magnesio</v>
      </c>
      <c r="BW440" s="18" t="str">
        <f t="shared" si="199"/>
        <v>Sin aporte de Omega 3</v>
      </c>
      <c r="BX440" s="18" t="str">
        <f t="shared" si="200"/>
        <v>Libre de grasas trans</v>
      </c>
      <c r="BY440" s="18" t="str">
        <f t="shared" si="201"/>
        <v>Alto poder antioxidante</v>
      </c>
      <c r="BZ440" s="6" t="str">
        <f t="shared" si="189"/>
        <v>Sin probióticos</v>
      </c>
      <c r="CA440" s="18" t="str">
        <f t="shared" si="202"/>
        <v>Antiinflamatorio</v>
      </c>
      <c r="CB440" s="18" t="str">
        <f>IF(ISNUMBER(SEARCH("miel", D440)), "No irritante (Uso condicionado SII)", IF(OR(J440&gt;0, ISNUMBER(SEARCH("cacao", D440)), ISNUMBER(SEARCH("chocolate puro", D440))), "Altamente irritante", IF(OR(AND(O440&gt;15, BI440&gt;1), ISNUMBER(SEARCH("chocolate", D440))), "Moderadamente irritante", "No irritante")))</f>
        <v>No irritante</v>
      </c>
      <c r="CC440" s="6" t="str">
        <f t="shared" si="190"/>
        <v>Exceso relativo de Omega 6</v>
      </c>
    </row>
    <row r="441" spans="1:81" ht="15" customHeight="1" x14ac:dyDescent="0.3">
      <c r="A441" s="2">
        <f t="shared" si="191"/>
        <v>440</v>
      </c>
      <c r="B441" s="3" t="s">
        <v>584</v>
      </c>
      <c r="C441" s="3" t="s">
        <v>585</v>
      </c>
      <c r="D441" s="3" t="s">
        <v>592</v>
      </c>
      <c r="E441" s="3"/>
      <c r="F441" s="4">
        <v>1.5</v>
      </c>
      <c r="G441" s="5">
        <v>1</v>
      </c>
      <c r="H441" s="5">
        <v>355</v>
      </c>
      <c r="I441" s="5">
        <v>7.3</v>
      </c>
      <c r="J441" s="5">
        <v>0</v>
      </c>
      <c r="K441" s="5">
        <v>9</v>
      </c>
      <c r="L441" s="5">
        <v>74.099999999999994</v>
      </c>
      <c r="M441" s="5">
        <v>2.7</v>
      </c>
      <c r="N441" s="5">
        <v>37.4</v>
      </c>
      <c r="O441" s="5">
        <v>0</v>
      </c>
      <c r="P441" s="5">
        <v>9.1999999999999993</v>
      </c>
      <c r="Q441" s="5">
        <v>0.45</v>
      </c>
      <c r="R441" s="5">
        <v>7.8E-2</v>
      </c>
      <c r="S441" s="5">
        <v>6.4000000000000001E-2</v>
      </c>
      <c r="T441" s="5">
        <v>0.18</v>
      </c>
      <c r="U441" s="5">
        <v>0</v>
      </c>
      <c r="V441" s="5">
        <v>1</v>
      </c>
      <c r="W441" s="5">
        <v>0</v>
      </c>
      <c r="X441" s="5">
        <v>11</v>
      </c>
      <c r="Y441" s="5">
        <v>0</v>
      </c>
      <c r="Z441" s="5">
        <v>0.18</v>
      </c>
      <c r="AA441" s="5">
        <v>0</v>
      </c>
      <c r="AB441" s="5">
        <v>0.5</v>
      </c>
      <c r="AC441" s="5">
        <v>0.1</v>
      </c>
      <c r="AD441" s="5">
        <v>0.1</v>
      </c>
      <c r="AE441" s="5">
        <v>1.6</v>
      </c>
      <c r="AF441" s="5">
        <v>166</v>
      </c>
      <c r="AG441" s="5">
        <v>0</v>
      </c>
      <c r="AH441" s="5">
        <v>0</v>
      </c>
      <c r="AI441" s="5">
        <v>0</v>
      </c>
      <c r="AJ441" s="5">
        <v>75</v>
      </c>
      <c r="AK441" s="5">
        <v>257</v>
      </c>
      <c r="AL441" s="5">
        <v>303</v>
      </c>
      <c r="AM441" s="5">
        <v>1.6</v>
      </c>
      <c r="AN441" s="5">
        <v>0</v>
      </c>
      <c r="AO441" s="5">
        <v>89</v>
      </c>
      <c r="AP441" s="5">
        <v>92</v>
      </c>
      <c r="AQ441" s="5">
        <v>21</v>
      </c>
      <c r="AR441" s="5">
        <v>1622</v>
      </c>
      <c r="AS441" s="5">
        <v>0</v>
      </c>
      <c r="AT441" s="5">
        <v>0</v>
      </c>
      <c r="AU441" s="5">
        <v>5</v>
      </c>
      <c r="AV441" s="5">
        <f>IFERROR(VLOOKUP(IFERROR(VLOOKUP(D441,Mapa_Similitud!$A$2:$B$2000,2,FALSE()),D441),Hoja1!$A$2:$K$1000,2,FALSE()),IFERROR(VLOOKUP(IFERROR(VLOOKUP(D441,Mapa_Similitud!$A$2:$B$2000,2,FALSE()),D441),Omega3_Referencia!$A$2:$E$100,3,FALSE()),0))</f>
        <v>0</v>
      </c>
      <c r="AW441" s="3" t="str">
        <f>IFERROR(VLOOKUP(IFERROR(VLOOKUP(D441,Mapa_Similitud!$A$2:$B$2000,2,FALSE()),D441),Hoja1!$A$2:$K$1000,3,FALSE()),IFERROR(VLOOKUP(IFERROR(VLOOKUP(D441,Mapa_Similitud!$A$2:$B$2000,2,FALSE()),D441),Omega3_Referencia!$A$2:$E$100,4,FALSE()),"N/A"))</f>
        <v>N/A</v>
      </c>
      <c r="AX441" s="5">
        <f>IFERROR(VLOOKUP(IFERROR(VLOOKUP(D441,Mapa_Similitud!$A$2:$B$2000,2,FALSE()),D441),Hoja1!$A$2:$K$1000,5,FALSE()),0)</f>
        <v>0</v>
      </c>
      <c r="AY441" s="5">
        <f>IFERROR(VLOOKUP(IFERROR(VLOOKUP(D441,Mapa_Similitud!$A$2:$B$2000,2,FALSE()),D441),Hoja1!$A$2:$K$1000,7,FALSE()),0)</f>
        <v>0</v>
      </c>
      <c r="AZ441" s="5">
        <f>IFERROR(VLOOKUP(IFERROR(VLOOKUP(D441,Mapa_Similitud!$A$2:$B$2000,2,FALSE()),D441),Hoja1!$A$2:$K$1000,9,FALSE()),0)</f>
        <v>0</v>
      </c>
      <c r="BA441" s="25">
        <f t="shared" si="174"/>
        <v>2.5352112676056339E-2</v>
      </c>
      <c r="BB441" s="25">
        <f t="shared" si="175"/>
        <v>2.5915492957746478E-2</v>
      </c>
      <c r="BC441" s="25">
        <f t="shared" si="176"/>
        <v>0.72394366197183102</v>
      </c>
      <c r="BD441" s="25">
        <f t="shared" si="177"/>
        <v>4.507042253521127E-3</v>
      </c>
      <c r="BE441" s="25">
        <f t="shared" si="178"/>
        <v>5.9154929577464786E-2</v>
      </c>
      <c r="BF441" s="25">
        <f t="shared" si="179"/>
        <v>2.3076923076923075</v>
      </c>
      <c r="BG441" s="25">
        <f t="shared" si="180"/>
        <v>0.84818481848184824</v>
      </c>
      <c r="BH441" s="25">
        <f t="shared" si="181"/>
        <v>0.17333333333333334</v>
      </c>
      <c r="BI441" s="25">
        <f t="shared" si="182"/>
        <v>1.2946979038224414E-2</v>
      </c>
      <c r="BJ441" s="25">
        <f t="shared" si="183"/>
        <v>0.50472334682860998</v>
      </c>
      <c r="BK441" s="25">
        <f t="shared" si="184"/>
        <v>0.12415654520917679</v>
      </c>
      <c r="BL441" s="25">
        <f t="shared" si="185"/>
        <v>1.1408450704225352E-2</v>
      </c>
      <c r="BM441" s="25">
        <f t="shared" si="186"/>
        <v>0.25915492957746478</v>
      </c>
      <c r="BN441" s="18" t="str">
        <f t="shared" si="192"/>
        <v>Baja fuente de proteína</v>
      </c>
      <c r="BO441" s="18" t="str">
        <f t="shared" si="193"/>
        <v>Media fuente de fibra</v>
      </c>
      <c r="BP441" s="18" t="str">
        <f t="shared" si="194"/>
        <v>Baja fuente de calcio</v>
      </c>
      <c r="BQ441" s="18" t="str">
        <f t="shared" si="195"/>
        <v>Baja fuente de hierro</v>
      </c>
      <c r="BR441" s="18" t="str">
        <f t="shared" si="196"/>
        <v>Bajo en sodio</v>
      </c>
      <c r="BS441" s="6" t="str">
        <f t="shared" si="187"/>
        <v>Altamente antiinflamatorio</v>
      </c>
      <c r="BT441" s="6" t="str">
        <f t="shared" si="188"/>
        <v>Bajo en grasas</v>
      </c>
      <c r="BU441" s="18" t="str">
        <f t="shared" si="197"/>
        <v>Equilibrio de líquidos ideal</v>
      </c>
      <c r="BV441" s="18" t="str">
        <f t="shared" si="198"/>
        <v>Media fuente de magnesio</v>
      </c>
      <c r="BW441" s="18" t="str">
        <f t="shared" si="199"/>
        <v>Sin aporte de Omega 3</v>
      </c>
      <c r="BX441" s="18" t="str">
        <f t="shared" si="200"/>
        <v>Libre de grasas trans</v>
      </c>
      <c r="BY441" s="18" t="str">
        <f t="shared" si="201"/>
        <v>Bajo poder antioxidante</v>
      </c>
      <c r="BZ441" s="6" t="str">
        <f t="shared" si="189"/>
        <v>Sin probióticos</v>
      </c>
      <c r="CA441" s="18" t="str">
        <f t="shared" si="202"/>
        <v>Poco inflamatorio</v>
      </c>
      <c r="CB441" s="18" t="str">
        <f>IF(ISNUMBER(SEARCH("miel", D441)), "No irritante (Uso condicionado SII)", IF(OR(J441&gt;0, ISNUMBER(SEARCH("cacao", D441)), ISNUMBER(SEARCH("chocolate puro", D441))), "Altamente irritante", IF(OR(AND(O441&gt;15, BI441&gt;1), ISNUMBER(SEARCH("chocolate", D441))), "Moderadamente irritante", "No irritante")))</f>
        <v>No irritante</v>
      </c>
      <c r="CC441" s="6" t="str">
        <f t="shared" si="190"/>
        <v>Sin Omega 3 para evaluar</v>
      </c>
    </row>
    <row r="442" spans="1:81" ht="15" customHeight="1" x14ac:dyDescent="0.3">
      <c r="A442" s="2">
        <f t="shared" si="191"/>
        <v>441</v>
      </c>
      <c r="B442" s="3" t="s">
        <v>584</v>
      </c>
      <c r="C442" s="3" t="s">
        <v>585</v>
      </c>
      <c r="D442" s="3" t="s">
        <v>593</v>
      </c>
      <c r="E442" s="3"/>
      <c r="F442" s="4">
        <v>1.5</v>
      </c>
      <c r="G442" s="5">
        <v>1</v>
      </c>
      <c r="H442" s="5">
        <v>29</v>
      </c>
      <c r="I442" s="5">
        <v>91.3</v>
      </c>
      <c r="J442" s="5">
        <v>0</v>
      </c>
      <c r="K442" s="5">
        <v>3</v>
      </c>
      <c r="L442" s="5">
        <v>1.9</v>
      </c>
      <c r="M442" s="5">
        <v>0</v>
      </c>
      <c r="N442" s="5">
        <v>1.9</v>
      </c>
      <c r="O442" s="5">
        <v>0</v>
      </c>
      <c r="P442" s="5">
        <v>2.2999999999999998</v>
      </c>
      <c r="Q442" s="5">
        <v>0.53</v>
      </c>
      <c r="R442" s="5">
        <v>0.12</v>
      </c>
      <c r="S442" s="5">
        <v>0.08</v>
      </c>
      <c r="T442" s="5">
        <v>0.22</v>
      </c>
      <c r="U442" s="5">
        <v>0</v>
      </c>
      <c r="V442" s="5">
        <v>435</v>
      </c>
      <c r="W442" s="5">
        <v>0</v>
      </c>
      <c r="X442" s="5">
        <v>2612</v>
      </c>
      <c r="Y442" s="5">
        <v>0</v>
      </c>
      <c r="Z442" s="5">
        <v>0.9</v>
      </c>
      <c r="AA442" s="5">
        <v>0</v>
      </c>
      <c r="AB442" s="5">
        <v>0.08</v>
      </c>
      <c r="AC442" s="5">
        <v>0.11</v>
      </c>
      <c r="AD442" s="5">
        <v>0</v>
      </c>
      <c r="AE442" s="5">
        <v>0.13</v>
      </c>
      <c r="AF442" s="5">
        <v>130</v>
      </c>
      <c r="AG442" s="5">
        <v>0</v>
      </c>
      <c r="AH442" s="5">
        <v>0</v>
      </c>
      <c r="AI442" s="5">
        <v>0</v>
      </c>
      <c r="AJ442" s="5">
        <v>60</v>
      </c>
      <c r="AK442" s="5">
        <v>86</v>
      </c>
      <c r="AL442" s="5">
        <v>54</v>
      </c>
      <c r="AM442" s="5">
        <v>1.5</v>
      </c>
      <c r="AN442" s="5">
        <v>0</v>
      </c>
      <c r="AO442" s="5">
        <v>0.4</v>
      </c>
      <c r="AP442" s="5">
        <v>40</v>
      </c>
      <c r="AQ442" s="5">
        <v>3</v>
      </c>
      <c r="AR442" s="5">
        <v>275</v>
      </c>
      <c r="AS442" s="5">
        <v>0</v>
      </c>
      <c r="AT442" s="5">
        <v>0</v>
      </c>
      <c r="AU442" s="5">
        <v>0</v>
      </c>
      <c r="AV442" s="5">
        <f>IFERROR(VLOOKUP(IFERROR(VLOOKUP(D442,Mapa_Similitud!$A$2:$B$2000,2,FALSE()),D442),Hoja1!$A$2:$K$1000,2,FALSE()),IFERROR(VLOOKUP(IFERROR(VLOOKUP(D442,Mapa_Similitud!$A$2:$B$2000,2,FALSE()),D442),Omega3_Referencia!$A$2:$E$100,3,FALSE()),0))</f>
        <v>0.05</v>
      </c>
      <c r="AW442" s="3" t="str">
        <f>IFERROR(VLOOKUP(IFERROR(VLOOKUP(D442,Mapa_Similitud!$A$2:$B$2000,2,FALSE()),D442),Hoja1!$A$2:$K$1000,3,FALSE()),IFERROR(VLOOKUP(IFERROR(VLOOKUP(D442,Mapa_Similitud!$A$2:$B$2000,2,FALSE()),D442),Omega3_Referencia!$A$2:$E$100,4,FALSE()),"N/A"))</f>
        <v>ALA</v>
      </c>
      <c r="AX442" s="5">
        <f>IFERROR(VLOOKUP(IFERROR(VLOOKUP(D442,Mapa_Similitud!$A$2:$B$2000,2,FALSE()),D442),Hoja1!$A$2:$K$1000,5,FALSE()),0)</f>
        <v>0</v>
      </c>
      <c r="AY442" s="5">
        <f>IFERROR(VLOOKUP(IFERROR(VLOOKUP(D442,Mapa_Similitud!$A$2:$B$2000,2,FALSE()),D442),Hoja1!$A$2:$K$1000,7,FALSE()),0)</f>
        <v>800</v>
      </c>
      <c r="AZ442" s="5">
        <f>IFERROR(VLOOKUP(IFERROR(VLOOKUP(D442,Mapa_Similitud!$A$2:$B$2000,2,FALSE()),D442),Hoja1!$A$2:$K$1000,9,FALSE()),0)</f>
        <v>0</v>
      </c>
      <c r="BA442" s="25">
        <f t="shared" si="174"/>
        <v>0.10344827586206896</v>
      </c>
      <c r="BB442" s="25">
        <f t="shared" si="175"/>
        <v>7.9310344827586199E-2</v>
      </c>
      <c r="BC442" s="25">
        <f t="shared" si="176"/>
        <v>2.9655172413793105</v>
      </c>
      <c r="BD442" s="25">
        <f t="shared" si="177"/>
        <v>5.1724137931034482E-2</v>
      </c>
      <c r="BE442" s="25">
        <f t="shared" si="178"/>
        <v>0.10344827586206896</v>
      </c>
      <c r="BF442" s="25">
        <f t="shared" si="179"/>
        <v>1.8333333333333335</v>
      </c>
      <c r="BG442" s="25">
        <f t="shared" si="180"/>
        <v>1.5925925925925926</v>
      </c>
      <c r="BH442" s="25">
        <f t="shared" si="181"/>
        <v>0.22641509433962262</v>
      </c>
      <c r="BI442" s="25">
        <f t="shared" si="182"/>
        <v>1.090909090909091E-2</v>
      </c>
      <c r="BJ442" s="25">
        <f t="shared" si="183"/>
        <v>1</v>
      </c>
      <c r="BK442" s="25">
        <f t="shared" si="184"/>
        <v>1.2105263157894737</v>
      </c>
      <c r="BL442" s="25">
        <f t="shared" si="185"/>
        <v>0.16448275862068967</v>
      </c>
      <c r="BM442" s="25">
        <f t="shared" si="186"/>
        <v>1.3793103448275863</v>
      </c>
      <c r="BN442" s="18" t="str">
        <f t="shared" si="192"/>
        <v>Media fuente de proteína</v>
      </c>
      <c r="BO442" s="18" t="str">
        <f t="shared" si="193"/>
        <v>Alta fuente de fibra</v>
      </c>
      <c r="BP442" s="18" t="str">
        <f t="shared" si="194"/>
        <v>Alta fuente de calcio</v>
      </c>
      <c r="BQ442" s="18" t="str">
        <f t="shared" si="195"/>
        <v>Alta fuente de hierro</v>
      </c>
      <c r="BR442" s="18" t="str">
        <f t="shared" si="196"/>
        <v>Bajo en sodio</v>
      </c>
      <c r="BS442" s="6" t="str">
        <f t="shared" si="187"/>
        <v>Ligeramente antiinflamatorio</v>
      </c>
      <c r="BT442" s="6" t="str">
        <f t="shared" si="188"/>
        <v>Bajo en grasas</v>
      </c>
      <c r="BU442" s="18" t="str">
        <f t="shared" si="197"/>
        <v>Equilibrio de líquidos ideal</v>
      </c>
      <c r="BV442" s="18" t="str">
        <f t="shared" si="198"/>
        <v>Alta fuente de magnesio</v>
      </c>
      <c r="BW442" s="18" t="str">
        <f t="shared" si="199"/>
        <v>Sin aporte de Omega 3</v>
      </c>
      <c r="BX442" s="18" t="str">
        <f t="shared" si="200"/>
        <v>Libre de grasas trans</v>
      </c>
      <c r="BY442" s="18" t="str">
        <f t="shared" si="201"/>
        <v>Alto poder antioxidante</v>
      </c>
      <c r="BZ442" s="6" t="str">
        <f t="shared" si="189"/>
        <v>Sin probióticos</v>
      </c>
      <c r="CA442" s="18" t="str">
        <f t="shared" si="202"/>
        <v>Antiinflamatorio</v>
      </c>
      <c r="CB442" s="18" t="str">
        <f>IF(ISNUMBER(SEARCH("miel", D442)), "No irritante (Uso condicionado SII)", IF(OR(J442&gt;0, ISNUMBER(SEARCH("cacao", D442)), ISNUMBER(SEARCH("chocolate puro", D442))), "Altamente irritante", IF(OR(AND(O442&gt;15, BI442&gt;1), ISNUMBER(SEARCH("chocolate", D442))), "Moderadamente irritante", "No irritante")))</f>
        <v>No irritante</v>
      </c>
      <c r="CC442" s="6" t="str">
        <f t="shared" si="190"/>
        <v>Balance de omegas favorable</v>
      </c>
    </row>
    <row r="443" spans="1:81" ht="15" customHeight="1" x14ac:dyDescent="0.3">
      <c r="A443" s="2">
        <f t="shared" si="191"/>
        <v>442</v>
      </c>
      <c r="B443" s="3" t="s">
        <v>584</v>
      </c>
      <c r="C443" s="3" t="s">
        <v>585</v>
      </c>
      <c r="D443" s="3" t="s">
        <v>594</v>
      </c>
      <c r="E443" s="3"/>
      <c r="F443" s="4">
        <v>1.5</v>
      </c>
      <c r="G443" s="5">
        <v>1</v>
      </c>
      <c r="H443" s="5">
        <v>22.1</v>
      </c>
      <c r="I443" s="5">
        <v>92.2</v>
      </c>
      <c r="J443" s="5">
        <v>0</v>
      </c>
      <c r="K443" s="5">
        <v>2.1</v>
      </c>
      <c r="L443" s="5">
        <v>0.9</v>
      </c>
      <c r="M443" s="5">
        <v>0.9</v>
      </c>
      <c r="N443" s="5">
        <v>0</v>
      </c>
      <c r="O443" s="5">
        <v>0</v>
      </c>
      <c r="P443" s="5">
        <v>2.8</v>
      </c>
      <c r="Q443" s="5">
        <v>0.5</v>
      </c>
      <c r="R443" s="5">
        <v>0</v>
      </c>
      <c r="S443" s="5">
        <v>0.3</v>
      </c>
      <c r="T443" s="5">
        <v>0.04</v>
      </c>
      <c r="U443" s="5">
        <v>0</v>
      </c>
      <c r="V443" s="5">
        <v>685</v>
      </c>
      <c r="W443" s="5">
        <v>0</v>
      </c>
      <c r="X443" s="5">
        <v>4049</v>
      </c>
      <c r="Y443" s="5">
        <v>0</v>
      </c>
      <c r="Z443" s="5">
        <v>2.5</v>
      </c>
      <c r="AA443" s="5">
        <v>310</v>
      </c>
      <c r="AB443" s="5">
        <v>0.1</v>
      </c>
      <c r="AC443" s="5">
        <v>0.2</v>
      </c>
      <c r="AD443" s="5">
        <v>1.1000000000000001</v>
      </c>
      <c r="AE443" s="5">
        <v>0.1</v>
      </c>
      <c r="AF443" s="5">
        <v>62</v>
      </c>
      <c r="AG443" s="5">
        <v>0</v>
      </c>
      <c r="AH443" s="5">
        <v>0.6</v>
      </c>
      <c r="AI443" s="5">
        <v>0</v>
      </c>
      <c r="AJ443" s="5">
        <v>27</v>
      </c>
      <c r="AK443" s="5">
        <v>67</v>
      </c>
      <c r="AL443" s="5">
        <v>48</v>
      </c>
      <c r="AM443" s="5">
        <v>1.8</v>
      </c>
      <c r="AN443" s="5">
        <v>0</v>
      </c>
      <c r="AO443" s="5">
        <v>0.5</v>
      </c>
      <c r="AP443" s="5">
        <v>26</v>
      </c>
      <c r="AQ443" s="5">
        <v>46</v>
      </c>
      <c r="AR443" s="5">
        <v>521</v>
      </c>
      <c r="AS443" s="5">
        <v>0.4</v>
      </c>
      <c r="AT443" s="5">
        <v>0.2</v>
      </c>
      <c r="AU443" s="5">
        <v>0.9</v>
      </c>
      <c r="AV443" s="5">
        <f>IFERROR(VLOOKUP(IFERROR(VLOOKUP(D443,Mapa_Similitud!$A$2:$B$2000,2,FALSE()),D443),Hoja1!$A$2:$K$1000,2,FALSE()),IFERROR(VLOOKUP(IFERROR(VLOOKUP(D443,Mapa_Similitud!$A$2:$B$2000,2,FALSE()),D443),Omega3_Referencia!$A$2:$E$100,3,FALSE()),0))</f>
        <v>0.15</v>
      </c>
      <c r="AW443" s="3" t="str">
        <f>IFERROR(VLOOKUP(IFERROR(VLOOKUP(D443,Mapa_Similitud!$A$2:$B$2000,2,FALSE()),D443),Hoja1!$A$2:$K$1000,3,FALSE()),IFERROR(VLOOKUP(IFERROR(VLOOKUP(D443,Mapa_Similitud!$A$2:$B$2000,2,FALSE()),D443),Omega3_Referencia!$A$2:$E$100,4,FALSE()),"N/A"))</f>
        <v>ALA</v>
      </c>
      <c r="AX443" s="5">
        <f>IFERROR(VLOOKUP(IFERROR(VLOOKUP(D443,Mapa_Similitud!$A$2:$B$2000,2,FALSE()),D443),Hoja1!$A$2:$K$1000,5,FALSE()),0)</f>
        <v>0</v>
      </c>
      <c r="AY443" s="5">
        <f>IFERROR(VLOOKUP(IFERROR(VLOOKUP(D443,Mapa_Similitud!$A$2:$B$2000,2,FALSE()),D443),Hoja1!$A$2:$K$1000,7,FALSE()),0)</f>
        <v>2100</v>
      </c>
      <c r="AZ443" s="5">
        <f>IFERROR(VLOOKUP(IFERROR(VLOOKUP(D443,Mapa_Similitud!$A$2:$B$2000,2,FALSE()),D443),Hoja1!$A$2:$K$1000,9,FALSE()),0)</f>
        <v>0</v>
      </c>
      <c r="BA443" s="25">
        <f t="shared" si="174"/>
        <v>9.5022624434389136E-2</v>
      </c>
      <c r="BB443" s="25">
        <f t="shared" si="175"/>
        <v>0.12669683257918551</v>
      </c>
      <c r="BC443" s="25">
        <f t="shared" si="176"/>
        <v>3.0316742081447963</v>
      </c>
      <c r="BD443" s="25">
        <f t="shared" si="177"/>
        <v>8.1447963800904979E-2</v>
      </c>
      <c r="BE443" s="25">
        <f t="shared" si="178"/>
        <v>2.0814479638009047</v>
      </c>
      <c r="BF443" s="25">
        <f t="shared" si="179"/>
        <v>0</v>
      </c>
      <c r="BG443" s="25">
        <f t="shared" si="180"/>
        <v>1.3958333333333333</v>
      </c>
      <c r="BH443" s="25">
        <f t="shared" si="181"/>
        <v>0</v>
      </c>
      <c r="BI443" s="25">
        <f t="shared" si="182"/>
        <v>8.829174664107485E-2</v>
      </c>
      <c r="BJ443" s="25">
        <f t="shared" si="183"/>
        <v>0</v>
      </c>
      <c r="BK443" s="25">
        <f t="shared" si="184"/>
        <v>3.1111111111111107</v>
      </c>
      <c r="BL443" s="25">
        <f t="shared" si="185"/>
        <v>0.20361990950226244</v>
      </c>
      <c r="BM443" s="25">
        <f t="shared" si="186"/>
        <v>1.1764705882352939</v>
      </c>
      <c r="BN443" s="18" t="str">
        <f t="shared" si="192"/>
        <v>Baja fuente de proteína</v>
      </c>
      <c r="BO443" s="18" t="str">
        <f t="shared" si="193"/>
        <v>Alta fuente de fibra</v>
      </c>
      <c r="BP443" s="18" t="str">
        <f t="shared" si="194"/>
        <v>Alta fuente de calcio</v>
      </c>
      <c r="BQ443" s="18" t="str">
        <f t="shared" si="195"/>
        <v>Alta fuente de hierro</v>
      </c>
      <c r="BR443" s="18" t="str">
        <f t="shared" si="196"/>
        <v>Muy alto en sodio</v>
      </c>
      <c r="BS443" s="6" t="str">
        <f t="shared" si="187"/>
        <v>Proinflamatorio</v>
      </c>
      <c r="BT443" s="6" t="str">
        <f t="shared" si="188"/>
        <v>Moderado en grasas</v>
      </c>
      <c r="BU443" s="18" t="str">
        <f t="shared" si="197"/>
        <v>Equilibrio de líquidos ideal</v>
      </c>
      <c r="BV443" s="18" t="str">
        <f t="shared" si="198"/>
        <v>Alta fuente de magnesio</v>
      </c>
      <c r="BW443" s="18" t="str">
        <f t="shared" si="199"/>
        <v>Ligera fuente de Omega 3</v>
      </c>
      <c r="BX443" s="18" t="str">
        <f t="shared" si="200"/>
        <v>Libre de grasas trans</v>
      </c>
      <c r="BY443" s="18" t="str">
        <f t="shared" si="201"/>
        <v>Alto poder antioxidante</v>
      </c>
      <c r="BZ443" s="6" t="str">
        <f t="shared" si="189"/>
        <v>Sin probióticos</v>
      </c>
      <c r="CA443" s="18" t="str">
        <f t="shared" si="202"/>
        <v>Antiinflamatorio</v>
      </c>
      <c r="CB443" s="18" t="str">
        <f>IF(ISNUMBER(SEARCH("miel", D443)), "No irritante (Uso condicionado SII)", IF(OR(J443&gt;0, ISNUMBER(SEARCH("cacao", D443)), ISNUMBER(SEARCH("chocolate puro", D443))), "Altamente irritante", IF(OR(AND(O443&gt;15, BI443&gt;1), ISNUMBER(SEARCH("chocolate", D443))), "Moderadamente irritante", "No irritante")))</f>
        <v>No irritante</v>
      </c>
      <c r="CC443" s="6" t="str">
        <f t="shared" si="190"/>
        <v>Balance de omegas favorable</v>
      </c>
    </row>
    <row r="444" spans="1:81" ht="15" customHeight="1" x14ac:dyDescent="0.3">
      <c r="A444" s="2">
        <f t="shared" si="191"/>
        <v>443</v>
      </c>
      <c r="B444" s="3" t="s">
        <v>584</v>
      </c>
      <c r="C444" s="3" t="s">
        <v>585</v>
      </c>
      <c r="D444" s="3" t="s">
        <v>595</v>
      </c>
      <c r="E444" s="3"/>
      <c r="F444" s="4">
        <v>1.5</v>
      </c>
      <c r="G444" s="5">
        <v>1</v>
      </c>
      <c r="H444" s="5">
        <v>335</v>
      </c>
      <c r="I444" s="5">
        <v>9.9</v>
      </c>
      <c r="J444" s="5">
        <v>0</v>
      </c>
      <c r="K444" s="5">
        <v>6</v>
      </c>
      <c r="L444" s="5">
        <v>31.6</v>
      </c>
      <c r="M444" s="5">
        <v>0</v>
      </c>
      <c r="N444" s="5">
        <v>2.4</v>
      </c>
      <c r="O444" s="5">
        <v>0</v>
      </c>
      <c r="P444" s="5">
        <v>33.9</v>
      </c>
      <c r="Q444" s="5">
        <v>13</v>
      </c>
      <c r="R444" s="5">
        <v>4</v>
      </c>
      <c r="S444" s="5">
        <v>1.4</v>
      </c>
      <c r="T444" s="5">
        <v>3.6</v>
      </c>
      <c r="U444" s="5">
        <v>0</v>
      </c>
      <c r="V444" s="5">
        <v>16.100000000000001</v>
      </c>
      <c r="W444" s="5">
        <v>0</v>
      </c>
      <c r="X444" s="5">
        <v>96.5</v>
      </c>
      <c r="Y444" s="5">
        <v>0</v>
      </c>
      <c r="Z444" s="5">
        <v>8.8000000000000007</v>
      </c>
      <c r="AA444" s="5">
        <v>142</v>
      </c>
      <c r="AB444" s="5">
        <v>0.16</v>
      </c>
      <c r="AC444" s="5">
        <v>0.22</v>
      </c>
      <c r="AD444" s="5">
        <v>1.6</v>
      </c>
      <c r="AE444" s="5">
        <v>0.39</v>
      </c>
      <c r="AF444" s="5">
        <v>25</v>
      </c>
      <c r="AG444" s="5">
        <v>0</v>
      </c>
      <c r="AH444" s="5">
        <v>0.51</v>
      </c>
      <c r="AI444" s="5">
        <v>0</v>
      </c>
      <c r="AJ444" s="5">
        <v>0.2</v>
      </c>
      <c r="AK444" s="5">
        <v>632</v>
      </c>
      <c r="AL444" s="5">
        <v>104</v>
      </c>
      <c r="AM444" s="5">
        <v>11.8</v>
      </c>
      <c r="AN444" s="5">
        <v>0</v>
      </c>
      <c r="AO444" s="5">
        <v>2.2999999999999998</v>
      </c>
      <c r="AP444" s="5">
        <v>259</v>
      </c>
      <c r="AQ444" s="5">
        <v>277</v>
      </c>
      <c r="AR444" s="5">
        <v>1020</v>
      </c>
      <c r="AS444" s="5">
        <v>60.1</v>
      </c>
      <c r="AT444" s="5">
        <v>0.37</v>
      </c>
      <c r="AU444" s="5">
        <v>0</v>
      </c>
      <c r="AV444" s="5">
        <f>IFERROR(VLOOKUP(IFERROR(VLOOKUP(D444,Mapa_Similitud!$A$2:$B$2000,2,FALSE()),D444),Hoja1!$A$2:$K$1000,2,FALSE()),IFERROR(VLOOKUP(IFERROR(VLOOKUP(D444,Mapa_Similitud!$A$2:$B$2000,2,FALSE()),D444),Omega3_Referencia!$A$2:$E$100,3,FALSE()),0))</f>
        <v>0.1</v>
      </c>
      <c r="AW444" s="3" t="str">
        <f>IFERROR(VLOOKUP(IFERROR(VLOOKUP(D444,Mapa_Similitud!$A$2:$B$2000,2,FALSE()),D444),Hoja1!$A$2:$K$1000,3,FALSE()),IFERROR(VLOOKUP(IFERROR(VLOOKUP(D444,Mapa_Similitud!$A$2:$B$2000,2,FALSE()),D444),Omega3_Referencia!$A$2:$E$100,4,FALSE()),"N/A"))</f>
        <v>ALA</v>
      </c>
      <c r="AX444" s="5">
        <f>IFERROR(VLOOKUP(IFERROR(VLOOKUP(D444,Mapa_Similitud!$A$2:$B$2000,2,FALSE()),D444),Hoja1!$A$2:$K$1000,5,FALSE()),0)</f>
        <v>0</v>
      </c>
      <c r="AY444" s="5">
        <f>IFERROR(VLOOKUP(IFERROR(VLOOKUP(D444,Mapa_Similitud!$A$2:$B$2000,2,FALSE()),D444),Hoja1!$A$2:$K$1000,7,FALSE()),0)</f>
        <v>15000</v>
      </c>
      <c r="AZ444" s="5">
        <f>IFERROR(VLOOKUP(IFERROR(VLOOKUP(D444,Mapa_Similitud!$A$2:$B$2000,2,FALSE()),D444),Hoja1!$A$2:$K$1000,9,FALSE()),0)</f>
        <v>0</v>
      </c>
      <c r="BA444" s="25">
        <f t="shared" si="174"/>
        <v>1.7910447761194031E-2</v>
      </c>
      <c r="BB444" s="25">
        <f t="shared" si="175"/>
        <v>0.10119402985074627</v>
      </c>
      <c r="BC444" s="25">
        <f t="shared" si="176"/>
        <v>1.8865671641791044</v>
      </c>
      <c r="BD444" s="25">
        <f t="shared" si="177"/>
        <v>3.522388059701493E-2</v>
      </c>
      <c r="BE444" s="25">
        <f t="shared" si="178"/>
        <v>0.82686567164179103</v>
      </c>
      <c r="BF444" s="25">
        <f t="shared" si="179"/>
        <v>0.9</v>
      </c>
      <c r="BG444" s="25">
        <f t="shared" si="180"/>
        <v>6.0769230769230766</v>
      </c>
      <c r="BH444" s="25">
        <f t="shared" si="181"/>
        <v>0.30769230769230771</v>
      </c>
      <c r="BI444" s="25">
        <f t="shared" si="182"/>
        <v>0.27156862745098037</v>
      </c>
      <c r="BJ444" s="25">
        <f t="shared" si="183"/>
        <v>7.5949367088607583E-2</v>
      </c>
      <c r="BK444" s="25">
        <f t="shared" si="184"/>
        <v>1.0727848101265822</v>
      </c>
      <c r="BL444" s="25">
        <f t="shared" si="185"/>
        <v>0.34925373134328358</v>
      </c>
      <c r="BM444" s="25">
        <f t="shared" si="186"/>
        <v>0.77313432835820894</v>
      </c>
      <c r="BN444" s="18" t="str">
        <f t="shared" si="192"/>
        <v>Baja fuente de proteína</v>
      </c>
      <c r="BO444" s="18" t="str">
        <f t="shared" si="193"/>
        <v>Alta fuente de fibra</v>
      </c>
      <c r="BP444" s="18" t="str">
        <f t="shared" si="194"/>
        <v>Alta fuente de calcio</v>
      </c>
      <c r="BQ444" s="18" t="str">
        <f t="shared" si="195"/>
        <v>Alta fuente de hierro</v>
      </c>
      <c r="BR444" s="18" t="str">
        <f t="shared" si="196"/>
        <v>Moderado en sodio</v>
      </c>
      <c r="BS444" s="6" t="str">
        <f t="shared" si="187"/>
        <v>Neutro</v>
      </c>
      <c r="BT444" s="6" t="str">
        <f t="shared" si="188"/>
        <v>Alto en grasas</v>
      </c>
      <c r="BU444" s="18" t="str">
        <f t="shared" si="197"/>
        <v>Equilibrio de líquidos ideal</v>
      </c>
      <c r="BV444" s="18" t="str">
        <f t="shared" si="198"/>
        <v>Alta fuente de magnesio</v>
      </c>
      <c r="BW444" s="18" t="str">
        <f t="shared" si="199"/>
        <v>Sin aporte de Omega 3</v>
      </c>
      <c r="BX444" s="18" t="str">
        <f t="shared" si="200"/>
        <v>Libre de grasas trans</v>
      </c>
      <c r="BY444" s="18" t="str">
        <f t="shared" si="201"/>
        <v>Alto poder antioxidante</v>
      </c>
      <c r="BZ444" s="6" t="str">
        <f t="shared" si="189"/>
        <v>Sin probióticos</v>
      </c>
      <c r="CA444" s="18" t="str">
        <f t="shared" si="202"/>
        <v>Antiinflamatorio</v>
      </c>
      <c r="CB444" s="18" t="str">
        <f>IF(ISNUMBER(SEARCH("miel", D444)), "No irritante (Uso condicionado SII)", IF(OR(J444&gt;0, ISNUMBER(SEARCH("cacao", D444)), ISNUMBER(SEARCH("chocolate puro", D444))), "Altamente irritante", IF(OR(AND(O444&gt;15, BI444&gt;1), ISNUMBER(SEARCH("chocolate", D444))), "Moderadamente irritante", "No irritante")))</f>
        <v>No irritante</v>
      </c>
      <c r="CC444" s="6" t="str">
        <f t="shared" si="190"/>
        <v>Exceso relativo de Omega 6</v>
      </c>
    </row>
    <row r="445" spans="1:81" ht="15" customHeight="1" x14ac:dyDescent="0.3">
      <c r="A445" s="2">
        <f t="shared" si="191"/>
        <v>444</v>
      </c>
      <c r="B445" s="3" t="s">
        <v>584</v>
      </c>
      <c r="C445" s="3" t="s">
        <v>585</v>
      </c>
      <c r="D445" s="3" t="s">
        <v>596</v>
      </c>
      <c r="E445" s="3"/>
      <c r="F445" s="4">
        <v>1.5</v>
      </c>
      <c r="G445" s="5">
        <v>1</v>
      </c>
      <c r="H445" s="5">
        <v>291</v>
      </c>
      <c r="I445" s="5">
        <v>12.9</v>
      </c>
      <c r="J445" s="5">
        <v>0</v>
      </c>
      <c r="K445" s="5">
        <v>9.6999999999999993</v>
      </c>
      <c r="L445" s="5">
        <v>44.4</v>
      </c>
      <c r="M445" s="5">
        <v>0</v>
      </c>
      <c r="N445" s="5">
        <v>3.2</v>
      </c>
      <c r="O445" s="5">
        <v>0</v>
      </c>
      <c r="P445" s="5">
        <v>22.7</v>
      </c>
      <c r="Q445" s="5">
        <v>3.3</v>
      </c>
      <c r="R445" s="5">
        <v>1.8</v>
      </c>
      <c r="S445" s="5">
        <v>0.45</v>
      </c>
      <c r="T445" s="5">
        <v>0.76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13.4</v>
      </c>
      <c r="AB445" s="5">
        <v>5.8000000000000003E-2</v>
      </c>
      <c r="AC445" s="5">
        <v>0.15</v>
      </c>
      <c r="AD445" s="5">
        <v>1.4</v>
      </c>
      <c r="AE445" s="5">
        <v>0.11</v>
      </c>
      <c r="AF445" s="5">
        <v>20</v>
      </c>
      <c r="AG445" s="5">
        <v>0</v>
      </c>
      <c r="AH445" s="5">
        <v>0.54</v>
      </c>
      <c r="AI445" s="5">
        <v>0</v>
      </c>
      <c r="AJ445" s="5">
        <v>0.7</v>
      </c>
      <c r="AK445" s="5">
        <v>168</v>
      </c>
      <c r="AL445" s="5">
        <v>299</v>
      </c>
      <c r="AM445" s="5">
        <v>55</v>
      </c>
      <c r="AN445" s="5">
        <v>0</v>
      </c>
      <c r="AO445" s="5">
        <v>4.5</v>
      </c>
      <c r="AP445" s="5">
        <v>208</v>
      </c>
      <c r="AQ445" s="5">
        <v>27</v>
      </c>
      <c r="AR445" s="5">
        <v>2080</v>
      </c>
      <c r="AS445" s="5">
        <v>19.8</v>
      </c>
      <c r="AT445" s="5">
        <v>1.3</v>
      </c>
      <c r="AU445" s="5">
        <v>0</v>
      </c>
      <c r="AV445" s="5">
        <f>IFERROR(VLOOKUP(IFERROR(VLOOKUP(D445,Mapa_Similitud!$A$2:$B$2000,2,FALSE()),D445),Hoja1!$A$2:$K$1000,2,FALSE()),IFERROR(VLOOKUP(IFERROR(VLOOKUP(D445,Mapa_Similitud!$A$2:$B$2000,2,FALSE()),D445),Omega3_Referencia!$A$2:$E$100,3,FALSE()),0))</f>
        <v>0.15</v>
      </c>
      <c r="AW445" s="3" t="str">
        <f>IFERROR(VLOOKUP(IFERROR(VLOOKUP(D445,Mapa_Similitud!$A$2:$B$2000,2,FALSE()),D445),Hoja1!$A$2:$K$1000,3,FALSE()),IFERROR(VLOOKUP(IFERROR(VLOOKUP(D445,Mapa_Similitud!$A$2:$B$2000,2,FALSE()),D445),Omega3_Referencia!$A$2:$E$100,4,FALSE()),"N/A"))</f>
        <v>ALA</v>
      </c>
      <c r="AX445" s="5">
        <f>IFERROR(VLOOKUP(IFERROR(VLOOKUP(D445,Mapa_Similitud!$A$2:$B$2000,2,FALSE()),D445),Hoja1!$A$2:$K$1000,5,FALSE()),0)</f>
        <v>0</v>
      </c>
      <c r="AY445" s="5">
        <f>IFERROR(VLOOKUP(IFERROR(VLOOKUP(D445,Mapa_Similitud!$A$2:$B$2000,2,FALSE()),D445),Hoja1!$A$2:$K$1000,7,FALSE()),0)</f>
        <v>2100</v>
      </c>
      <c r="AZ445" s="5">
        <f>IFERROR(VLOOKUP(IFERROR(VLOOKUP(D445,Mapa_Similitud!$A$2:$B$2000,2,FALSE()),D445),Hoja1!$A$2:$K$1000,9,FALSE()),0)</f>
        <v>0</v>
      </c>
      <c r="BA445" s="25">
        <f t="shared" si="174"/>
        <v>3.3333333333333333E-2</v>
      </c>
      <c r="BB445" s="25">
        <f t="shared" si="175"/>
        <v>7.8006872852233677E-2</v>
      </c>
      <c r="BC445" s="25">
        <f t="shared" si="176"/>
        <v>0.57731958762886593</v>
      </c>
      <c r="BD445" s="25">
        <f t="shared" si="177"/>
        <v>0.18900343642611683</v>
      </c>
      <c r="BE445" s="25">
        <f t="shared" si="178"/>
        <v>9.2783505154639179E-2</v>
      </c>
      <c r="BF445" s="25">
        <f t="shared" si="179"/>
        <v>0.42222222222222222</v>
      </c>
      <c r="BG445" s="25">
        <f t="shared" si="180"/>
        <v>0.56187290969899661</v>
      </c>
      <c r="BH445" s="25">
        <f t="shared" si="181"/>
        <v>0.54545454545454553</v>
      </c>
      <c r="BI445" s="25">
        <f t="shared" si="182"/>
        <v>1.2980769230769231E-2</v>
      </c>
      <c r="BJ445" s="25">
        <f t="shared" si="183"/>
        <v>7.2072072072072071E-2</v>
      </c>
      <c r="BK445" s="25">
        <f t="shared" si="184"/>
        <v>0.51126126126126126</v>
      </c>
      <c r="BL445" s="25">
        <f t="shared" si="185"/>
        <v>0.10206185567010309</v>
      </c>
      <c r="BM445" s="25">
        <f t="shared" si="186"/>
        <v>0.71477663230240551</v>
      </c>
      <c r="BN445" s="18" t="str">
        <f t="shared" si="192"/>
        <v>Baja fuente de proteína</v>
      </c>
      <c r="BO445" s="18" t="str">
        <f t="shared" si="193"/>
        <v>Alta fuente de fibra</v>
      </c>
      <c r="BP445" s="18" t="str">
        <f t="shared" si="194"/>
        <v>Baja fuente de calcio</v>
      </c>
      <c r="BQ445" s="18" t="str">
        <f t="shared" si="195"/>
        <v>Alta fuente de hierro</v>
      </c>
      <c r="BR445" s="18" t="str">
        <f t="shared" si="196"/>
        <v>Bajo en sodio</v>
      </c>
      <c r="BS445" s="6" t="str">
        <f t="shared" si="187"/>
        <v>Proinflamatorio</v>
      </c>
      <c r="BT445" s="6" t="str">
        <f t="shared" si="188"/>
        <v>Bajo en grasas</v>
      </c>
      <c r="BU445" s="18" t="str">
        <f t="shared" si="197"/>
        <v>Equilibrio de líquidos ideal</v>
      </c>
      <c r="BV445" s="18" t="str">
        <f t="shared" si="198"/>
        <v>Alta fuente de magnesio</v>
      </c>
      <c r="BW445" s="18" t="str">
        <f t="shared" si="199"/>
        <v>Ligera fuente de Omega 3</v>
      </c>
      <c r="BX445" s="18" t="str">
        <f t="shared" si="200"/>
        <v>Libre de grasas trans</v>
      </c>
      <c r="BY445" s="18" t="str">
        <f t="shared" si="201"/>
        <v>Alto poder antioxidante</v>
      </c>
      <c r="BZ445" s="6" t="str">
        <f t="shared" si="189"/>
        <v>Sin probióticos</v>
      </c>
      <c r="CA445" s="18" t="str">
        <f t="shared" si="202"/>
        <v>Antiinflamatorio</v>
      </c>
      <c r="CB445" s="18" t="str">
        <f>IF(ISNUMBER(SEARCH("miel", D445)), "No irritante (Uso condicionado SII)", IF(OR(J445&gt;0, ISNUMBER(SEARCH("cacao", D445)), ISNUMBER(SEARCH("chocolate puro", D445))), "Altamente irritante", IF(OR(AND(O445&gt;15, BI445&gt;1), ISNUMBER(SEARCH("chocolate", D445))), "Moderadamente irritante", "No irritante")))</f>
        <v>No irritante</v>
      </c>
      <c r="CC445" s="6" t="str">
        <f t="shared" si="190"/>
        <v>Exceso relativo de Omega 6</v>
      </c>
    </row>
    <row r="446" spans="1:81" ht="15" customHeight="1" x14ac:dyDescent="0.3">
      <c r="A446" s="2">
        <f t="shared" si="191"/>
        <v>445</v>
      </c>
      <c r="B446" s="3" t="s">
        <v>584</v>
      </c>
      <c r="C446" s="3" t="s">
        <v>585</v>
      </c>
      <c r="D446" s="3" t="s">
        <v>597</v>
      </c>
      <c r="E446" s="3"/>
      <c r="F446" s="4">
        <v>1.5</v>
      </c>
      <c r="G446" s="5">
        <v>1</v>
      </c>
      <c r="H446" s="5">
        <v>316</v>
      </c>
      <c r="I446" s="5">
        <v>7.3</v>
      </c>
      <c r="J446" s="5">
        <v>0</v>
      </c>
      <c r="K446" s="5">
        <v>20</v>
      </c>
      <c r="L446" s="5">
        <v>42.2</v>
      </c>
      <c r="M446" s="5">
        <v>0</v>
      </c>
      <c r="N446" s="5">
        <v>0</v>
      </c>
      <c r="O446" s="5">
        <v>0</v>
      </c>
      <c r="P446" s="5">
        <v>13.6</v>
      </c>
      <c r="Q446" s="5">
        <v>4.4000000000000004</v>
      </c>
      <c r="R446" s="5">
        <v>0.23</v>
      </c>
      <c r="S446" s="5">
        <v>0</v>
      </c>
      <c r="T446" s="5">
        <v>0</v>
      </c>
      <c r="U446" s="5">
        <v>0</v>
      </c>
      <c r="V446" s="5">
        <v>293</v>
      </c>
      <c r="W446" s="5">
        <v>0</v>
      </c>
      <c r="X446" s="5">
        <v>1758</v>
      </c>
      <c r="Y446" s="5">
        <v>0</v>
      </c>
      <c r="Z446" s="5">
        <v>0</v>
      </c>
      <c r="AA446" s="5">
        <v>0</v>
      </c>
      <c r="AB446" s="5">
        <v>0.42</v>
      </c>
      <c r="AC446" s="5">
        <v>0.28000000000000003</v>
      </c>
      <c r="AD446" s="5">
        <v>2.8</v>
      </c>
      <c r="AE446" s="5">
        <v>1.7</v>
      </c>
      <c r="AF446" s="5">
        <v>0</v>
      </c>
      <c r="AG446" s="5">
        <v>0</v>
      </c>
      <c r="AH446" s="5">
        <v>0</v>
      </c>
      <c r="AI446" s="5">
        <v>0</v>
      </c>
      <c r="AJ446" s="5">
        <v>50</v>
      </c>
      <c r="AK446" s="5">
        <v>1784</v>
      </c>
      <c r="AL446" s="5">
        <v>543</v>
      </c>
      <c r="AM446" s="5">
        <v>48.8</v>
      </c>
      <c r="AN446" s="5">
        <v>0</v>
      </c>
      <c r="AO446" s="5">
        <v>3.3</v>
      </c>
      <c r="AP446" s="5">
        <v>451</v>
      </c>
      <c r="AQ446" s="5">
        <v>208</v>
      </c>
      <c r="AR446" s="5">
        <v>3308</v>
      </c>
      <c r="AS446" s="5">
        <v>4</v>
      </c>
      <c r="AT446" s="5">
        <v>0.49</v>
      </c>
      <c r="AU446" s="5">
        <v>0</v>
      </c>
      <c r="AV446" s="5">
        <f>IFERROR(VLOOKUP(IFERROR(VLOOKUP(D446,Mapa_Similitud!$A$2:$B$2000,2,FALSE()),D446),Hoja1!$A$2:$K$1000,2,FALSE()),IFERROR(VLOOKUP(IFERROR(VLOOKUP(D446,Mapa_Similitud!$A$2:$B$2000,2,FALSE()),D446),Omega3_Referencia!$A$2:$E$100,3,FALSE()),0))</f>
        <v>0.15</v>
      </c>
      <c r="AW446" s="3" t="str">
        <f>IFERROR(VLOOKUP(IFERROR(VLOOKUP(D446,Mapa_Similitud!$A$2:$B$2000,2,FALSE()),D446),Hoja1!$A$2:$K$1000,3,FALSE()),IFERROR(VLOOKUP(IFERROR(VLOOKUP(D446,Mapa_Similitud!$A$2:$B$2000,2,FALSE()),D446),Omega3_Referencia!$A$2:$E$100,4,FALSE()),"N/A"))</f>
        <v>ALA</v>
      </c>
      <c r="AX446" s="5">
        <f>IFERROR(VLOOKUP(IFERROR(VLOOKUP(D446,Mapa_Similitud!$A$2:$B$2000,2,FALSE()),D446),Hoja1!$A$2:$K$1000,5,FALSE()),0)</f>
        <v>0</v>
      </c>
      <c r="AY446" s="5">
        <f>IFERROR(VLOOKUP(IFERROR(VLOOKUP(D446,Mapa_Similitud!$A$2:$B$2000,2,FALSE()),D446),Hoja1!$A$2:$K$1000,7,FALSE()),0)</f>
        <v>2100</v>
      </c>
      <c r="AZ446" s="5">
        <f>IFERROR(VLOOKUP(IFERROR(VLOOKUP(D446,Mapa_Similitud!$A$2:$B$2000,2,FALSE()),D446),Hoja1!$A$2:$K$1000,9,FALSE()),0)</f>
        <v>0</v>
      </c>
      <c r="BA446" s="25">
        <f t="shared" si="174"/>
        <v>6.3291139240506333E-2</v>
      </c>
      <c r="BB446" s="25">
        <f t="shared" si="175"/>
        <v>4.3037974683544304E-2</v>
      </c>
      <c r="BC446" s="25">
        <f t="shared" si="176"/>
        <v>5.6455696202531644</v>
      </c>
      <c r="BD446" s="25">
        <f t="shared" si="177"/>
        <v>0.15443037974683543</v>
      </c>
      <c r="BE446" s="25">
        <f t="shared" si="178"/>
        <v>0.65822784810126578</v>
      </c>
      <c r="BF446" s="25">
        <f t="shared" si="179"/>
        <v>0</v>
      </c>
      <c r="BG446" s="25">
        <f t="shared" si="180"/>
        <v>3.285451197053407</v>
      </c>
      <c r="BH446" s="25">
        <f t="shared" si="181"/>
        <v>5.2272727272727269E-2</v>
      </c>
      <c r="BI446" s="25">
        <f t="shared" si="182"/>
        <v>6.2877871825876661E-2</v>
      </c>
      <c r="BJ446" s="25">
        <f t="shared" si="183"/>
        <v>0</v>
      </c>
      <c r="BK446" s="25">
        <f t="shared" si="184"/>
        <v>0.32227488151658767</v>
      </c>
      <c r="BL446" s="25">
        <f t="shared" si="185"/>
        <v>0.12531645569620253</v>
      </c>
      <c r="BM446" s="25">
        <f t="shared" si="186"/>
        <v>1.4272151898734178</v>
      </c>
      <c r="BN446" s="18" t="str">
        <f t="shared" si="192"/>
        <v>Baja fuente de proteína</v>
      </c>
      <c r="BO446" s="18" t="str">
        <f t="shared" si="193"/>
        <v>Alta fuente de fibra</v>
      </c>
      <c r="BP446" s="18" t="str">
        <f t="shared" si="194"/>
        <v>Alta fuente de calcio</v>
      </c>
      <c r="BQ446" s="18" t="str">
        <f t="shared" si="195"/>
        <v>Alta fuente de hierro</v>
      </c>
      <c r="BR446" s="18" t="str">
        <f t="shared" si="196"/>
        <v>Moderado en sodio</v>
      </c>
      <c r="BS446" s="6" t="str">
        <f t="shared" si="187"/>
        <v>Proinflamatorio</v>
      </c>
      <c r="BT446" s="6" t="str">
        <f t="shared" si="188"/>
        <v>Bajo en grasas</v>
      </c>
      <c r="BU446" s="18" t="str">
        <f t="shared" si="197"/>
        <v>Equilibrio de líquidos ideal</v>
      </c>
      <c r="BV446" s="18" t="str">
        <f t="shared" si="198"/>
        <v>Alta fuente de magnesio</v>
      </c>
      <c r="BW446" s="18" t="str">
        <f t="shared" si="199"/>
        <v>Ligera fuente de Omega 3</v>
      </c>
      <c r="BX446" s="18" t="str">
        <f t="shared" si="200"/>
        <v>Libre de grasas trans</v>
      </c>
      <c r="BY446" s="18" t="str">
        <f t="shared" si="201"/>
        <v>Alto poder antioxidante</v>
      </c>
      <c r="BZ446" s="6" t="str">
        <f t="shared" si="189"/>
        <v>Sin probióticos</v>
      </c>
      <c r="CA446" s="18" t="str">
        <f t="shared" si="202"/>
        <v>Antiinflamatorio</v>
      </c>
      <c r="CB446" s="18" t="str">
        <f>IF(ISNUMBER(SEARCH("miel", D446)), "No irritante (Uso condicionado SII)", IF(OR(J446&gt;0, ISNUMBER(SEARCH("cacao", D446)), ISNUMBER(SEARCH("chocolate puro", D446))), "Altamente irritante", IF(OR(AND(O446&gt;15, BI446&gt;1), ISNUMBER(SEARCH("chocolate", D446))), "Moderadamente irritante", "No irritante")))</f>
        <v>No irritante</v>
      </c>
      <c r="CC446" s="6" t="str">
        <f t="shared" si="190"/>
        <v>Balance de omegas favorable</v>
      </c>
    </row>
    <row r="447" spans="1:81" ht="15" customHeight="1" x14ac:dyDescent="0.3">
      <c r="A447" s="2">
        <f t="shared" si="191"/>
        <v>446</v>
      </c>
      <c r="B447" s="3" t="s">
        <v>584</v>
      </c>
      <c r="C447" s="3" t="s">
        <v>585</v>
      </c>
      <c r="D447" s="3" t="s">
        <v>598</v>
      </c>
      <c r="E447" s="3"/>
      <c r="F447" s="4">
        <v>1.5</v>
      </c>
      <c r="G447" s="5">
        <v>1</v>
      </c>
      <c r="H447" s="5">
        <v>89.7</v>
      </c>
      <c r="I447" s="5">
        <v>84.7</v>
      </c>
      <c r="J447" s="5">
        <v>0</v>
      </c>
      <c r="K447" s="5">
        <v>2.7</v>
      </c>
      <c r="L447" s="5">
        <v>0.14000000000000001</v>
      </c>
      <c r="M447" s="5">
        <v>0.14000000000000001</v>
      </c>
      <c r="N447" s="5">
        <v>0</v>
      </c>
      <c r="O447" s="5">
        <v>0</v>
      </c>
      <c r="P447" s="5">
        <v>0</v>
      </c>
      <c r="Q447" s="5">
        <v>8.6999999999999993</v>
      </c>
      <c r="R447" s="5">
        <v>1.3</v>
      </c>
      <c r="S447" s="5">
        <v>3.3</v>
      </c>
      <c r="T447" s="5">
        <v>3.8</v>
      </c>
      <c r="U447" s="5">
        <v>0</v>
      </c>
      <c r="V447" s="5">
        <v>0.15</v>
      </c>
      <c r="W447" s="5">
        <v>0</v>
      </c>
      <c r="X447" s="5">
        <v>0</v>
      </c>
      <c r="Y447" s="5">
        <v>0</v>
      </c>
      <c r="Z447" s="5">
        <v>0.38</v>
      </c>
      <c r="AA447" s="5">
        <v>0</v>
      </c>
      <c r="AB447" s="5">
        <v>0.14000000000000001</v>
      </c>
      <c r="AC447" s="5">
        <v>0.03</v>
      </c>
      <c r="AD447" s="5">
        <v>1.6</v>
      </c>
      <c r="AE447" s="5">
        <v>0.11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102</v>
      </c>
      <c r="AL447" s="5">
        <v>108</v>
      </c>
      <c r="AM447" s="5">
        <v>1.6</v>
      </c>
      <c r="AN447" s="5">
        <v>0</v>
      </c>
      <c r="AO447" s="5">
        <v>0.8</v>
      </c>
      <c r="AP447" s="5">
        <v>56.2</v>
      </c>
      <c r="AQ447" s="5">
        <v>353</v>
      </c>
      <c r="AR447" s="5">
        <v>86.1</v>
      </c>
      <c r="AS447" s="5">
        <v>0</v>
      </c>
      <c r="AT447" s="5">
        <v>0</v>
      </c>
      <c r="AU447" s="5">
        <v>0</v>
      </c>
      <c r="AV447" s="5">
        <f>IFERROR(VLOOKUP(IFERROR(VLOOKUP(D447,Mapa_Similitud!$A$2:$B$2000,2,FALSE()),D447),Hoja1!$A$2:$K$1000,2,FALSE()),IFERROR(VLOOKUP(IFERROR(VLOOKUP(D447,Mapa_Similitud!$A$2:$B$2000,2,FALSE()),D447),Omega3_Referencia!$A$2:$E$100,3,FALSE()),0))</f>
        <v>0.08</v>
      </c>
      <c r="AW447" s="3" t="str">
        <f>IFERROR(VLOOKUP(IFERROR(VLOOKUP(D447,Mapa_Similitud!$A$2:$B$2000,2,FALSE()),D447),Hoja1!$A$2:$K$1000,3,FALSE()),IFERROR(VLOOKUP(IFERROR(VLOOKUP(D447,Mapa_Similitud!$A$2:$B$2000,2,FALSE()),D447),Omega3_Referencia!$A$2:$E$100,4,FALSE()),"N/A"))</f>
        <v>ALA</v>
      </c>
      <c r="AX447" s="5">
        <f>IFERROR(VLOOKUP(IFERROR(VLOOKUP(D447,Mapa_Similitud!$A$2:$B$2000,2,FALSE()),D447),Hoja1!$A$2:$K$1000,5,FALSE()),0)</f>
        <v>0</v>
      </c>
      <c r="AY447" s="5">
        <f>IFERROR(VLOOKUP(IFERROR(VLOOKUP(D447,Mapa_Similitud!$A$2:$B$2000,2,FALSE()),D447),Hoja1!$A$2:$K$1000,7,FALSE()),0)</f>
        <v>600</v>
      </c>
      <c r="AZ447" s="5">
        <f>IFERROR(VLOOKUP(IFERROR(VLOOKUP(D447,Mapa_Similitud!$A$2:$B$2000,2,FALSE()),D447),Hoja1!$A$2:$K$1000,9,FALSE()),0)</f>
        <v>0</v>
      </c>
      <c r="BA447" s="25">
        <f t="shared" si="174"/>
        <v>3.0100334448160536E-2</v>
      </c>
      <c r="BB447" s="25">
        <f t="shared" si="175"/>
        <v>0</v>
      </c>
      <c r="BC447" s="25">
        <f t="shared" si="176"/>
        <v>1.1371237458193979</v>
      </c>
      <c r="BD447" s="25">
        <f t="shared" si="177"/>
        <v>1.7837235228539576E-2</v>
      </c>
      <c r="BE447" s="25">
        <f t="shared" si="178"/>
        <v>3.9353400222965438</v>
      </c>
      <c r="BF447" s="25">
        <f t="shared" si="179"/>
        <v>2.9230769230769229</v>
      </c>
      <c r="BG447" s="25">
        <f t="shared" si="180"/>
        <v>0.94444444444444442</v>
      </c>
      <c r="BH447" s="25">
        <f t="shared" si="181"/>
        <v>0.14942528735632185</v>
      </c>
      <c r="BI447" s="25">
        <f t="shared" si="182"/>
        <v>4.0998838559814175</v>
      </c>
      <c r="BJ447" s="25">
        <f t="shared" si="183"/>
        <v>0</v>
      </c>
      <c r="BK447" s="25">
        <f t="shared" si="184"/>
        <v>0</v>
      </c>
      <c r="BL447" s="25">
        <f t="shared" si="185"/>
        <v>0.87290969899665549</v>
      </c>
      <c r="BM447" s="25">
        <f t="shared" si="186"/>
        <v>0.62653288740245261</v>
      </c>
      <c r="BN447" s="18" t="str">
        <f t="shared" si="192"/>
        <v>Baja fuente de proteína</v>
      </c>
      <c r="BO447" s="18" t="str">
        <f t="shared" si="193"/>
        <v>Baja fuente de fibra</v>
      </c>
      <c r="BP447" s="18" t="str">
        <f t="shared" si="194"/>
        <v>Media fuente de calcio</v>
      </c>
      <c r="BQ447" s="18" t="str">
        <f t="shared" si="195"/>
        <v>Alta fuente de hierro</v>
      </c>
      <c r="BR447" s="18" t="str">
        <f t="shared" si="196"/>
        <v>Muy alto en sodio</v>
      </c>
      <c r="BS447" s="6" t="str">
        <f t="shared" si="187"/>
        <v>Altamente antiinflamatorio</v>
      </c>
      <c r="BT447" s="6" t="str">
        <f t="shared" si="188"/>
        <v>Muy alto en grasas</v>
      </c>
      <c r="BU447" s="18" t="str">
        <f t="shared" si="197"/>
        <v>Alto riesgo de retención de líquidos</v>
      </c>
      <c r="BV447" s="18" t="str">
        <f t="shared" si="198"/>
        <v>Alta fuente de magnesio</v>
      </c>
      <c r="BW447" s="18" t="str">
        <f t="shared" si="199"/>
        <v>Sin aporte de Omega 3</v>
      </c>
      <c r="BX447" s="18" t="str">
        <f t="shared" si="200"/>
        <v>Libre de grasas trans</v>
      </c>
      <c r="BY447" s="18" t="str">
        <f t="shared" si="201"/>
        <v>Alto poder antioxidante</v>
      </c>
      <c r="BZ447" s="6" t="str">
        <f t="shared" si="189"/>
        <v>Sin probióticos</v>
      </c>
      <c r="CA447" s="18" t="str">
        <f t="shared" si="202"/>
        <v>Antiinflamatorio</v>
      </c>
      <c r="CB447" s="18" t="str">
        <f>IF(ISNUMBER(SEARCH("miel", D447)), "No irritante (Uso condicionado SII)", IF(OR(J447&gt;0, ISNUMBER(SEARCH("cacao", D447)), ISNUMBER(SEARCH("chocolate puro", D447))), "Altamente irritante", IF(OR(AND(O447&gt;15, BI447&gt;1), ISNUMBER(SEARCH("chocolate", D447))), "Moderadamente irritante", "No irritante")))</f>
        <v>No irritante</v>
      </c>
      <c r="CC447" s="6" t="str">
        <f t="shared" si="190"/>
        <v>Exceso relativo de Omega 6</v>
      </c>
    </row>
    <row r="448" spans="1:81" ht="15" customHeight="1" x14ac:dyDescent="0.3">
      <c r="A448" s="2">
        <f t="shared" si="191"/>
        <v>447</v>
      </c>
      <c r="B448" s="3" t="s">
        <v>584</v>
      </c>
      <c r="C448" s="3" t="s">
        <v>585</v>
      </c>
      <c r="D448" s="3" t="s">
        <v>599</v>
      </c>
      <c r="E448" s="3"/>
      <c r="F448" s="4">
        <v>1.5</v>
      </c>
      <c r="G448" s="5">
        <v>0.95</v>
      </c>
      <c r="H448" s="5">
        <v>47.3</v>
      </c>
      <c r="I448" s="5">
        <v>88.8</v>
      </c>
      <c r="J448" s="5">
        <v>0</v>
      </c>
      <c r="K448" s="5">
        <v>1.9</v>
      </c>
      <c r="L448" s="5">
        <v>6.7</v>
      </c>
      <c r="M448" s="5">
        <v>1.4</v>
      </c>
      <c r="N448" s="5">
        <v>5.3</v>
      </c>
      <c r="O448" s="5">
        <v>0</v>
      </c>
      <c r="P448" s="5">
        <v>1.5</v>
      </c>
      <c r="Q448" s="5">
        <v>1.1000000000000001</v>
      </c>
      <c r="R448" s="5">
        <v>0.11</v>
      </c>
      <c r="S448" s="5">
        <v>6.0999999999999999E-2</v>
      </c>
      <c r="T448" s="5">
        <v>0.6</v>
      </c>
      <c r="U448" s="5">
        <v>0</v>
      </c>
      <c r="V448" s="5">
        <v>95.3</v>
      </c>
      <c r="W448" s="5">
        <v>0</v>
      </c>
      <c r="X448" s="5">
        <v>572</v>
      </c>
      <c r="Y448" s="5">
        <v>0</v>
      </c>
      <c r="Z448" s="5">
        <v>0.69</v>
      </c>
      <c r="AA448" s="5">
        <v>14</v>
      </c>
      <c r="AB448" s="5">
        <v>7.1999999999999995E-2</v>
      </c>
      <c r="AC448" s="5">
        <v>8.5999999999999993E-2</v>
      </c>
      <c r="AD448" s="5">
        <v>1.7</v>
      </c>
      <c r="AE448" s="5">
        <v>0.51</v>
      </c>
      <c r="AF448" s="5">
        <v>23</v>
      </c>
      <c r="AG448" s="5">
        <v>0</v>
      </c>
      <c r="AH448" s="5">
        <v>0.2</v>
      </c>
      <c r="AI448" s="5">
        <v>0</v>
      </c>
      <c r="AJ448" s="5">
        <v>144</v>
      </c>
      <c r="AK448" s="5">
        <v>14</v>
      </c>
      <c r="AL448" s="5">
        <v>43</v>
      </c>
      <c r="AM448" s="5">
        <v>1</v>
      </c>
      <c r="AN448" s="5">
        <v>0</v>
      </c>
      <c r="AO448" s="5">
        <v>0.26</v>
      </c>
      <c r="AP448" s="5">
        <v>23</v>
      </c>
      <c r="AQ448" s="5">
        <v>9</v>
      </c>
      <c r="AR448" s="5">
        <v>322</v>
      </c>
      <c r="AS448" s="5">
        <v>0.19</v>
      </c>
      <c r="AT448" s="5">
        <v>0.13</v>
      </c>
      <c r="AU448" s="5">
        <v>0.5</v>
      </c>
      <c r="AV448" s="5">
        <f>IFERROR(VLOOKUP(IFERROR(VLOOKUP(D448,Mapa_Similitud!$A$2:$B$2000,2,FALSE()),D448),Hoja1!$A$2:$K$1000,2,FALSE()),IFERROR(VLOOKUP(IFERROR(VLOOKUP(D448,Mapa_Similitud!$A$2:$B$2000,2,FALSE()),D448),Omega3_Referencia!$A$2:$E$100,3,FALSE()),0))</f>
        <v>0.08</v>
      </c>
      <c r="AW448" s="3" t="str">
        <f>IFERROR(VLOOKUP(IFERROR(VLOOKUP(D448,Mapa_Similitud!$A$2:$B$2000,2,FALSE()),D448),Hoja1!$A$2:$K$1000,3,FALSE()),IFERROR(VLOOKUP(IFERROR(VLOOKUP(D448,Mapa_Similitud!$A$2:$B$2000,2,FALSE()),D448),Omega3_Referencia!$A$2:$E$100,4,FALSE()),"N/A"))</f>
        <v>ALA</v>
      </c>
      <c r="AX448" s="5">
        <f>IFERROR(VLOOKUP(IFERROR(VLOOKUP(D448,Mapa_Similitud!$A$2:$B$2000,2,FALSE()),D448),Hoja1!$A$2:$K$1000,5,FALSE()),0)</f>
        <v>0</v>
      </c>
      <c r="AY448" s="5">
        <f>IFERROR(VLOOKUP(IFERROR(VLOOKUP(D448,Mapa_Similitud!$A$2:$B$2000,2,FALSE()),D448),Hoja1!$A$2:$K$1000,7,FALSE()),0)</f>
        <v>600</v>
      </c>
      <c r="AZ448" s="5">
        <f>IFERROR(VLOOKUP(IFERROR(VLOOKUP(D448,Mapa_Similitud!$A$2:$B$2000,2,FALSE()),D448),Hoja1!$A$2:$K$1000,9,FALSE()),0)</f>
        <v>0</v>
      </c>
      <c r="BA448" s="25">
        <f t="shared" si="174"/>
        <v>4.016913319238901E-2</v>
      </c>
      <c r="BB448" s="25">
        <f t="shared" si="175"/>
        <v>3.1712473572938694E-2</v>
      </c>
      <c r="BC448" s="25">
        <f t="shared" si="176"/>
        <v>0.29598308668076112</v>
      </c>
      <c r="BD448" s="25">
        <f t="shared" si="177"/>
        <v>2.1141649048625793E-2</v>
      </c>
      <c r="BE448" s="25">
        <f t="shared" si="178"/>
        <v>0.19027484143763215</v>
      </c>
      <c r="BF448" s="25">
        <f t="shared" si="179"/>
        <v>5.4545454545454541</v>
      </c>
      <c r="BG448" s="25">
        <f t="shared" si="180"/>
        <v>0.32558139534883723</v>
      </c>
      <c r="BH448" s="25">
        <f t="shared" si="181"/>
        <v>9.9999999999999992E-2</v>
      </c>
      <c r="BI448" s="25">
        <f t="shared" si="182"/>
        <v>2.7950310559006212E-2</v>
      </c>
      <c r="BJ448" s="25">
        <f t="shared" si="183"/>
        <v>0.79104477611940294</v>
      </c>
      <c r="BK448" s="25">
        <f t="shared" si="184"/>
        <v>0.22388059701492538</v>
      </c>
      <c r="BL448" s="25">
        <f t="shared" si="185"/>
        <v>0.20930232558139536</v>
      </c>
      <c r="BM448" s="25">
        <f t="shared" si="186"/>
        <v>0.48625792811839325</v>
      </c>
      <c r="BN448" s="18" t="str">
        <f t="shared" si="192"/>
        <v>Baja fuente de proteína</v>
      </c>
      <c r="BO448" s="18" t="str">
        <f t="shared" si="193"/>
        <v>Alta fuente de fibra</v>
      </c>
      <c r="BP448" s="18" t="str">
        <f t="shared" si="194"/>
        <v>Baja fuente de calcio</v>
      </c>
      <c r="BQ448" s="18" t="str">
        <f t="shared" si="195"/>
        <v>Alta fuente de hierro</v>
      </c>
      <c r="BR448" s="18" t="str">
        <f t="shared" si="196"/>
        <v>Bajo en sodio</v>
      </c>
      <c r="BS448" s="6" t="str">
        <f t="shared" si="187"/>
        <v>Altamente antiinflamatorio</v>
      </c>
      <c r="BT448" s="6" t="str">
        <f t="shared" si="188"/>
        <v>Moderado en grasas</v>
      </c>
      <c r="BU448" s="18" t="str">
        <f t="shared" si="197"/>
        <v>Equilibrio de líquidos ideal</v>
      </c>
      <c r="BV448" s="18" t="str">
        <f t="shared" si="198"/>
        <v>Media fuente de magnesio</v>
      </c>
      <c r="BW448" s="18" t="str">
        <f t="shared" si="199"/>
        <v>Sin aporte de Omega 3</v>
      </c>
      <c r="BX448" s="18" t="str">
        <f t="shared" si="200"/>
        <v>Libre de grasas trans</v>
      </c>
      <c r="BY448" s="18" t="str">
        <f t="shared" si="201"/>
        <v>Alto poder antioxidante</v>
      </c>
      <c r="BZ448" s="6" t="str">
        <f t="shared" si="189"/>
        <v>Sin probióticos</v>
      </c>
      <c r="CA448" s="18" t="str">
        <f t="shared" si="202"/>
        <v>Antiinflamatorio</v>
      </c>
      <c r="CB448" s="18" t="str">
        <f>IF(ISNUMBER(SEARCH("miel", D448)), "No irritante (Uso condicionado SII)", IF(OR(J448&gt;0, ISNUMBER(SEARCH("cacao", D448)), ISNUMBER(SEARCH("chocolate puro", D448))), "Altamente irritante", IF(OR(AND(O448&gt;15, BI448&gt;1), ISNUMBER(SEARCH("chocolate", D448))), "Moderadamente irritante", "No irritante")))</f>
        <v>No irritante</v>
      </c>
      <c r="CC448" s="6" t="str">
        <f t="shared" si="190"/>
        <v>Exceso relativo de Omega 6</v>
      </c>
    </row>
    <row r="449" spans="1:81" ht="15" customHeight="1" x14ac:dyDescent="0.3">
      <c r="A449" s="2">
        <f t="shared" si="191"/>
        <v>448</v>
      </c>
      <c r="B449" s="3" t="s">
        <v>584</v>
      </c>
      <c r="C449" s="3" t="s">
        <v>585</v>
      </c>
      <c r="D449" s="3" t="s">
        <v>600</v>
      </c>
      <c r="E449" s="3"/>
      <c r="F449" s="4">
        <v>1.5</v>
      </c>
      <c r="G449" s="5">
        <v>1</v>
      </c>
      <c r="H449" s="5">
        <v>20.2</v>
      </c>
      <c r="I449" s="5">
        <v>93.3</v>
      </c>
      <c r="J449" s="5">
        <v>0</v>
      </c>
      <c r="K449" s="5">
        <v>1.1000000000000001</v>
      </c>
      <c r="L449" s="5">
        <v>2.2999999999999998</v>
      </c>
      <c r="M449" s="5">
        <v>0.15</v>
      </c>
      <c r="N449" s="5">
        <v>2.2000000000000002</v>
      </c>
      <c r="O449" s="5">
        <v>0</v>
      </c>
      <c r="P449" s="5">
        <v>3.3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5.3</v>
      </c>
      <c r="W449" s="5">
        <v>0</v>
      </c>
      <c r="X449" s="5">
        <v>32</v>
      </c>
      <c r="Y449" s="5">
        <v>0</v>
      </c>
      <c r="Z449" s="5">
        <v>0.9</v>
      </c>
      <c r="AA449" s="5">
        <v>62.8</v>
      </c>
      <c r="AB449" s="5">
        <v>0.08</v>
      </c>
      <c r="AC449" s="5">
        <v>0.02</v>
      </c>
      <c r="AD449" s="5">
        <v>0.68</v>
      </c>
      <c r="AE449" s="5">
        <v>0.06</v>
      </c>
      <c r="AF449" s="5">
        <v>0</v>
      </c>
      <c r="AG449" s="5">
        <v>0</v>
      </c>
      <c r="AH449" s="5">
        <v>0</v>
      </c>
      <c r="AI449" s="5">
        <v>0</v>
      </c>
      <c r="AJ449" s="5">
        <v>8</v>
      </c>
      <c r="AK449" s="5">
        <v>37</v>
      </c>
      <c r="AL449" s="5">
        <v>38</v>
      </c>
      <c r="AM449" s="5">
        <v>0.5</v>
      </c>
      <c r="AN449" s="5">
        <v>0</v>
      </c>
      <c r="AO449" s="5">
        <v>0.5</v>
      </c>
      <c r="AP449" s="5">
        <v>12</v>
      </c>
      <c r="AQ449" s="5">
        <v>15</v>
      </c>
      <c r="AR449" s="5">
        <v>473</v>
      </c>
      <c r="AS449" s="5">
        <v>0</v>
      </c>
      <c r="AT449" s="5">
        <v>0</v>
      </c>
      <c r="AU449" s="5">
        <v>0</v>
      </c>
      <c r="AV449" s="5">
        <f>IFERROR(VLOOKUP(IFERROR(VLOOKUP(D449,Mapa_Similitud!$A$2:$B$2000,2,FALSE()),D449),Hoja1!$A$2:$K$1000,2,FALSE()),IFERROR(VLOOKUP(IFERROR(VLOOKUP(D449,Mapa_Similitud!$A$2:$B$2000,2,FALSE()),D449),Omega3_Referencia!$A$2:$E$100,3,FALSE()),0))</f>
        <v>0.05</v>
      </c>
      <c r="AW449" s="3" t="str">
        <f>IFERROR(VLOOKUP(IFERROR(VLOOKUP(D449,Mapa_Similitud!$A$2:$B$2000,2,FALSE()),D449),Hoja1!$A$2:$K$1000,3,FALSE()),IFERROR(VLOOKUP(IFERROR(VLOOKUP(D449,Mapa_Similitud!$A$2:$B$2000,2,FALSE()),D449),Omega3_Referencia!$A$2:$E$100,4,FALSE()),"N/A"))</f>
        <v>ALA</v>
      </c>
      <c r="AX449" s="5">
        <f>IFERROR(VLOOKUP(IFERROR(VLOOKUP(D449,Mapa_Similitud!$A$2:$B$2000,2,FALSE()),D449),Hoja1!$A$2:$K$1000,5,FALSE()),0)</f>
        <v>0</v>
      </c>
      <c r="AY449" s="5">
        <f>IFERROR(VLOOKUP(IFERROR(VLOOKUP(D449,Mapa_Similitud!$A$2:$B$2000,2,FALSE()),D449),Hoja1!$A$2:$K$1000,7,FALSE()),0)</f>
        <v>900</v>
      </c>
      <c r="AZ449" s="5">
        <f>IFERROR(VLOOKUP(IFERROR(VLOOKUP(D449,Mapa_Similitud!$A$2:$B$2000,2,FALSE()),D449),Hoja1!$A$2:$K$1000,9,FALSE()),0)</f>
        <v>0</v>
      </c>
      <c r="BA449" s="25">
        <f t="shared" si="174"/>
        <v>5.4455445544554462E-2</v>
      </c>
      <c r="BB449" s="25">
        <f t="shared" si="175"/>
        <v>0.16336633663366337</v>
      </c>
      <c r="BC449" s="25">
        <f t="shared" si="176"/>
        <v>1.8316831683168318</v>
      </c>
      <c r="BD449" s="25">
        <f t="shared" si="177"/>
        <v>2.4752475247524754E-2</v>
      </c>
      <c r="BE449" s="25">
        <f t="shared" si="178"/>
        <v>0.74257425742574257</v>
      </c>
      <c r="BF449" s="25">
        <f t="shared" si="179"/>
        <v>0</v>
      </c>
      <c r="BG449" s="25">
        <f t="shared" si="180"/>
        <v>0.97368421052631582</v>
      </c>
      <c r="BH449" s="25">
        <f t="shared" si="181"/>
        <v>0</v>
      </c>
      <c r="BI449" s="25">
        <f t="shared" si="182"/>
        <v>3.1712473572938688E-2</v>
      </c>
      <c r="BJ449" s="25">
        <f t="shared" si="183"/>
        <v>0.95652173913043492</v>
      </c>
      <c r="BK449" s="25">
        <f t="shared" si="184"/>
        <v>1.4347826086956521</v>
      </c>
      <c r="BL449" s="25">
        <f t="shared" si="185"/>
        <v>0</v>
      </c>
      <c r="BM449" s="25">
        <f t="shared" si="186"/>
        <v>0.59405940594059403</v>
      </c>
      <c r="BN449" s="18" t="str">
        <f t="shared" si="192"/>
        <v>Baja fuente de proteína</v>
      </c>
      <c r="BO449" s="18" t="str">
        <f t="shared" si="193"/>
        <v>Alta fuente de fibra</v>
      </c>
      <c r="BP449" s="18" t="str">
        <f t="shared" si="194"/>
        <v>Alta fuente de calcio</v>
      </c>
      <c r="BQ449" s="18" t="str">
        <f t="shared" si="195"/>
        <v>Alta fuente de hierro</v>
      </c>
      <c r="BR449" s="18" t="str">
        <f t="shared" si="196"/>
        <v>Moderado en sodio</v>
      </c>
      <c r="BS449" s="6" t="str">
        <f t="shared" si="187"/>
        <v>Proinflamatorio</v>
      </c>
      <c r="BT449" s="6" t="str">
        <f t="shared" si="188"/>
        <v>Bajo en grasas</v>
      </c>
      <c r="BU449" s="18" t="str">
        <f t="shared" si="197"/>
        <v>Equilibrio de líquidos ideal</v>
      </c>
      <c r="BV449" s="18" t="str">
        <f t="shared" si="198"/>
        <v>Alta fuente de magnesio</v>
      </c>
      <c r="BW449" s="18" t="str">
        <f t="shared" si="199"/>
        <v>Sin aporte de Omega 3</v>
      </c>
      <c r="BX449" s="18" t="str">
        <f t="shared" si="200"/>
        <v>Libre de grasas trans</v>
      </c>
      <c r="BY449" s="18" t="str">
        <f t="shared" si="201"/>
        <v>Alto poder antioxidante</v>
      </c>
      <c r="BZ449" s="6" t="str">
        <f t="shared" si="189"/>
        <v>Sin probióticos</v>
      </c>
      <c r="CA449" s="18" t="str">
        <f t="shared" si="202"/>
        <v>Antiinflamatorio</v>
      </c>
      <c r="CB449" s="18" t="str">
        <f>IF(ISNUMBER(SEARCH("miel", D449)), "No irritante (Uso condicionado SII)", IF(OR(J449&gt;0, ISNUMBER(SEARCH("cacao", D449)), ISNUMBER(SEARCH("chocolate puro", D449))), "Altamente irritante", IF(OR(AND(O449&gt;15, BI449&gt;1), ISNUMBER(SEARCH("chocolate", D449))), "Moderadamente irritante", "No irritante")))</f>
        <v>No irritante</v>
      </c>
      <c r="CC449" s="6" t="str">
        <f t="shared" si="190"/>
        <v>Balance de omegas favorable</v>
      </c>
    </row>
    <row r="450" spans="1:81" ht="15" customHeight="1" x14ac:dyDescent="0.3">
      <c r="A450" s="2">
        <f t="shared" si="191"/>
        <v>449</v>
      </c>
      <c r="B450" s="3" t="s">
        <v>584</v>
      </c>
      <c r="C450" s="3" t="s">
        <v>585</v>
      </c>
      <c r="D450" s="3" t="s">
        <v>601</v>
      </c>
      <c r="E450" s="3"/>
      <c r="F450" s="4">
        <v>1.5</v>
      </c>
      <c r="G450" s="5">
        <v>1</v>
      </c>
      <c r="H450" s="5">
        <v>32.9</v>
      </c>
      <c r="I450" s="5">
        <v>90.9</v>
      </c>
      <c r="J450" s="5">
        <v>0</v>
      </c>
      <c r="K450" s="5">
        <v>1.1000000000000001</v>
      </c>
      <c r="L450" s="5">
        <v>3.4</v>
      </c>
      <c r="M450" s="5">
        <v>2</v>
      </c>
      <c r="N450" s="5">
        <v>1</v>
      </c>
      <c r="O450" s="5">
        <v>0</v>
      </c>
      <c r="P450" s="5">
        <v>2.7</v>
      </c>
      <c r="Q450" s="5">
        <v>1.1000000000000001</v>
      </c>
      <c r="R450" s="5">
        <v>0.09</v>
      </c>
      <c r="S450" s="5">
        <v>0.8</v>
      </c>
      <c r="T450" s="5">
        <v>0.13</v>
      </c>
      <c r="U450" s="5">
        <v>0</v>
      </c>
      <c r="V450" s="5">
        <v>0</v>
      </c>
      <c r="W450" s="5">
        <v>0</v>
      </c>
      <c r="X450" s="5">
        <v>0</v>
      </c>
      <c r="Y450" s="5">
        <v>0.25</v>
      </c>
      <c r="Z450" s="5">
        <v>0.75</v>
      </c>
      <c r="AA450" s="5">
        <v>0.8</v>
      </c>
      <c r="AB450" s="5">
        <v>1.7999999999999999E-2</v>
      </c>
      <c r="AC450" s="5">
        <v>0.01</v>
      </c>
      <c r="AD450" s="5">
        <v>0.1</v>
      </c>
      <c r="AE450" s="5">
        <v>0.1</v>
      </c>
      <c r="AF450" s="5">
        <v>11.8</v>
      </c>
      <c r="AG450" s="5">
        <v>0</v>
      </c>
      <c r="AH450" s="5">
        <v>0.16</v>
      </c>
      <c r="AI450" s="5">
        <v>0</v>
      </c>
      <c r="AJ450" s="5">
        <v>0.5</v>
      </c>
      <c r="AK450" s="5">
        <v>11</v>
      </c>
      <c r="AL450" s="5">
        <v>26</v>
      </c>
      <c r="AM450" s="5">
        <v>0.4</v>
      </c>
      <c r="AN450" s="5">
        <v>20</v>
      </c>
      <c r="AO450" s="5">
        <v>0.24</v>
      </c>
      <c r="AP450" s="5">
        <v>26</v>
      </c>
      <c r="AQ450" s="5">
        <v>6.3</v>
      </c>
      <c r="AR450" s="5">
        <v>320</v>
      </c>
      <c r="AS450" s="5">
        <v>7</v>
      </c>
      <c r="AT450" s="5">
        <v>0.05</v>
      </c>
      <c r="AU450" s="5">
        <v>20</v>
      </c>
      <c r="AV450" s="5">
        <f>IFERROR(VLOOKUP(IFERROR(VLOOKUP(D450,Mapa_Similitud!$A$2:$B$2000,2,FALSE()),D450),Hoja1!$A$2:$K$1000,2,FALSE()),IFERROR(VLOOKUP(IFERROR(VLOOKUP(D450,Mapa_Similitud!$A$2:$B$2000,2,FALSE()),D450),Omega3_Referencia!$A$2:$E$100,3,FALSE()),0))</f>
        <v>0</v>
      </c>
      <c r="AW450" s="3" t="str">
        <f>IFERROR(VLOOKUP(IFERROR(VLOOKUP(D450,Mapa_Similitud!$A$2:$B$2000,2,FALSE()),D450),Hoja1!$A$2:$K$1000,3,FALSE()),IFERROR(VLOOKUP(IFERROR(VLOOKUP(D450,Mapa_Similitud!$A$2:$B$2000,2,FALSE()),D450),Omega3_Referencia!$A$2:$E$100,4,FALSE()),"N/A"))</f>
        <v>N/A</v>
      </c>
      <c r="AX450" s="5">
        <f>IFERROR(VLOOKUP(IFERROR(VLOOKUP(D450,Mapa_Similitud!$A$2:$B$2000,2,FALSE()),D450),Hoja1!$A$2:$K$1000,5,FALSE()),0)</f>
        <v>0</v>
      </c>
      <c r="AY450" s="5">
        <f>IFERROR(VLOOKUP(IFERROR(VLOOKUP(D450,Mapa_Similitud!$A$2:$B$2000,2,FALSE()),D450),Hoja1!$A$2:$K$1000,7,FALSE()),0)</f>
        <v>0</v>
      </c>
      <c r="AZ450" s="5">
        <f>IFERROR(VLOOKUP(IFERROR(VLOOKUP(D450,Mapa_Similitud!$A$2:$B$2000,2,FALSE()),D450),Hoja1!$A$2:$K$1000,9,FALSE()),0)</f>
        <v>0</v>
      </c>
      <c r="BA450" s="25">
        <f t="shared" ref="BA450:BA513" si="203">IFERROR(K450/H450,0)</f>
        <v>3.3434650455927056E-2</v>
      </c>
      <c r="BB450" s="25">
        <f t="shared" ref="BB450:BB513" si="204">IFERROR(P450/H450,0)</f>
        <v>8.2066869300911865E-2</v>
      </c>
      <c r="BC450" s="25">
        <f t="shared" ref="BC450:BC513" si="205">IFERROR(AK450/H450,0)</f>
        <v>0.33434650455927051</v>
      </c>
      <c r="BD450" s="25">
        <f t="shared" ref="BD450:BD513" si="206">IFERROR(AM450/H450,0)</f>
        <v>1.2158054711246202E-2</v>
      </c>
      <c r="BE450" s="25">
        <f t="shared" ref="BE450:BE513" si="207">IFERROR(AQ450/H450,0)</f>
        <v>0.19148936170212766</v>
      </c>
      <c r="BF450" s="25">
        <f t="shared" ref="BF450:BF513" si="208">IFERROR(T450/R450,0)</f>
        <v>1.4444444444444446</v>
      </c>
      <c r="BG450" s="25">
        <f t="shared" ref="BG450:BG513" si="209">IFERROR(AK450/AL450,0)</f>
        <v>0.42307692307692307</v>
      </c>
      <c r="BH450" s="25">
        <f t="shared" ref="BH450:BH513" si="210">IFERROR(R450/Q450,0)</f>
        <v>8.1818181818181804E-2</v>
      </c>
      <c r="BI450" s="25">
        <f t="shared" ref="BI450:BI513" si="211">IFERROR(AQ450/AR450,0)</f>
        <v>1.96875E-2</v>
      </c>
      <c r="BJ450" s="25">
        <f t="shared" ref="BJ450:BJ513" si="212">IFERROR(N450/L450,0)</f>
        <v>0.29411764705882354</v>
      </c>
      <c r="BK450" s="25">
        <f t="shared" ref="BK450:BK513" si="213">IFERROR(P450/L450,0)</f>
        <v>0.79411764705882359</v>
      </c>
      <c r="BL450" s="25">
        <f t="shared" ref="BL450:BL513" si="214">IFERROR((Q450*9)/H450,0)</f>
        <v>0.30091185410334348</v>
      </c>
      <c r="BM450" s="25">
        <f t="shared" ref="BM450:BM513" si="215">IFERROR(AP450/H450,0)</f>
        <v>0.79027355623100304</v>
      </c>
      <c r="BN450" s="18" t="str">
        <f t="shared" si="192"/>
        <v>Baja fuente de proteína</v>
      </c>
      <c r="BO450" s="18" t="str">
        <f t="shared" si="193"/>
        <v>Alta fuente de fibra</v>
      </c>
      <c r="BP450" s="18" t="str">
        <f t="shared" si="194"/>
        <v>Baja fuente de calcio</v>
      </c>
      <c r="BQ450" s="18" t="str">
        <f t="shared" si="195"/>
        <v>Media fuente de hierro</v>
      </c>
      <c r="BR450" s="18" t="str">
        <f t="shared" si="196"/>
        <v>Bajo en sodio</v>
      </c>
      <c r="BS450" s="6" t="str">
        <f t="shared" ref="BS450:BS513" si="216">IF(BF450&gt;2,"Altamente antiinflamatorio",IF(BF450&gt;1,"Ligeramente antiinflamatorio",IF(BF450&gt;0.5,"Neutro","Proinflamatorio")))</f>
        <v>Ligeramente antiinflamatorio</v>
      </c>
      <c r="BT450" s="6" t="str">
        <f t="shared" ref="BT450:BT513" si="217">IF(BL450&gt;0.4,"Muy alto en grasas",IF(BL450&gt;0.3,"Alto en grasas",IF(BL450&gt;0.2,"Moderado en grasas","Bajo en grasas")))</f>
        <v>Alto en grasas</v>
      </c>
      <c r="BU450" s="18" t="str">
        <f t="shared" si="197"/>
        <v>Equilibrio de líquidos ideal</v>
      </c>
      <c r="BV450" s="18" t="str">
        <f t="shared" si="198"/>
        <v>Alta fuente de magnesio</v>
      </c>
      <c r="BW450" s="18" t="str">
        <f t="shared" si="199"/>
        <v>Sin aporte de Omega 3</v>
      </c>
      <c r="BX450" s="18" t="str">
        <f t="shared" si="200"/>
        <v>Libre de grasas trans</v>
      </c>
      <c r="BY450" s="18" t="str">
        <f t="shared" si="201"/>
        <v>Bajo poder antioxidante</v>
      </c>
      <c r="BZ450" s="6" t="str">
        <f t="shared" ref="BZ450:BZ513" si="218">IF(AZ450&gt;=1,"Probiótico activo","Sin probióticos")</f>
        <v>Sin probióticos</v>
      </c>
      <c r="CA450" s="18" t="str">
        <f t="shared" si="202"/>
        <v>Poco inflamatorio</v>
      </c>
      <c r="CB450" s="18" t="str">
        <f>IF(ISNUMBER(SEARCH("miel", D450)), "No irritante (Uso condicionado SII)", IF(OR(J450&gt;0, ISNUMBER(SEARCH("cacao", D450)), ISNUMBER(SEARCH("chocolate puro", D450))), "Altamente irritante", IF(OR(AND(O450&gt;15, BI450&gt;1), ISNUMBER(SEARCH("chocolate", D450))), "Moderadamente irritante", "No irritante")))</f>
        <v>No irritante</v>
      </c>
      <c r="CC450" s="6" t="str">
        <f t="shared" ref="CC450:CC513" si="219">IF(AV450=0,"Sin Omega 3 para evaluar",IFERROR(IF(((T450-AV450)/AV450)&gt;4,"Exceso relativo de Omega 6","Balance de omegas favorable"),"Sin Omega 3 para evaluar"))</f>
        <v>Sin Omega 3 para evaluar</v>
      </c>
    </row>
    <row r="451" spans="1:81" ht="15" customHeight="1" x14ac:dyDescent="0.3">
      <c r="A451" s="2">
        <f t="shared" ref="A451:A514" si="220">1+A450</f>
        <v>450</v>
      </c>
      <c r="B451" s="3" t="s">
        <v>584</v>
      </c>
      <c r="C451" s="3" t="s">
        <v>585</v>
      </c>
      <c r="D451" s="3" t="s">
        <v>602</v>
      </c>
      <c r="E451" s="3"/>
      <c r="F451" s="4">
        <v>1.5</v>
      </c>
      <c r="G451" s="5">
        <v>1</v>
      </c>
      <c r="H451" s="5">
        <v>336</v>
      </c>
      <c r="I451" s="5">
        <v>9.6999999999999993</v>
      </c>
      <c r="J451" s="5">
        <v>0</v>
      </c>
      <c r="K451" s="5">
        <v>9.1</v>
      </c>
      <c r="L451" s="5">
        <v>58.3</v>
      </c>
      <c r="M451" s="5">
        <v>54.9</v>
      </c>
      <c r="N451" s="5">
        <v>3.4</v>
      </c>
      <c r="O451" s="5">
        <v>0</v>
      </c>
      <c r="P451" s="5">
        <v>14.1</v>
      </c>
      <c r="Q451" s="5">
        <v>4.2</v>
      </c>
      <c r="R451" s="5">
        <v>2.6</v>
      </c>
      <c r="S451" s="5">
        <v>0.48</v>
      </c>
      <c r="T451" s="5">
        <v>0.93</v>
      </c>
      <c r="U451" s="5">
        <v>0</v>
      </c>
      <c r="V451" s="5">
        <v>3</v>
      </c>
      <c r="W451" s="5">
        <v>0</v>
      </c>
      <c r="X451" s="5">
        <v>18</v>
      </c>
      <c r="Y451" s="5">
        <v>0</v>
      </c>
      <c r="Z451" s="5">
        <v>0</v>
      </c>
      <c r="AA451" s="5">
        <v>0.8</v>
      </c>
      <c r="AB451" s="5">
        <v>4.5999999999999999E-2</v>
      </c>
      <c r="AC451" s="5">
        <v>0.17</v>
      </c>
      <c r="AD451" s="5">
        <v>9.6</v>
      </c>
      <c r="AE451" s="5">
        <v>0.63</v>
      </c>
      <c r="AF451" s="5">
        <v>13</v>
      </c>
      <c r="AG451" s="5">
        <v>0</v>
      </c>
      <c r="AH451" s="5">
        <v>0.48</v>
      </c>
      <c r="AI451" s="5">
        <v>0</v>
      </c>
      <c r="AJ451" s="5">
        <v>0.7</v>
      </c>
      <c r="AK451" s="5">
        <v>114</v>
      </c>
      <c r="AL451" s="5">
        <v>168</v>
      </c>
      <c r="AM451" s="5">
        <v>19.8</v>
      </c>
      <c r="AN451" s="5">
        <v>0</v>
      </c>
      <c r="AO451" s="5">
        <v>3.6</v>
      </c>
      <c r="AP451" s="5">
        <v>214</v>
      </c>
      <c r="AQ451" s="5">
        <v>27</v>
      </c>
      <c r="AR451" s="5">
        <v>1320</v>
      </c>
      <c r="AS451" s="5">
        <v>33.299999999999997</v>
      </c>
      <c r="AT451" s="5">
        <v>0.48</v>
      </c>
      <c r="AU451" s="5">
        <v>0</v>
      </c>
      <c r="AV451" s="5">
        <f>IFERROR(VLOOKUP(IFERROR(VLOOKUP(D451,Mapa_Similitud!$A$2:$B$2000,2,FALSE()),D451),Hoja1!$A$2:$K$1000,2,FALSE()),IFERROR(VLOOKUP(IFERROR(VLOOKUP(D451,Mapa_Similitud!$A$2:$B$2000,2,FALSE()),D451),Omega3_Referencia!$A$2:$E$100,3,FALSE()),0))</f>
        <v>0</v>
      </c>
      <c r="AW451" s="3" t="str">
        <f>IFERROR(VLOOKUP(IFERROR(VLOOKUP(D451,Mapa_Similitud!$A$2:$B$2000,2,FALSE()),D451),Hoja1!$A$2:$K$1000,3,FALSE()),IFERROR(VLOOKUP(IFERROR(VLOOKUP(D451,Mapa_Similitud!$A$2:$B$2000,2,FALSE()),D451),Omega3_Referencia!$A$2:$E$100,4,FALSE()),"N/A"))</f>
        <v>N/A</v>
      </c>
      <c r="AX451" s="5">
        <f>IFERROR(VLOOKUP(IFERROR(VLOOKUP(D451,Mapa_Similitud!$A$2:$B$2000,2,FALSE()),D451),Hoja1!$A$2:$K$1000,5,FALSE()),0)</f>
        <v>0</v>
      </c>
      <c r="AY451" s="5">
        <f>IFERROR(VLOOKUP(IFERROR(VLOOKUP(D451,Mapa_Similitud!$A$2:$B$2000,2,FALSE()),D451),Hoja1!$A$2:$K$1000,7,FALSE()),0)</f>
        <v>0</v>
      </c>
      <c r="AZ451" s="5">
        <f>IFERROR(VLOOKUP(IFERROR(VLOOKUP(D451,Mapa_Similitud!$A$2:$B$2000,2,FALSE()),D451),Hoja1!$A$2:$K$1000,9,FALSE()),0)</f>
        <v>0</v>
      </c>
      <c r="BA451" s="25">
        <f t="shared" si="203"/>
        <v>2.7083333333333331E-2</v>
      </c>
      <c r="BB451" s="25">
        <f t="shared" si="204"/>
        <v>4.1964285714285711E-2</v>
      </c>
      <c r="BC451" s="25">
        <f t="shared" si="205"/>
        <v>0.3392857142857143</v>
      </c>
      <c r="BD451" s="25">
        <f t="shared" si="206"/>
        <v>5.8928571428571427E-2</v>
      </c>
      <c r="BE451" s="25">
        <f t="shared" si="207"/>
        <v>8.0357142857142863E-2</v>
      </c>
      <c r="BF451" s="25">
        <f t="shared" si="208"/>
        <v>0.3576923076923077</v>
      </c>
      <c r="BG451" s="25">
        <f t="shared" si="209"/>
        <v>0.6785714285714286</v>
      </c>
      <c r="BH451" s="25">
        <f t="shared" si="210"/>
        <v>0.61904761904761907</v>
      </c>
      <c r="BI451" s="25">
        <f t="shared" si="211"/>
        <v>2.0454545454545454E-2</v>
      </c>
      <c r="BJ451" s="25">
        <f t="shared" si="212"/>
        <v>5.8319039451114926E-2</v>
      </c>
      <c r="BK451" s="25">
        <f t="shared" si="213"/>
        <v>0.241852487135506</v>
      </c>
      <c r="BL451" s="25">
        <f t="shared" si="214"/>
        <v>0.11250000000000002</v>
      </c>
      <c r="BM451" s="25">
        <f t="shared" si="215"/>
        <v>0.63690476190476186</v>
      </c>
      <c r="BN451" s="18" t="str">
        <f t="shared" ref="BN451:BN514" si="221">IF(BA451&gt;0.2,"Muy alta fuente de proteína",IF(BA451&gt;0.15,"Alta fuente de proteína",IF(BA451&gt;0.1,"Media fuente de proteína","Baja fuente de proteína")))</f>
        <v>Baja fuente de proteína</v>
      </c>
      <c r="BO451" s="18" t="str">
        <f t="shared" ref="BO451:BO514" si="222">IF(BB451&gt;0.03,"Alta",IF(BB451&gt;0.015,"Media","Baja")) &amp; " fuente de fibra"</f>
        <v>Alta fuente de fibra</v>
      </c>
      <c r="BP451" s="18" t="str">
        <f t="shared" ref="BP451:BP514" si="223">IF(BC451&gt;1.5,"Alta fuente de calcio",IF(BC451&gt;0.8,"Media fuente de calcio","Baja fuente de calcio"))</f>
        <v>Baja fuente de calcio</v>
      </c>
      <c r="BQ451" s="18" t="str">
        <f t="shared" ref="BQ451:BQ514" si="224">IF(BD451&gt;0.015,"Alta fuente de hierro",IF(BD451&gt;0.008,"Media fuente de hierro","Baja fuente de hierro"))</f>
        <v>Alta fuente de hierro</v>
      </c>
      <c r="BR451" s="18" t="str">
        <f t="shared" ref="BR451:BR514" si="225">IF(BE451&gt;2,"Muy alto",IF(BE451&gt;1,"Alto",IF(BE451&gt;0.5,"Moderado","Bajo"))) &amp; " en sodio"</f>
        <v>Bajo en sodio</v>
      </c>
      <c r="BS451" s="6" t="str">
        <f t="shared" si="216"/>
        <v>Proinflamatorio</v>
      </c>
      <c r="BT451" s="6" t="str">
        <f t="shared" si="217"/>
        <v>Bajo en grasas</v>
      </c>
      <c r="BU451" s="18" t="str">
        <f t="shared" ref="BU451:BU514" si="226">IF(BI451&gt;1,"Alto riesgo de retención de líquidos",IF(BI451&gt;0.5,"Riesgo moderado de retención","Equilibrio de líquidos ideal"))</f>
        <v>Equilibrio de líquidos ideal</v>
      </c>
      <c r="BV451" s="18" t="str">
        <f t="shared" ref="BV451:BV514" si="227">IF(BM451&gt;0.5,"Alta",IF(BM451&gt;0.2,"Media","Baja")) &amp; " fuente de magnesio"</f>
        <v>Alta fuente de magnesio</v>
      </c>
      <c r="BW451" s="18" t="str">
        <f t="shared" ref="BW451:BW514" si="228">IF(AV451&gt;=0.5,"Alta fuente de Omega 3",IF(AV451&gt;0.1,"Ligera fuente de Omega 3","Sin aporte de Omega 3"))</f>
        <v>Sin aporte de Omega 3</v>
      </c>
      <c r="BX451" s="18" t="str">
        <f t="shared" ref="BX451:BX514" si="229">IF(AX451&gt;0.5,"Alerta: Alto en grasas trans",IF(AX451&gt;0,"Contiene grasas trans","Libre de grasas trans"))</f>
        <v>Libre de grasas trans</v>
      </c>
      <c r="BY451" s="18" t="str">
        <f t="shared" ref="BY451:BY514" si="230">IF(AY451&gt;=50,"Alto",IF(AY451&gt;=10,"Medio","Bajo")) &amp; " poder antioxidante"</f>
        <v>Bajo poder antioxidante</v>
      </c>
      <c r="BZ451" s="6" t="str">
        <f t="shared" si="218"/>
        <v>Sin probióticos</v>
      </c>
      <c r="CA451" s="18" t="str">
        <f t="shared" ref="CA451:CA514" si="231">IF(OR(AX451&gt;0.5, O451&gt;15, J451&gt;0), "Altamente inflamatorio", IF(OR(AV451&gt;=0.5, AY451&gt;=50), "Antiinflamatorio", IF(OR(AX451&gt;0, O451&gt;5), "Moderadamente inflamatorio", "Poco inflamatorio")))</f>
        <v>Poco inflamatorio</v>
      </c>
      <c r="CB451" s="18" t="str">
        <f>IF(ISNUMBER(SEARCH("miel", D451)), "No irritante (Uso condicionado SII)", IF(OR(J451&gt;0, ISNUMBER(SEARCH("cacao", D451)), ISNUMBER(SEARCH("chocolate puro", D451))), "Altamente irritante", IF(OR(AND(O451&gt;15, BI451&gt;1), ISNUMBER(SEARCH("chocolate", D451))), "Moderadamente irritante", "No irritante")))</f>
        <v>No irritante</v>
      </c>
      <c r="CC451" s="6" t="str">
        <f t="shared" si="219"/>
        <v>Sin Omega 3 para evaluar</v>
      </c>
    </row>
    <row r="452" spans="1:81" ht="15" customHeight="1" x14ac:dyDescent="0.3">
      <c r="A452" s="2">
        <f t="shared" si="220"/>
        <v>451</v>
      </c>
      <c r="B452" s="3" t="s">
        <v>584</v>
      </c>
      <c r="C452" s="3" t="s">
        <v>585</v>
      </c>
      <c r="D452" s="3" t="s">
        <v>603</v>
      </c>
      <c r="E452" s="3"/>
      <c r="F452" s="4">
        <v>1.5</v>
      </c>
      <c r="G452" s="5">
        <v>1</v>
      </c>
      <c r="H452" s="5">
        <v>353</v>
      </c>
      <c r="I452" s="5">
        <v>9</v>
      </c>
      <c r="J452" s="5">
        <v>0</v>
      </c>
      <c r="K452" s="5">
        <v>7.6</v>
      </c>
      <c r="L452" s="5">
        <v>48.7</v>
      </c>
      <c r="M452" s="5">
        <v>0</v>
      </c>
      <c r="N452" s="5">
        <v>48.7</v>
      </c>
      <c r="O452" s="5">
        <v>0</v>
      </c>
      <c r="P452" s="5">
        <v>26.3</v>
      </c>
      <c r="Q452" s="5">
        <v>8.4</v>
      </c>
      <c r="R452" s="5">
        <v>2.2999999999999998</v>
      </c>
      <c r="S452" s="5">
        <v>1.6</v>
      </c>
      <c r="T452" s="5">
        <v>2.2999999999999998</v>
      </c>
      <c r="U452" s="5">
        <v>0</v>
      </c>
      <c r="V452" s="5">
        <v>309</v>
      </c>
      <c r="W452" s="5">
        <v>0</v>
      </c>
      <c r="X452" s="5">
        <v>1854</v>
      </c>
      <c r="Y452" s="5">
        <v>0</v>
      </c>
      <c r="Z452" s="5">
        <v>0</v>
      </c>
      <c r="AA452" s="5">
        <v>0</v>
      </c>
      <c r="AB452" s="5">
        <v>8.9999999999999993E-3</v>
      </c>
      <c r="AC452" s="5">
        <v>0.42</v>
      </c>
      <c r="AD452" s="5">
        <v>2</v>
      </c>
      <c r="AE452" s="5">
        <v>1.7</v>
      </c>
      <c r="AF452" s="5">
        <v>180</v>
      </c>
      <c r="AG452" s="5">
        <v>0</v>
      </c>
      <c r="AH452" s="5">
        <v>0</v>
      </c>
      <c r="AI452" s="5">
        <v>0</v>
      </c>
      <c r="AJ452" s="5">
        <v>46.5</v>
      </c>
      <c r="AK452" s="5">
        <v>834</v>
      </c>
      <c r="AL452" s="5">
        <v>113</v>
      </c>
      <c r="AM452" s="5">
        <v>43</v>
      </c>
      <c r="AN452" s="5">
        <v>0</v>
      </c>
      <c r="AO452" s="5">
        <v>3.7</v>
      </c>
      <c r="AP452" s="5">
        <v>120</v>
      </c>
      <c r="AQ452" s="5">
        <v>23</v>
      </c>
      <c r="AR452" s="5">
        <v>529</v>
      </c>
      <c r="AS452" s="5">
        <v>8.1999999999999993</v>
      </c>
      <c r="AT452" s="5">
        <v>0.42</v>
      </c>
      <c r="AU452" s="5">
        <v>2.8</v>
      </c>
      <c r="AV452" s="5">
        <f>IFERROR(VLOOKUP(IFERROR(VLOOKUP(D452,Mapa_Similitud!$A$2:$B$2000,2,FALSE()),D452),Hoja1!$A$2:$K$1000,2,FALSE()),IFERROR(VLOOKUP(IFERROR(VLOOKUP(D452,Mapa_Similitud!$A$2:$B$2000,2,FALSE()),D452),Omega3_Referencia!$A$2:$E$100,3,FALSE()),0))</f>
        <v>0.05</v>
      </c>
      <c r="AW452" s="3" t="str">
        <f>IFERROR(VLOOKUP(IFERROR(VLOOKUP(D452,Mapa_Similitud!$A$2:$B$2000,2,FALSE()),D452),Hoja1!$A$2:$K$1000,3,FALSE()),IFERROR(VLOOKUP(IFERROR(VLOOKUP(D452,Mapa_Similitud!$A$2:$B$2000,2,FALSE()),D452),Omega3_Referencia!$A$2:$E$100,4,FALSE()),"N/A"))</f>
        <v>ALA</v>
      </c>
      <c r="AX452" s="5">
        <f>IFERROR(VLOOKUP(IFERROR(VLOOKUP(D452,Mapa_Similitud!$A$2:$B$2000,2,FALSE()),D452),Hoja1!$A$2:$K$1000,5,FALSE()),0)</f>
        <v>0</v>
      </c>
      <c r="AY452" s="5">
        <f>IFERROR(VLOOKUP(IFERROR(VLOOKUP(D452,Mapa_Similitud!$A$2:$B$2000,2,FALSE()),D452),Hoja1!$A$2:$K$1000,7,FALSE()),0)</f>
        <v>900</v>
      </c>
      <c r="AZ452" s="5">
        <f>IFERROR(VLOOKUP(IFERROR(VLOOKUP(D452,Mapa_Similitud!$A$2:$B$2000,2,FALSE()),D452),Hoja1!$A$2:$K$1000,9,FALSE()),0)</f>
        <v>0</v>
      </c>
      <c r="BA452" s="25">
        <f t="shared" si="203"/>
        <v>2.1529745042492918E-2</v>
      </c>
      <c r="BB452" s="25">
        <f t="shared" si="204"/>
        <v>7.4504249291784702E-2</v>
      </c>
      <c r="BC452" s="25">
        <f t="shared" si="205"/>
        <v>2.3626062322946177</v>
      </c>
      <c r="BD452" s="25">
        <f t="shared" si="206"/>
        <v>0.12181303116147309</v>
      </c>
      <c r="BE452" s="25">
        <f t="shared" si="207"/>
        <v>6.5155807365439092E-2</v>
      </c>
      <c r="BF452" s="25">
        <f t="shared" si="208"/>
        <v>1</v>
      </c>
      <c r="BG452" s="25">
        <f t="shared" si="209"/>
        <v>7.3805309734513278</v>
      </c>
      <c r="BH452" s="25">
        <f t="shared" si="210"/>
        <v>0.27380952380952378</v>
      </c>
      <c r="BI452" s="25">
        <f t="shared" si="211"/>
        <v>4.3478260869565216E-2</v>
      </c>
      <c r="BJ452" s="25">
        <f t="shared" si="212"/>
        <v>1</v>
      </c>
      <c r="BK452" s="25">
        <f t="shared" si="213"/>
        <v>0.54004106776180694</v>
      </c>
      <c r="BL452" s="25">
        <f t="shared" si="214"/>
        <v>0.21416430594900851</v>
      </c>
      <c r="BM452" s="25">
        <f t="shared" si="215"/>
        <v>0.33994334277620397</v>
      </c>
      <c r="BN452" s="18" t="str">
        <f t="shared" si="221"/>
        <v>Baja fuente de proteína</v>
      </c>
      <c r="BO452" s="18" t="str">
        <f t="shared" si="222"/>
        <v>Alta fuente de fibra</v>
      </c>
      <c r="BP452" s="18" t="str">
        <f t="shared" si="223"/>
        <v>Alta fuente de calcio</v>
      </c>
      <c r="BQ452" s="18" t="str">
        <f t="shared" si="224"/>
        <v>Alta fuente de hierro</v>
      </c>
      <c r="BR452" s="18" t="str">
        <f t="shared" si="225"/>
        <v>Bajo en sodio</v>
      </c>
      <c r="BS452" s="6" t="str">
        <f t="shared" si="216"/>
        <v>Neutro</v>
      </c>
      <c r="BT452" s="6" t="str">
        <f t="shared" si="217"/>
        <v>Moderado en grasas</v>
      </c>
      <c r="BU452" s="18" t="str">
        <f t="shared" si="226"/>
        <v>Equilibrio de líquidos ideal</v>
      </c>
      <c r="BV452" s="18" t="str">
        <f t="shared" si="227"/>
        <v>Media fuente de magnesio</v>
      </c>
      <c r="BW452" s="18" t="str">
        <f t="shared" si="228"/>
        <v>Sin aporte de Omega 3</v>
      </c>
      <c r="BX452" s="18" t="str">
        <f t="shared" si="229"/>
        <v>Libre de grasas trans</v>
      </c>
      <c r="BY452" s="18" t="str">
        <f t="shared" si="230"/>
        <v>Alto poder antioxidante</v>
      </c>
      <c r="BZ452" s="6" t="str">
        <f t="shared" si="218"/>
        <v>Sin probióticos</v>
      </c>
      <c r="CA452" s="18" t="str">
        <f t="shared" si="231"/>
        <v>Antiinflamatorio</v>
      </c>
      <c r="CB452" s="18" t="str">
        <f>IF(ISNUMBER(SEARCH("miel", D452)), "No irritante (Uso condicionado SII)", IF(OR(J452&gt;0, ISNUMBER(SEARCH("cacao", D452)), ISNUMBER(SEARCH("chocolate puro", D452))), "Altamente irritante", IF(OR(AND(O452&gt;15, BI452&gt;1), ISNUMBER(SEARCH("chocolate", D452))), "Moderadamente irritante", "No irritante")))</f>
        <v>No irritante</v>
      </c>
      <c r="CC452" s="6" t="str">
        <f t="shared" si="219"/>
        <v>Exceso relativo de Omega 6</v>
      </c>
    </row>
    <row r="453" spans="1:81" ht="15" customHeight="1" x14ac:dyDescent="0.3">
      <c r="A453" s="2">
        <f t="shared" si="220"/>
        <v>452</v>
      </c>
      <c r="B453" s="3" t="s">
        <v>584</v>
      </c>
      <c r="C453" s="3" t="s">
        <v>585</v>
      </c>
      <c r="D453" s="3" t="s">
        <v>604</v>
      </c>
      <c r="E453" s="3"/>
      <c r="F453" s="4">
        <v>1.5</v>
      </c>
      <c r="G453" s="5">
        <v>1</v>
      </c>
      <c r="H453" s="5">
        <v>164</v>
      </c>
      <c r="I453" s="5">
        <v>34</v>
      </c>
      <c r="J453" s="5">
        <v>0</v>
      </c>
      <c r="K453" s="5">
        <v>27.8</v>
      </c>
      <c r="L453" s="5">
        <v>11.8</v>
      </c>
      <c r="M453" s="5">
        <v>11.8</v>
      </c>
      <c r="N453" s="5">
        <v>0</v>
      </c>
      <c r="O453" s="5">
        <v>0</v>
      </c>
      <c r="P453" s="5">
        <v>3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9.6999999999999993</v>
      </c>
      <c r="AC453" s="5">
        <v>14.3</v>
      </c>
      <c r="AD453" s="5">
        <v>97</v>
      </c>
      <c r="AE453" s="5">
        <v>1.3</v>
      </c>
      <c r="AF453" s="5">
        <v>1010</v>
      </c>
      <c r="AG453" s="5">
        <v>0.5</v>
      </c>
      <c r="AH453" s="5">
        <v>0</v>
      </c>
      <c r="AI453" s="5">
        <v>0</v>
      </c>
      <c r="AJ453" s="5">
        <v>0</v>
      </c>
      <c r="AK453" s="5">
        <v>86</v>
      </c>
      <c r="AL453" s="5">
        <v>104</v>
      </c>
      <c r="AM453" s="5">
        <v>3.7</v>
      </c>
      <c r="AN453" s="5">
        <v>0</v>
      </c>
      <c r="AO453" s="5">
        <v>2.1</v>
      </c>
      <c r="AP453" s="5">
        <v>180</v>
      </c>
      <c r="AQ453" s="5">
        <v>3600</v>
      </c>
      <c r="AR453" s="5">
        <v>2600</v>
      </c>
      <c r="AS453" s="5">
        <v>0</v>
      </c>
      <c r="AT453" s="5">
        <v>0.3</v>
      </c>
      <c r="AU453" s="5">
        <v>18</v>
      </c>
      <c r="AV453" s="5">
        <f>IFERROR(VLOOKUP(IFERROR(VLOOKUP(D453,Mapa_Similitud!$A$2:$B$2000,2,FALSE()),D453),Hoja1!$A$2:$K$1000,2,FALSE()),IFERROR(VLOOKUP(IFERROR(VLOOKUP(D453,Mapa_Similitud!$A$2:$B$2000,2,FALSE()),D453),Omega3_Referencia!$A$2:$E$100,3,FALSE()),0))</f>
        <v>0</v>
      </c>
      <c r="AW453" s="3" t="str">
        <f>IFERROR(VLOOKUP(IFERROR(VLOOKUP(D453,Mapa_Similitud!$A$2:$B$2000,2,FALSE()),D453),Hoja1!$A$2:$K$1000,3,FALSE()),IFERROR(VLOOKUP(IFERROR(VLOOKUP(D453,Mapa_Similitud!$A$2:$B$2000,2,FALSE()),D453),Omega3_Referencia!$A$2:$E$100,4,FALSE()),"N/A"))</f>
        <v>N/A</v>
      </c>
      <c r="AX453" s="5">
        <f>IFERROR(VLOOKUP(IFERROR(VLOOKUP(D453,Mapa_Similitud!$A$2:$B$2000,2,FALSE()),D453),Hoja1!$A$2:$K$1000,5,FALSE()),0)</f>
        <v>0</v>
      </c>
      <c r="AY453" s="5">
        <f>IFERROR(VLOOKUP(IFERROR(VLOOKUP(D453,Mapa_Similitud!$A$2:$B$2000,2,FALSE()),D453),Hoja1!$A$2:$K$1000,7,FALSE()),0)</f>
        <v>0</v>
      </c>
      <c r="AZ453" s="5">
        <f>IFERROR(VLOOKUP(IFERROR(VLOOKUP(D453,Mapa_Similitud!$A$2:$B$2000,2,FALSE()),D453),Hoja1!$A$2:$K$1000,9,FALSE()),0)</f>
        <v>0</v>
      </c>
      <c r="BA453" s="25">
        <f t="shared" si="203"/>
        <v>0.16951219512195123</v>
      </c>
      <c r="BB453" s="25">
        <f t="shared" si="204"/>
        <v>1.8292682926829267E-2</v>
      </c>
      <c r="BC453" s="25">
        <f t="shared" si="205"/>
        <v>0.52439024390243905</v>
      </c>
      <c r="BD453" s="25">
        <f t="shared" si="206"/>
        <v>2.25609756097561E-2</v>
      </c>
      <c r="BE453" s="25">
        <f t="shared" si="207"/>
        <v>21.951219512195124</v>
      </c>
      <c r="BF453" s="25">
        <f t="shared" si="208"/>
        <v>0</v>
      </c>
      <c r="BG453" s="25">
        <f t="shared" si="209"/>
        <v>0.82692307692307687</v>
      </c>
      <c r="BH453" s="25">
        <f t="shared" si="210"/>
        <v>0</v>
      </c>
      <c r="BI453" s="25">
        <f t="shared" si="211"/>
        <v>1.3846153846153846</v>
      </c>
      <c r="BJ453" s="25">
        <f t="shared" si="212"/>
        <v>0</v>
      </c>
      <c r="BK453" s="25">
        <f t="shared" si="213"/>
        <v>0.25423728813559321</v>
      </c>
      <c r="BL453" s="25">
        <f t="shared" si="214"/>
        <v>0</v>
      </c>
      <c r="BM453" s="25">
        <f t="shared" si="215"/>
        <v>1.0975609756097562</v>
      </c>
      <c r="BN453" s="18" t="str">
        <f t="shared" si="221"/>
        <v>Alta fuente de proteína</v>
      </c>
      <c r="BO453" s="18" t="str">
        <f t="shared" si="222"/>
        <v>Media fuente de fibra</v>
      </c>
      <c r="BP453" s="18" t="str">
        <f t="shared" si="223"/>
        <v>Baja fuente de calcio</v>
      </c>
      <c r="BQ453" s="18" t="str">
        <f t="shared" si="224"/>
        <v>Alta fuente de hierro</v>
      </c>
      <c r="BR453" s="18" t="str">
        <f t="shared" si="225"/>
        <v>Muy alto en sodio</v>
      </c>
      <c r="BS453" s="6" t="str">
        <f t="shared" si="216"/>
        <v>Proinflamatorio</v>
      </c>
      <c r="BT453" s="6" t="str">
        <f t="shared" si="217"/>
        <v>Bajo en grasas</v>
      </c>
      <c r="BU453" s="18" t="str">
        <f t="shared" si="226"/>
        <v>Alto riesgo de retención de líquidos</v>
      </c>
      <c r="BV453" s="18" t="str">
        <f t="shared" si="227"/>
        <v>Alta fuente de magnesio</v>
      </c>
      <c r="BW453" s="18" t="str">
        <f t="shared" si="228"/>
        <v>Sin aporte de Omega 3</v>
      </c>
      <c r="BX453" s="18" t="str">
        <f t="shared" si="229"/>
        <v>Libre de grasas trans</v>
      </c>
      <c r="BY453" s="18" t="str">
        <f t="shared" si="230"/>
        <v>Bajo poder antioxidante</v>
      </c>
      <c r="BZ453" s="6" t="str">
        <f t="shared" si="218"/>
        <v>Sin probióticos</v>
      </c>
      <c r="CA453" s="18" t="str">
        <f t="shared" si="231"/>
        <v>Poco inflamatorio</v>
      </c>
      <c r="CB453" s="18" t="str">
        <f>IF(ISNUMBER(SEARCH("miel", D453)), "No irritante (Uso condicionado SII)", IF(OR(J453&gt;0, ISNUMBER(SEARCH("cacao", D453)), ISNUMBER(SEARCH("chocolate puro", D453))), "Altamente irritante", IF(OR(AND(O453&gt;15, BI453&gt;1), ISNUMBER(SEARCH("chocolate", D453))), "Moderadamente irritante", "No irritante")))</f>
        <v>No irritante</v>
      </c>
      <c r="CC453" s="6" t="str">
        <f t="shared" si="219"/>
        <v>Sin Omega 3 para evaluar</v>
      </c>
    </row>
    <row r="454" spans="1:81" ht="15" customHeight="1" x14ac:dyDescent="0.3">
      <c r="A454" s="2">
        <f t="shared" si="220"/>
        <v>453</v>
      </c>
      <c r="B454" s="3" t="s">
        <v>584</v>
      </c>
      <c r="C454" s="3" t="s">
        <v>585</v>
      </c>
      <c r="D454" s="3" t="s">
        <v>605</v>
      </c>
      <c r="E454" s="3"/>
      <c r="F454" s="4">
        <v>1.5</v>
      </c>
      <c r="G454" s="5">
        <v>1</v>
      </c>
      <c r="H454" s="5">
        <v>73</v>
      </c>
      <c r="I454" s="5">
        <v>73.3</v>
      </c>
      <c r="J454" s="5">
        <v>0</v>
      </c>
      <c r="K454" s="5">
        <v>16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1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0.76</v>
      </c>
      <c r="AC454" s="5">
        <v>1.9</v>
      </c>
      <c r="AD454" s="5">
        <v>16</v>
      </c>
      <c r="AE454" s="5">
        <v>0.93</v>
      </c>
      <c r="AF454" s="5">
        <v>1000</v>
      </c>
      <c r="AG454" s="5">
        <v>0</v>
      </c>
      <c r="AH454" s="5">
        <v>0</v>
      </c>
      <c r="AI454" s="5">
        <v>0</v>
      </c>
      <c r="AJ454" s="5">
        <v>0</v>
      </c>
      <c r="AK454" s="5">
        <v>20</v>
      </c>
      <c r="AL454" s="5">
        <v>440</v>
      </c>
      <c r="AM454" s="5">
        <v>3.8</v>
      </c>
      <c r="AN454" s="5">
        <v>0</v>
      </c>
      <c r="AO454" s="5">
        <v>0</v>
      </c>
      <c r="AP454" s="5">
        <v>115</v>
      </c>
      <c r="AQ454" s="5">
        <v>25</v>
      </c>
      <c r="AR454" s="5">
        <v>630</v>
      </c>
      <c r="AS454" s="5">
        <v>0</v>
      </c>
      <c r="AT454" s="5">
        <v>0</v>
      </c>
      <c r="AU454" s="5">
        <v>0</v>
      </c>
      <c r="AV454" s="5">
        <f>IFERROR(VLOOKUP(IFERROR(VLOOKUP(D454,Mapa_Similitud!$A$2:$B$2000,2,FALSE()),D454),Hoja1!$A$2:$K$1000,2,FALSE()),IFERROR(VLOOKUP(IFERROR(VLOOKUP(D454,Mapa_Similitud!$A$2:$B$2000,2,FALSE()),D454),Omega3_Referencia!$A$2:$E$100,3,FALSE()),0))</f>
        <v>0</v>
      </c>
      <c r="AW454" s="3" t="str">
        <f>IFERROR(VLOOKUP(IFERROR(VLOOKUP(D454,Mapa_Similitud!$A$2:$B$2000,2,FALSE()),D454),Hoja1!$A$2:$K$1000,3,FALSE()),IFERROR(VLOOKUP(IFERROR(VLOOKUP(D454,Mapa_Similitud!$A$2:$B$2000,2,FALSE()),D454),Omega3_Referencia!$A$2:$E$100,4,FALSE()),"N/A"))</f>
        <v>N/A</v>
      </c>
      <c r="AX454" s="5">
        <f>IFERROR(VLOOKUP(IFERROR(VLOOKUP(D454,Mapa_Similitud!$A$2:$B$2000,2,FALSE()),D454),Hoja1!$A$2:$K$1000,5,FALSE()),0)</f>
        <v>0</v>
      </c>
      <c r="AY454" s="5">
        <f>IFERROR(VLOOKUP(IFERROR(VLOOKUP(D454,Mapa_Similitud!$A$2:$B$2000,2,FALSE()),D454),Hoja1!$A$2:$K$1000,7,FALSE()),0)</f>
        <v>0</v>
      </c>
      <c r="AZ454" s="5">
        <f>IFERROR(VLOOKUP(IFERROR(VLOOKUP(D454,Mapa_Similitud!$A$2:$B$2000,2,FALSE()),D454),Hoja1!$A$2:$K$1000,9,FALSE()),0)</f>
        <v>0</v>
      </c>
      <c r="BA454" s="25">
        <f t="shared" si="203"/>
        <v>0.21917808219178081</v>
      </c>
      <c r="BB454" s="25">
        <f t="shared" si="204"/>
        <v>0</v>
      </c>
      <c r="BC454" s="25">
        <f t="shared" si="205"/>
        <v>0.27397260273972601</v>
      </c>
      <c r="BD454" s="25">
        <f t="shared" si="206"/>
        <v>5.205479452054794E-2</v>
      </c>
      <c r="BE454" s="25">
        <f t="shared" si="207"/>
        <v>0.34246575342465752</v>
      </c>
      <c r="BF454" s="25">
        <f t="shared" si="208"/>
        <v>0</v>
      </c>
      <c r="BG454" s="25">
        <f t="shared" si="209"/>
        <v>4.5454545454545456E-2</v>
      </c>
      <c r="BH454" s="25">
        <f t="shared" si="210"/>
        <v>0</v>
      </c>
      <c r="BI454" s="25">
        <f t="shared" si="211"/>
        <v>3.968253968253968E-2</v>
      </c>
      <c r="BJ454" s="25">
        <f t="shared" si="212"/>
        <v>0</v>
      </c>
      <c r="BK454" s="25">
        <f t="shared" si="213"/>
        <v>0</v>
      </c>
      <c r="BL454" s="25">
        <f t="shared" si="214"/>
        <v>0.12328767123287671</v>
      </c>
      <c r="BM454" s="25">
        <f t="shared" si="215"/>
        <v>1.5753424657534247</v>
      </c>
      <c r="BN454" s="18" t="str">
        <f t="shared" si="221"/>
        <v>Muy alta fuente de proteína</v>
      </c>
      <c r="BO454" s="18" t="str">
        <f t="shared" si="222"/>
        <v>Baja fuente de fibra</v>
      </c>
      <c r="BP454" s="18" t="str">
        <f t="shared" si="223"/>
        <v>Baja fuente de calcio</v>
      </c>
      <c r="BQ454" s="18" t="str">
        <f t="shared" si="224"/>
        <v>Alta fuente de hierro</v>
      </c>
      <c r="BR454" s="18" t="str">
        <f t="shared" si="225"/>
        <v>Bajo en sodio</v>
      </c>
      <c r="BS454" s="6" t="str">
        <f t="shared" si="216"/>
        <v>Proinflamatorio</v>
      </c>
      <c r="BT454" s="6" t="str">
        <f t="shared" si="217"/>
        <v>Bajo en grasas</v>
      </c>
      <c r="BU454" s="18" t="str">
        <f t="shared" si="226"/>
        <v>Equilibrio de líquidos ideal</v>
      </c>
      <c r="BV454" s="18" t="str">
        <f t="shared" si="227"/>
        <v>Alta fuente de magnesio</v>
      </c>
      <c r="BW454" s="18" t="str">
        <f t="shared" si="228"/>
        <v>Sin aporte de Omega 3</v>
      </c>
      <c r="BX454" s="18" t="str">
        <f t="shared" si="229"/>
        <v>Libre de grasas trans</v>
      </c>
      <c r="BY454" s="18" t="str">
        <f t="shared" si="230"/>
        <v>Bajo poder antioxidante</v>
      </c>
      <c r="BZ454" s="6" t="str">
        <f t="shared" si="218"/>
        <v>Sin probióticos</v>
      </c>
      <c r="CA454" s="18" t="str">
        <f t="shared" si="231"/>
        <v>Poco inflamatorio</v>
      </c>
      <c r="CB454" s="18" t="str">
        <f>IF(ISNUMBER(SEARCH("miel", D454)), "No irritante (Uso condicionado SII)", IF(OR(J454&gt;0, ISNUMBER(SEARCH("cacao", D454)), ISNUMBER(SEARCH("chocolate puro", D454))), "Altamente irritante", IF(OR(AND(O454&gt;15, BI454&gt;1), ISNUMBER(SEARCH("chocolate", D454))), "Moderadamente irritante", "No irritante")))</f>
        <v>No irritante</v>
      </c>
      <c r="CC454" s="6" t="str">
        <f t="shared" si="219"/>
        <v>Sin Omega 3 para evaluar</v>
      </c>
    </row>
    <row r="455" spans="1:81" ht="15" customHeight="1" x14ac:dyDescent="0.3">
      <c r="A455" s="2">
        <f t="shared" si="220"/>
        <v>454</v>
      </c>
      <c r="B455" s="3" t="s">
        <v>584</v>
      </c>
      <c r="C455" s="3" t="s">
        <v>585</v>
      </c>
      <c r="D455" s="3" t="s">
        <v>606</v>
      </c>
      <c r="E455" s="3"/>
      <c r="F455" s="4">
        <v>1.5</v>
      </c>
      <c r="G455" s="5">
        <v>1</v>
      </c>
      <c r="H455" s="5">
        <v>324</v>
      </c>
      <c r="I455" s="5">
        <v>7.6</v>
      </c>
      <c r="J455" s="5">
        <v>0</v>
      </c>
      <c r="K455" s="5">
        <v>12.7</v>
      </c>
      <c r="L455" s="5">
        <v>32.4</v>
      </c>
      <c r="M455" s="5">
        <v>28.3</v>
      </c>
      <c r="N455" s="5">
        <v>4.0999999999999996</v>
      </c>
      <c r="O455" s="5">
        <v>0</v>
      </c>
      <c r="P455" s="5">
        <v>40.299999999999997</v>
      </c>
      <c r="Q455" s="5">
        <v>7</v>
      </c>
      <c r="R455" s="5">
        <v>0.53</v>
      </c>
      <c r="S455" s="5">
        <v>0.94</v>
      </c>
      <c r="T455" s="5">
        <v>4.4000000000000004</v>
      </c>
      <c r="U455" s="5">
        <v>0</v>
      </c>
      <c r="V455" s="5">
        <v>403</v>
      </c>
      <c r="W455" s="5">
        <v>0</v>
      </c>
      <c r="X455" s="5">
        <v>4806</v>
      </c>
      <c r="Y455" s="5">
        <v>0</v>
      </c>
      <c r="Z455" s="5">
        <v>1.7</v>
      </c>
      <c r="AA455" s="5">
        <v>0</v>
      </c>
      <c r="AB455" s="5">
        <v>0.28999999999999998</v>
      </c>
      <c r="AC455" s="5">
        <v>0.32</v>
      </c>
      <c r="AD455" s="5">
        <v>4.0999999999999996</v>
      </c>
      <c r="AE455" s="5">
        <v>1.2</v>
      </c>
      <c r="AF455" s="5">
        <v>274</v>
      </c>
      <c r="AG455" s="5">
        <v>0</v>
      </c>
      <c r="AH455" s="5">
        <v>0</v>
      </c>
      <c r="AI455" s="5">
        <v>0</v>
      </c>
      <c r="AJ455" s="5">
        <v>51.4</v>
      </c>
      <c r="AK455" s="5">
        <v>1990</v>
      </c>
      <c r="AL455" s="5">
        <v>306</v>
      </c>
      <c r="AM455" s="5">
        <v>82.7</v>
      </c>
      <c r="AN455" s="5">
        <v>0</v>
      </c>
      <c r="AO455" s="5">
        <v>3.6</v>
      </c>
      <c r="AP455" s="5">
        <v>346</v>
      </c>
      <c r="AQ455" s="5">
        <v>77</v>
      </c>
      <c r="AR455" s="5">
        <v>1522</v>
      </c>
      <c r="AS455" s="5">
        <v>0</v>
      </c>
      <c r="AT455" s="5">
        <v>0</v>
      </c>
      <c r="AU455" s="5">
        <v>4.5</v>
      </c>
      <c r="AV455" s="5">
        <f>IFERROR(VLOOKUP(IFERROR(VLOOKUP(D455,Mapa_Similitud!$A$2:$B$2000,2,FALSE()),D455),Hoja1!$A$2:$K$1000,2,FALSE()),IFERROR(VLOOKUP(IFERROR(VLOOKUP(D455,Mapa_Similitud!$A$2:$B$2000,2,FALSE()),D455),Omega3_Referencia!$A$2:$E$100,3,FALSE()),0))</f>
        <v>0.04</v>
      </c>
      <c r="AW455" s="3" t="str">
        <f>IFERROR(VLOOKUP(IFERROR(VLOOKUP(D455,Mapa_Similitud!$A$2:$B$2000,2,FALSE()),D455),Hoja1!$A$2:$K$1000,3,FALSE()),IFERROR(VLOOKUP(IFERROR(VLOOKUP(D455,Mapa_Similitud!$A$2:$B$2000,2,FALSE()),D455),Omega3_Referencia!$A$2:$E$100,4,FALSE()),"N/A"))</f>
        <v>ALA</v>
      </c>
      <c r="AX455" s="5">
        <f>IFERROR(VLOOKUP(IFERROR(VLOOKUP(D455,Mapa_Similitud!$A$2:$B$2000,2,FALSE()),D455),Hoja1!$A$2:$K$1000,5,FALSE()),0)</f>
        <v>0</v>
      </c>
      <c r="AY455" s="5">
        <f>IFERROR(VLOOKUP(IFERROR(VLOOKUP(D455,Mapa_Similitud!$A$2:$B$2000,2,FALSE()),D455),Hoja1!$A$2:$K$1000,7,FALSE()),0)</f>
        <v>1300</v>
      </c>
      <c r="AZ455" s="5">
        <f>IFERROR(VLOOKUP(IFERROR(VLOOKUP(D455,Mapa_Similitud!$A$2:$B$2000,2,FALSE()),D455),Hoja1!$A$2:$K$1000,9,FALSE()),0)</f>
        <v>0</v>
      </c>
      <c r="BA455" s="25">
        <f t="shared" si="203"/>
        <v>3.9197530864197527E-2</v>
      </c>
      <c r="BB455" s="25">
        <f t="shared" si="204"/>
        <v>0.12438271604938271</v>
      </c>
      <c r="BC455" s="25">
        <f t="shared" si="205"/>
        <v>6.1419753086419755</v>
      </c>
      <c r="BD455" s="25">
        <f t="shared" si="206"/>
        <v>0.25524691358024693</v>
      </c>
      <c r="BE455" s="25">
        <f t="shared" si="207"/>
        <v>0.23765432098765432</v>
      </c>
      <c r="BF455" s="25">
        <f t="shared" si="208"/>
        <v>8.3018867924528301</v>
      </c>
      <c r="BG455" s="25">
        <f t="shared" si="209"/>
        <v>6.5032679738562091</v>
      </c>
      <c r="BH455" s="25">
        <f t="shared" si="210"/>
        <v>7.571428571428572E-2</v>
      </c>
      <c r="BI455" s="25">
        <f t="shared" si="211"/>
        <v>5.059132720105125E-2</v>
      </c>
      <c r="BJ455" s="25">
        <f t="shared" si="212"/>
        <v>0.12654320987654322</v>
      </c>
      <c r="BK455" s="25">
        <f t="shared" si="213"/>
        <v>1.2438271604938271</v>
      </c>
      <c r="BL455" s="25">
        <f t="shared" si="214"/>
        <v>0.19444444444444445</v>
      </c>
      <c r="BM455" s="25">
        <f t="shared" si="215"/>
        <v>1.0679012345679013</v>
      </c>
      <c r="BN455" s="18" t="str">
        <f t="shared" si="221"/>
        <v>Baja fuente de proteína</v>
      </c>
      <c r="BO455" s="18" t="str">
        <f t="shared" si="222"/>
        <v>Alta fuente de fibra</v>
      </c>
      <c r="BP455" s="18" t="str">
        <f t="shared" si="223"/>
        <v>Alta fuente de calcio</v>
      </c>
      <c r="BQ455" s="18" t="str">
        <f t="shared" si="224"/>
        <v>Alta fuente de hierro</v>
      </c>
      <c r="BR455" s="18" t="str">
        <f t="shared" si="225"/>
        <v>Bajo en sodio</v>
      </c>
      <c r="BS455" s="6" t="str">
        <f t="shared" si="216"/>
        <v>Altamente antiinflamatorio</v>
      </c>
      <c r="BT455" s="6" t="str">
        <f t="shared" si="217"/>
        <v>Bajo en grasas</v>
      </c>
      <c r="BU455" s="18" t="str">
        <f t="shared" si="226"/>
        <v>Equilibrio de líquidos ideal</v>
      </c>
      <c r="BV455" s="18" t="str">
        <f t="shared" si="227"/>
        <v>Alta fuente de magnesio</v>
      </c>
      <c r="BW455" s="18" t="str">
        <f t="shared" si="228"/>
        <v>Sin aporte de Omega 3</v>
      </c>
      <c r="BX455" s="18" t="str">
        <f t="shared" si="229"/>
        <v>Libre de grasas trans</v>
      </c>
      <c r="BY455" s="18" t="str">
        <f t="shared" si="230"/>
        <v>Alto poder antioxidante</v>
      </c>
      <c r="BZ455" s="6" t="str">
        <f t="shared" si="218"/>
        <v>Sin probióticos</v>
      </c>
      <c r="CA455" s="18" t="str">
        <f t="shared" si="231"/>
        <v>Antiinflamatorio</v>
      </c>
      <c r="CB455" s="18" t="str">
        <f>IF(ISNUMBER(SEARCH("miel", D455)), "No irritante (Uso condicionado SII)", IF(OR(J455&gt;0, ISNUMBER(SEARCH("cacao", D455)), ISNUMBER(SEARCH("chocolate puro", D455))), "Altamente irritante", IF(OR(AND(O455&gt;15, BI455&gt;1), ISNUMBER(SEARCH("chocolate", D455))), "Moderadamente irritante", "No irritante")))</f>
        <v>No irritante</v>
      </c>
      <c r="CC455" s="6" t="str">
        <f t="shared" si="219"/>
        <v>Exceso relativo de Omega 6</v>
      </c>
    </row>
    <row r="456" spans="1:81" ht="15" customHeight="1" x14ac:dyDescent="0.3">
      <c r="A456" s="2">
        <f t="shared" si="220"/>
        <v>455</v>
      </c>
      <c r="B456" s="3" t="s">
        <v>584</v>
      </c>
      <c r="C456" s="3" t="s">
        <v>585</v>
      </c>
      <c r="D456" s="3" t="s">
        <v>607</v>
      </c>
      <c r="E456" s="3"/>
      <c r="F456" s="4">
        <v>1.5</v>
      </c>
      <c r="G456" s="5">
        <v>1</v>
      </c>
      <c r="H456" s="5">
        <v>67.3</v>
      </c>
      <c r="I456" s="5">
        <v>80.400000000000006</v>
      </c>
      <c r="J456" s="5">
        <v>0</v>
      </c>
      <c r="K456" s="5">
        <v>3.8</v>
      </c>
      <c r="L456" s="5">
        <v>6.9</v>
      </c>
      <c r="M456" s="5">
        <v>0</v>
      </c>
      <c r="N456" s="5">
        <v>6.9</v>
      </c>
      <c r="O456" s="5">
        <v>0</v>
      </c>
      <c r="P456" s="5">
        <v>8</v>
      </c>
      <c r="Q456" s="5">
        <v>0.94</v>
      </c>
      <c r="R456" s="5">
        <v>0.25</v>
      </c>
      <c r="S456" s="5">
        <v>3.3000000000000002E-2</v>
      </c>
      <c r="T456" s="5">
        <v>0.51</v>
      </c>
      <c r="U456" s="5">
        <v>0</v>
      </c>
      <c r="V456" s="5">
        <v>212</v>
      </c>
      <c r="W456" s="5">
        <v>0</v>
      </c>
      <c r="X456" s="5">
        <v>1272</v>
      </c>
      <c r="Y456" s="5">
        <v>0</v>
      </c>
      <c r="Z456" s="5">
        <v>0</v>
      </c>
      <c r="AA456" s="5">
        <v>0</v>
      </c>
      <c r="AB456" s="5">
        <v>8.2000000000000003E-2</v>
      </c>
      <c r="AC456" s="5">
        <v>0.27</v>
      </c>
      <c r="AD456" s="5">
        <v>2.7</v>
      </c>
      <c r="AE456" s="5">
        <v>0.13</v>
      </c>
      <c r="AF456" s="5">
        <v>114</v>
      </c>
      <c r="AG456" s="5">
        <v>0</v>
      </c>
      <c r="AH456" s="5">
        <v>0.34</v>
      </c>
      <c r="AI456" s="5">
        <v>0</v>
      </c>
      <c r="AJ456" s="5">
        <v>31.8</v>
      </c>
      <c r="AK456" s="5">
        <v>243</v>
      </c>
      <c r="AL456" s="5">
        <v>73</v>
      </c>
      <c r="AM456" s="5">
        <v>5.0999999999999996</v>
      </c>
      <c r="AN456" s="5">
        <v>0</v>
      </c>
      <c r="AO456" s="5">
        <v>1.1000000000000001</v>
      </c>
      <c r="AP456" s="5">
        <v>80</v>
      </c>
      <c r="AQ456" s="5">
        <v>31</v>
      </c>
      <c r="AR456" s="5">
        <v>569</v>
      </c>
      <c r="AS456" s="5">
        <v>1.2</v>
      </c>
      <c r="AT456" s="5">
        <v>0.33</v>
      </c>
      <c r="AU456" s="5">
        <v>0</v>
      </c>
      <c r="AV456" s="5">
        <f>IFERROR(VLOOKUP(IFERROR(VLOOKUP(D456,Mapa_Similitud!$A$2:$B$2000,2,FALSE()),D456),Hoja1!$A$2:$K$1000,2,FALSE()),IFERROR(VLOOKUP(IFERROR(VLOOKUP(D456,Mapa_Similitud!$A$2:$B$2000,2,FALSE()),D456),Omega3_Referencia!$A$2:$E$100,3,FALSE()),0))</f>
        <v>0.05</v>
      </c>
      <c r="AW456" s="3" t="str">
        <f>IFERROR(VLOOKUP(IFERROR(VLOOKUP(D456,Mapa_Similitud!$A$2:$B$2000,2,FALSE()),D456),Hoja1!$A$2:$K$1000,3,FALSE()),IFERROR(VLOOKUP(IFERROR(VLOOKUP(D456,Mapa_Similitud!$A$2:$B$2000,2,FALSE()),D456),Omega3_Referencia!$A$2:$E$100,4,FALSE()),"N/A"))</f>
        <v>ALA</v>
      </c>
      <c r="AX456" s="5">
        <f>IFERROR(VLOOKUP(IFERROR(VLOOKUP(D456,Mapa_Similitud!$A$2:$B$2000,2,FALSE()),D456),Hoja1!$A$2:$K$1000,5,FALSE()),0)</f>
        <v>0</v>
      </c>
      <c r="AY456" s="5">
        <f>IFERROR(VLOOKUP(IFERROR(VLOOKUP(D456,Mapa_Similitud!$A$2:$B$2000,2,FALSE()),D456),Hoja1!$A$2:$K$1000,7,FALSE()),0)</f>
        <v>11900</v>
      </c>
      <c r="AZ456" s="5">
        <f>IFERROR(VLOOKUP(IFERROR(VLOOKUP(D456,Mapa_Similitud!$A$2:$B$2000,2,FALSE()),D456),Hoja1!$A$2:$K$1000,9,FALSE()),0)</f>
        <v>0</v>
      </c>
      <c r="BA456" s="25">
        <f t="shared" si="203"/>
        <v>5.6463595839524518E-2</v>
      </c>
      <c r="BB456" s="25">
        <f t="shared" si="204"/>
        <v>0.11887072808320952</v>
      </c>
      <c r="BC456" s="25">
        <f t="shared" si="205"/>
        <v>3.6106983655274889</v>
      </c>
      <c r="BD456" s="25">
        <f t="shared" si="206"/>
        <v>7.5780089153046057E-2</v>
      </c>
      <c r="BE456" s="25">
        <f t="shared" si="207"/>
        <v>0.46062407132243688</v>
      </c>
      <c r="BF456" s="25">
        <f t="shared" si="208"/>
        <v>2.04</v>
      </c>
      <c r="BG456" s="25">
        <f t="shared" si="209"/>
        <v>3.3287671232876712</v>
      </c>
      <c r="BH456" s="25">
        <f t="shared" si="210"/>
        <v>0.26595744680851063</v>
      </c>
      <c r="BI456" s="25">
        <f t="shared" si="211"/>
        <v>5.4481546572934976E-2</v>
      </c>
      <c r="BJ456" s="25">
        <f t="shared" si="212"/>
        <v>1</v>
      </c>
      <c r="BK456" s="25">
        <f t="shared" si="213"/>
        <v>1.1594202898550725</v>
      </c>
      <c r="BL456" s="25">
        <f t="shared" si="214"/>
        <v>0.12570579494799405</v>
      </c>
      <c r="BM456" s="25">
        <f t="shared" si="215"/>
        <v>1.1887072808320951</v>
      </c>
      <c r="BN456" s="18" t="str">
        <f t="shared" si="221"/>
        <v>Baja fuente de proteína</v>
      </c>
      <c r="BO456" s="18" t="str">
        <f t="shared" si="222"/>
        <v>Alta fuente de fibra</v>
      </c>
      <c r="BP456" s="18" t="str">
        <f t="shared" si="223"/>
        <v>Alta fuente de calcio</v>
      </c>
      <c r="BQ456" s="18" t="str">
        <f t="shared" si="224"/>
        <v>Alta fuente de hierro</v>
      </c>
      <c r="BR456" s="18" t="str">
        <f t="shared" si="225"/>
        <v>Bajo en sodio</v>
      </c>
      <c r="BS456" s="6" t="str">
        <f t="shared" si="216"/>
        <v>Altamente antiinflamatorio</v>
      </c>
      <c r="BT456" s="6" t="str">
        <f t="shared" si="217"/>
        <v>Bajo en grasas</v>
      </c>
      <c r="BU456" s="18" t="str">
        <f t="shared" si="226"/>
        <v>Equilibrio de líquidos ideal</v>
      </c>
      <c r="BV456" s="18" t="str">
        <f t="shared" si="227"/>
        <v>Alta fuente de magnesio</v>
      </c>
      <c r="BW456" s="18" t="str">
        <f t="shared" si="228"/>
        <v>Sin aporte de Omega 3</v>
      </c>
      <c r="BX456" s="18" t="str">
        <f t="shared" si="229"/>
        <v>Libre de grasas trans</v>
      </c>
      <c r="BY456" s="18" t="str">
        <f t="shared" si="230"/>
        <v>Alto poder antioxidante</v>
      </c>
      <c r="BZ456" s="6" t="str">
        <f t="shared" si="218"/>
        <v>Sin probióticos</v>
      </c>
      <c r="CA456" s="18" t="str">
        <f t="shared" si="231"/>
        <v>Antiinflamatorio</v>
      </c>
      <c r="CB456" s="18" t="str">
        <f>IF(ISNUMBER(SEARCH("miel", D456)), "No irritante (Uso condicionado SII)", IF(OR(J456&gt;0, ISNUMBER(SEARCH("cacao", D456)), ISNUMBER(SEARCH("chocolate puro", D456))), "Altamente irritante", IF(OR(AND(O456&gt;15, BI456&gt;1), ISNUMBER(SEARCH("chocolate", D456))), "Moderadamente irritante", "No irritante")))</f>
        <v>No irritante</v>
      </c>
      <c r="CC456" s="6" t="str">
        <f t="shared" si="219"/>
        <v>Exceso relativo de Omega 6</v>
      </c>
    </row>
    <row r="457" spans="1:81" ht="15" customHeight="1" x14ac:dyDescent="0.3">
      <c r="A457" s="2">
        <f t="shared" si="220"/>
        <v>456</v>
      </c>
      <c r="B457" s="3" t="s">
        <v>584</v>
      </c>
      <c r="C457" s="3" t="s">
        <v>585</v>
      </c>
      <c r="D457" s="3" t="s">
        <v>608</v>
      </c>
      <c r="E457" s="3"/>
      <c r="F457" s="4">
        <v>1.5</v>
      </c>
      <c r="G457" s="5">
        <v>1</v>
      </c>
      <c r="H457" s="5">
        <v>506</v>
      </c>
      <c r="I457" s="5">
        <v>8.6</v>
      </c>
      <c r="J457" s="5">
        <v>0</v>
      </c>
      <c r="K457" s="5">
        <v>5.8</v>
      </c>
      <c r="L457" s="5">
        <v>28.5</v>
      </c>
      <c r="M457" s="5">
        <v>0</v>
      </c>
      <c r="N457" s="5">
        <v>28.5</v>
      </c>
      <c r="O457" s="5">
        <v>0</v>
      </c>
      <c r="P457" s="5">
        <v>20.8</v>
      </c>
      <c r="Q457" s="5">
        <v>36.299999999999997</v>
      </c>
      <c r="R457" s="5">
        <v>25.9</v>
      </c>
      <c r="S457" s="5">
        <v>3.2</v>
      </c>
      <c r="T457" s="5">
        <v>0.35</v>
      </c>
      <c r="U457" s="5">
        <v>0</v>
      </c>
      <c r="V457" s="5">
        <v>10.199999999999999</v>
      </c>
      <c r="W457" s="5">
        <v>0</v>
      </c>
      <c r="X457" s="5">
        <v>61</v>
      </c>
      <c r="Y457" s="5">
        <v>0</v>
      </c>
      <c r="Z457" s="5">
        <v>5.2999999999999999E-2</v>
      </c>
      <c r="AA457" s="5">
        <v>0</v>
      </c>
      <c r="AB457" s="5">
        <v>0.35</v>
      </c>
      <c r="AC457" s="5">
        <v>5.7000000000000002E-2</v>
      </c>
      <c r="AD457" s="5">
        <v>1.3</v>
      </c>
      <c r="AE457" s="5">
        <v>0.16</v>
      </c>
      <c r="AF457" s="5">
        <v>76</v>
      </c>
      <c r="AG457" s="5">
        <v>0</v>
      </c>
      <c r="AH457" s="5">
        <v>0</v>
      </c>
      <c r="AI457" s="5">
        <v>0</v>
      </c>
      <c r="AJ457" s="5">
        <v>3</v>
      </c>
      <c r="AK457" s="5">
        <v>184</v>
      </c>
      <c r="AL457" s="5">
        <v>213</v>
      </c>
      <c r="AM457" s="5">
        <v>3</v>
      </c>
      <c r="AN457" s="5">
        <v>0</v>
      </c>
      <c r="AO457" s="5">
        <v>2.2000000000000002</v>
      </c>
      <c r="AP457" s="5">
        <v>183</v>
      </c>
      <c r="AQ457" s="5">
        <v>16</v>
      </c>
      <c r="AR457" s="5">
        <v>350</v>
      </c>
      <c r="AS457" s="5">
        <v>2.9</v>
      </c>
      <c r="AT457" s="5">
        <v>1</v>
      </c>
      <c r="AU457" s="5">
        <v>1.6</v>
      </c>
      <c r="AV457" s="5">
        <f>IFERROR(VLOOKUP(IFERROR(VLOOKUP(D457,Mapa_Similitud!$A$2:$B$2000,2,FALSE()),D457),Hoja1!$A$2:$K$1000,2,FALSE()),IFERROR(VLOOKUP(IFERROR(VLOOKUP(D457,Mapa_Similitud!$A$2:$B$2000,2,FALSE()),D457),Omega3_Referencia!$A$2:$E$100,3,FALSE()),0))</f>
        <v>0.04</v>
      </c>
      <c r="AW457" s="3" t="str">
        <f>IFERROR(VLOOKUP(IFERROR(VLOOKUP(D457,Mapa_Similitud!$A$2:$B$2000,2,FALSE()),D457),Hoja1!$A$2:$K$1000,3,FALSE()),IFERROR(VLOOKUP(IFERROR(VLOOKUP(D457,Mapa_Similitud!$A$2:$B$2000,2,FALSE()),D457),Omega3_Referencia!$A$2:$E$100,4,FALSE()),"N/A"))</f>
        <v>ALA</v>
      </c>
      <c r="AX457" s="5">
        <f>IFERROR(VLOOKUP(IFERROR(VLOOKUP(D457,Mapa_Similitud!$A$2:$B$2000,2,FALSE()),D457),Hoja1!$A$2:$K$1000,5,FALSE()),0)</f>
        <v>0</v>
      </c>
      <c r="AY457" s="5">
        <f>IFERROR(VLOOKUP(IFERROR(VLOOKUP(D457,Mapa_Similitud!$A$2:$B$2000,2,FALSE()),D457),Hoja1!$A$2:$K$1000,7,FALSE()),0)</f>
        <v>1300</v>
      </c>
      <c r="AZ457" s="5">
        <f>IFERROR(VLOOKUP(IFERROR(VLOOKUP(D457,Mapa_Similitud!$A$2:$B$2000,2,FALSE()),D457),Hoja1!$A$2:$K$1000,9,FALSE()),0)</f>
        <v>0</v>
      </c>
      <c r="BA457" s="25">
        <f t="shared" si="203"/>
        <v>1.1462450592885375E-2</v>
      </c>
      <c r="BB457" s="25">
        <f t="shared" si="204"/>
        <v>4.1106719367588931E-2</v>
      </c>
      <c r="BC457" s="25">
        <f t="shared" si="205"/>
        <v>0.36363636363636365</v>
      </c>
      <c r="BD457" s="25">
        <f t="shared" si="206"/>
        <v>5.9288537549407111E-3</v>
      </c>
      <c r="BE457" s="25">
        <f t="shared" si="207"/>
        <v>3.1620553359683792E-2</v>
      </c>
      <c r="BF457" s="25">
        <f t="shared" si="208"/>
        <v>1.3513513513513514E-2</v>
      </c>
      <c r="BG457" s="25">
        <f t="shared" si="209"/>
        <v>0.863849765258216</v>
      </c>
      <c r="BH457" s="25">
        <f t="shared" si="210"/>
        <v>0.71349862258953167</v>
      </c>
      <c r="BI457" s="25">
        <f t="shared" si="211"/>
        <v>4.5714285714285714E-2</v>
      </c>
      <c r="BJ457" s="25">
        <f t="shared" si="212"/>
        <v>1</v>
      </c>
      <c r="BK457" s="25">
        <f t="shared" si="213"/>
        <v>0.72982456140350882</v>
      </c>
      <c r="BL457" s="25">
        <f t="shared" si="214"/>
        <v>0.64565217391304341</v>
      </c>
      <c r="BM457" s="25">
        <f t="shared" si="215"/>
        <v>0.36166007905138342</v>
      </c>
      <c r="BN457" s="18" t="str">
        <f t="shared" si="221"/>
        <v>Baja fuente de proteína</v>
      </c>
      <c r="BO457" s="18" t="str">
        <f t="shared" si="222"/>
        <v>Alta fuente de fibra</v>
      </c>
      <c r="BP457" s="18" t="str">
        <f t="shared" si="223"/>
        <v>Baja fuente de calcio</v>
      </c>
      <c r="BQ457" s="18" t="str">
        <f t="shared" si="224"/>
        <v>Baja fuente de hierro</v>
      </c>
      <c r="BR457" s="18" t="str">
        <f t="shared" si="225"/>
        <v>Bajo en sodio</v>
      </c>
      <c r="BS457" s="6" t="str">
        <f t="shared" si="216"/>
        <v>Proinflamatorio</v>
      </c>
      <c r="BT457" s="6" t="str">
        <f t="shared" si="217"/>
        <v>Muy alto en grasas</v>
      </c>
      <c r="BU457" s="18" t="str">
        <f t="shared" si="226"/>
        <v>Equilibrio de líquidos ideal</v>
      </c>
      <c r="BV457" s="18" t="str">
        <f t="shared" si="227"/>
        <v>Media fuente de magnesio</v>
      </c>
      <c r="BW457" s="18" t="str">
        <f t="shared" si="228"/>
        <v>Sin aporte de Omega 3</v>
      </c>
      <c r="BX457" s="18" t="str">
        <f t="shared" si="229"/>
        <v>Libre de grasas trans</v>
      </c>
      <c r="BY457" s="18" t="str">
        <f t="shared" si="230"/>
        <v>Alto poder antioxidante</v>
      </c>
      <c r="BZ457" s="6" t="str">
        <f t="shared" si="218"/>
        <v>Sin probióticos</v>
      </c>
      <c r="CA457" s="18" t="str">
        <f t="shared" si="231"/>
        <v>Antiinflamatorio</v>
      </c>
      <c r="CB457" s="18" t="str">
        <f>IF(ISNUMBER(SEARCH("miel", D457)), "No irritante (Uso condicionado SII)", IF(OR(J457&gt;0, ISNUMBER(SEARCH("cacao", D457)), ISNUMBER(SEARCH("chocolate puro", D457))), "Altamente irritante", IF(OR(AND(O457&gt;15, BI457&gt;1), ISNUMBER(SEARCH("chocolate", D457))), "Moderadamente irritante", "No irritante")))</f>
        <v>No irritante</v>
      </c>
      <c r="CC457" s="6" t="str">
        <f t="shared" si="219"/>
        <v>Exceso relativo de Omega 6</v>
      </c>
    </row>
    <row r="458" spans="1:81" ht="15" customHeight="1" x14ac:dyDescent="0.3">
      <c r="A458" s="2">
        <f t="shared" si="220"/>
        <v>457</v>
      </c>
      <c r="B458" s="3" t="s">
        <v>584</v>
      </c>
      <c r="C458" s="3" t="s">
        <v>585</v>
      </c>
      <c r="D458" s="3" t="s">
        <v>609</v>
      </c>
      <c r="E458" s="3"/>
      <c r="F458" s="4">
        <v>1.5</v>
      </c>
      <c r="G458" s="5">
        <v>1</v>
      </c>
      <c r="H458" s="5">
        <v>65.599999999999994</v>
      </c>
      <c r="I458" s="5">
        <v>86.1</v>
      </c>
      <c r="J458" s="5">
        <v>0</v>
      </c>
      <c r="K458" s="5">
        <v>2.2000000000000002</v>
      </c>
      <c r="L458" s="5">
        <v>9.6999999999999993</v>
      </c>
      <c r="M458" s="5">
        <v>7.9</v>
      </c>
      <c r="N458" s="5">
        <v>1.8</v>
      </c>
      <c r="O458" s="5">
        <v>0</v>
      </c>
      <c r="P458" s="5">
        <v>0</v>
      </c>
      <c r="Q458" s="5">
        <v>2</v>
      </c>
      <c r="R458" s="5">
        <v>0</v>
      </c>
      <c r="S458" s="5">
        <v>0</v>
      </c>
      <c r="T458" s="5">
        <v>0</v>
      </c>
      <c r="U458" s="5">
        <v>0</v>
      </c>
      <c r="V458" s="5">
        <v>135</v>
      </c>
      <c r="W458" s="5">
        <v>0</v>
      </c>
      <c r="X458" s="5">
        <v>810</v>
      </c>
      <c r="Y458" s="5">
        <v>0</v>
      </c>
      <c r="Z458" s="5">
        <v>0</v>
      </c>
      <c r="AA458" s="5">
        <v>0</v>
      </c>
      <c r="AB458" s="5">
        <v>7.0000000000000007E-2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45</v>
      </c>
      <c r="AK458" s="5">
        <v>310</v>
      </c>
      <c r="AL458" s="5">
        <v>39</v>
      </c>
      <c r="AM458" s="5">
        <v>0</v>
      </c>
      <c r="AN458" s="5">
        <v>0</v>
      </c>
      <c r="AO458" s="5">
        <v>0.9</v>
      </c>
      <c r="AP458" s="5">
        <v>53</v>
      </c>
      <c r="AQ458" s="5">
        <v>3</v>
      </c>
      <c r="AR458" s="5">
        <v>330</v>
      </c>
      <c r="AS458" s="5">
        <v>0</v>
      </c>
      <c r="AT458" s="5">
        <v>0</v>
      </c>
      <c r="AU458" s="5">
        <v>0</v>
      </c>
      <c r="AV458" s="5">
        <f>IFERROR(VLOOKUP(IFERROR(VLOOKUP(D458,Mapa_Similitud!$A$2:$B$2000,2,FALSE()),D458),Hoja1!$A$2:$K$1000,2,FALSE()),IFERROR(VLOOKUP(IFERROR(VLOOKUP(D458,Mapa_Similitud!$A$2:$B$2000,2,FALSE()),D458),Omega3_Referencia!$A$2:$E$100,3,FALSE()),0))</f>
        <v>0.2</v>
      </c>
      <c r="AW458" s="3" t="str">
        <f>IFERROR(VLOOKUP(IFERROR(VLOOKUP(D458,Mapa_Similitud!$A$2:$B$2000,2,FALSE()),D458),Hoja1!$A$2:$K$1000,3,FALSE()),IFERROR(VLOOKUP(IFERROR(VLOOKUP(D458,Mapa_Similitud!$A$2:$B$2000,2,FALSE()),D458),Omega3_Referencia!$A$2:$E$100,4,FALSE()),"N/A"))</f>
        <v>ALA</v>
      </c>
      <c r="AX458" s="5">
        <f>IFERROR(VLOOKUP(IFERROR(VLOOKUP(D458,Mapa_Similitud!$A$2:$B$2000,2,FALSE()),D458),Hoja1!$A$2:$K$1000,5,FALSE()),0)</f>
        <v>0</v>
      </c>
      <c r="AY458" s="5">
        <f>IFERROR(VLOOKUP(IFERROR(VLOOKUP(D458,Mapa_Similitud!$A$2:$B$2000,2,FALSE()),D458),Hoja1!$A$2:$K$1000,7,FALSE()),0)</f>
        <v>8000</v>
      </c>
      <c r="AZ458" s="5">
        <f>IFERROR(VLOOKUP(IFERROR(VLOOKUP(D458,Mapa_Similitud!$A$2:$B$2000,2,FALSE()),D458),Hoja1!$A$2:$K$1000,9,FALSE()),0)</f>
        <v>0</v>
      </c>
      <c r="BA458" s="25">
        <f t="shared" si="203"/>
        <v>3.3536585365853668E-2</v>
      </c>
      <c r="BB458" s="25">
        <f t="shared" si="204"/>
        <v>0</v>
      </c>
      <c r="BC458" s="25">
        <f t="shared" si="205"/>
        <v>4.725609756097561</v>
      </c>
      <c r="BD458" s="25">
        <f t="shared" si="206"/>
        <v>0</v>
      </c>
      <c r="BE458" s="25">
        <f t="shared" si="207"/>
        <v>4.5731707317073177E-2</v>
      </c>
      <c r="BF458" s="25">
        <f t="shared" si="208"/>
        <v>0</v>
      </c>
      <c r="BG458" s="25">
        <f t="shared" si="209"/>
        <v>7.9487179487179489</v>
      </c>
      <c r="BH458" s="25">
        <f t="shared" si="210"/>
        <v>0</v>
      </c>
      <c r="BI458" s="25">
        <f t="shared" si="211"/>
        <v>9.0909090909090905E-3</v>
      </c>
      <c r="BJ458" s="25">
        <f t="shared" si="212"/>
        <v>0.18556701030927836</v>
      </c>
      <c r="BK458" s="25">
        <f t="shared" si="213"/>
        <v>0</v>
      </c>
      <c r="BL458" s="25">
        <f t="shared" si="214"/>
        <v>0.27439024390243905</v>
      </c>
      <c r="BM458" s="25">
        <f t="shared" si="215"/>
        <v>0.80792682926829273</v>
      </c>
      <c r="BN458" s="18" t="str">
        <f t="shared" si="221"/>
        <v>Baja fuente de proteína</v>
      </c>
      <c r="BO458" s="18" t="str">
        <f t="shared" si="222"/>
        <v>Baja fuente de fibra</v>
      </c>
      <c r="BP458" s="18" t="str">
        <f t="shared" si="223"/>
        <v>Alta fuente de calcio</v>
      </c>
      <c r="BQ458" s="18" t="str">
        <f t="shared" si="224"/>
        <v>Baja fuente de hierro</v>
      </c>
      <c r="BR458" s="18" t="str">
        <f t="shared" si="225"/>
        <v>Bajo en sodio</v>
      </c>
      <c r="BS458" s="6" t="str">
        <f t="shared" si="216"/>
        <v>Proinflamatorio</v>
      </c>
      <c r="BT458" s="6" t="str">
        <f t="shared" si="217"/>
        <v>Moderado en grasas</v>
      </c>
      <c r="BU458" s="18" t="str">
        <f t="shared" si="226"/>
        <v>Equilibrio de líquidos ideal</v>
      </c>
      <c r="BV458" s="18" t="str">
        <f t="shared" si="227"/>
        <v>Alta fuente de magnesio</v>
      </c>
      <c r="BW458" s="18" t="str">
        <f t="shared" si="228"/>
        <v>Ligera fuente de Omega 3</v>
      </c>
      <c r="BX458" s="18" t="str">
        <f t="shared" si="229"/>
        <v>Libre de grasas trans</v>
      </c>
      <c r="BY458" s="18" t="str">
        <f t="shared" si="230"/>
        <v>Alto poder antioxidante</v>
      </c>
      <c r="BZ458" s="6" t="str">
        <f t="shared" si="218"/>
        <v>Sin probióticos</v>
      </c>
      <c r="CA458" s="18" t="str">
        <f t="shared" si="231"/>
        <v>Antiinflamatorio</v>
      </c>
      <c r="CB458" s="18" t="str">
        <f>IF(ISNUMBER(SEARCH("miel", D458)), "No irritante (Uso condicionado SII)", IF(OR(J458&gt;0, ISNUMBER(SEARCH("cacao", D458)), ISNUMBER(SEARCH("chocolate puro", D458))), "Altamente irritante", IF(OR(AND(O458&gt;15, BI458&gt;1), ISNUMBER(SEARCH("chocolate", D458))), "Moderadamente irritante", "No irritante")))</f>
        <v>No irritante</v>
      </c>
      <c r="CC458" s="6" t="str">
        <f t="shared" si="219"/>
        <v>Balance de omegas favorable</v>
      </c>
    </row>
    <row r="459" spans="1:81" ht="15" customHeight="1" x14ac:dyDescent="0.3">
      <c r="A459" s="2">
        <f t="shared" si="220"/>
        <v>458</v>
      </c>
      <c r="B459" s="3" t="s">
        <v>584</v>
      </c>
      <c r="C459" s="3" t="s">
        <v>585</v>
      </c>
      <c r="D459" s="3" t="s">
        <v>610</v>
      </c>
      <c r="E459" s="3"/>
      <c r="F459" s="4">
        <v>1.5</v>
      </c>
      <c r="G459" s="5">
        <v>1</v>
      </c>
      <c r="H459" s="5">
        <v>309</v>
      </c>
      <c r="I459" s="5">
        <v>7.2</v>
      </c>
      <c r="J459" s="5">
        <v>0</v>
      </c>
      <c r="K459" s="5">
        <v>11</v>
      </c>
      <c r="L459" s="5">
        <v>21.6</v>
      </c>
      <c r="M459" s="5">
        <v>17.5</v>
      </c>
      <c r="N459" s="5">
        <v>4.0999999999999996</v>
      </c>
      <c r="O459" s="5">
        <v>0</v>
      </c>
      <c r="P459" s="5">
        <v>42.8</v>
      </c>
      <c r="Q459" s="5">
        <v>10.3</v>
      </c>
      <c r="R459" s="5">
        <v>2.7</v>
      </c>
      <c r="S459" s="5">
        <v>0.67</v>
      </c>
      <c r="T459" s="5">
        <v>5.3</v>
      </c>
      <c r="U459" s="5">
        <v>0</v>
      </c>
      <c r="V459" s="5">
        <v>690</v>
      </c>
      <c r="W459" s="5">
        <v>0</v>
      </c>
      <c r="X459" s="5">
        <v>4142</v>
      </c>
      <c r="Y459" s="5">
        <v>0</v>
      </c>
      <c r="Z459" s="5">
        <v>18.899999999999999</v>
      </c>
      <c r="AA459" s="5">
        <v>622</v>
      </c>
      <c r="AB459" s="5">
        <v>0.34</v>
      </c>
      <c r="AC459" s="5">
        <v>0.32</v>
      </c>
      <c r="AD459" s="5">
        <v>6.2</v>
      </c>
      <c r="AE459" s="5">
        <v>1.2</v>
      </c>
      <c r="AF459" s="5">
        <v>274</v>
      </c>
      <c r="AG459" s="5">
        <v>0</v>
      </c>
      <c r="AH459" s="5">
        <v>0</v>
      </c>
      <c r="AI459" s="5">
        <v>0</v>
      </c>
      <c r="AJ459" s="5">
        <v>50</v>
      </c>
      <c r="AK459" s="5">
        <v>1576</v>
      </c>
      <c r="AL459" s="5">
        <v>200</v>
      </c>
      <c r="AM459" s="5">
        <v>44</v>
      </c>
      <c r="AN459" s="5">
        <v>0</v>
      </c>
      <c r="AO459" s="5">
        <v>4.4000000000000004</v>
      </c>
      <c r="AP459" s="5">
        <v>270</v>
      </c>
      <c r="AQ459" s="5">
        <v>15</v>
      </c>
      <c r="AR459" s="5">
        <v>1669</v>
      </c>
      <c r="AS459" s="5">
        <v>4.7</v>
      </c>
      <c r="AT459" s="5">
        <v>0.94</v>
      </c>
      <c r="AU459" s="5">
        <v>5.9</v>
      </c>
      <c r="AV459" s="5">
        <f>IFERROR(VLOOKUP(IFERROR(VLOOKUP(D459,Mapa_Similitud!$A$2:$B$2000,2,FALSE()),D459),Hoja1!$A$2:$K$1000,2,FALSE()),IFERROR(VLOOKUP(IFERROR(VLOOKUP(D459,Mapa_Similitud!$A$2:$B$2000,2,FALSE()),D459),Omega3_Referencia!$A$2:$E$100,3,FALSE()),0))</f>
        <v>0</v>
      </c>
      <c r="AW459" s="3" t="str">
        <f>IFERROR(VLOOKUP(IFERROR(VLOOKUP(D459,Mapa_Similitud!$A$2:$B$2000,2,FALSE()),D459),Hoja1!$A$2:$K$1000,3,FALSE()),IFERROR(VLOOKUP(IFERROR(VLOOKUP(D459,Mapa_Similitud!$A$2:$B$2000,2,FALSE()),D459),Omega3_Referencia!$A$2:$E$100,4,FALSE()),"N/A"))</f>
        <v>N/A</v>
      </c>
      <c r="AX459" s="5">
        <f>IFERROR(VLOOKUP(IFERROR(VLOOKUP(D459,Mapa_Similitud!$A$2:$B$2000,2,FALSE()),D459),Hoja1!$A$2:$K$1000,5,FALSE()),0)</f>
        <v>0</v>
      </c>
      <c r="AY459" s="5">
        <f>IFERROR(VLOOKUP(IFERROR(VLOOKUP(D459,Mapa_Similitud!$A$2:$B$2000,2,FALSE()),D459),Hoja1!$A$2:$K$1000,7,FALSE()),0)</f>
        <v>0</v>
      </c>
      <c r="AZ459" s="5">
        <f>IFERROR(VLOOKUP(IFERROR(VLOOKUP(D459,Mapa_Similitud!$A$2:$B$2000,2,FALSE()),D459),Hoja1!$A$2:$K$1000,9,FALSE()),0)</f>
        <v>0</v>
      </c>
      <c r="BA459" s="25">
        <f t="shared" si="203"/>
        <v>3.5598705501618123E-2</v>
      </c>
      <c r="BB459" s="25">
        <f t="shared" si="204"/>
        <v>0.13851132686084142</v>
      </c>
      <c r="BC459" s="25">
        <f t="shared" si="205"/>
        <v>5.1003236245954691</v>
      </c>
      <c r="BD459" s="25">
        <f t="shared" si="206"/>
        <v>0.14239482200647249</v>
      </c>
      <c r="BE459" s="25">
        <f t="shared" si="207"/>
        <v>4.8543689320388349E-2</v>
      </c>
      <c r="BF459" s="25">
        <f t="shared" si="208"/>
        <v>1.9629629629629628</v>
      </c>
      <c r="BG459" s="25">
        <f t="shared" si="209"/>
        <v>7.88</v>
      </c>
      <c r="BH459" s="25">
        <f t="shared" si="210"/>
        <v>0.26213592233009708</v>
      </c>
      <c r="BI459" s="25">
        <f t="shared" si="211"/>
        <v>8.9874176153385259E-3</v>
      </c>
      <c r="BJ459" s="25">
        <f t="shared" si="212"/>
        <v>0.1898148148148148</v>
      </c>
      <c r="BK459" s="25">
        <f t="shared" si="213"/>
        <v>1.9814814814814812</v>
      </c>
      <c r="BL459" s="25">
        <f t="shared" si="214"/>
        <v>0.3</v>
      </c>
      <c r="BM459" s="25">
        <f t="shared" si="215"/>
        <v>0.87378640776699024</v>
      </c>
      <c r="BN459" s="18" t="str">
        <f t="shared" si="221"/>
        <v>Baja fuente de proteína</v>
      </c>
      <c r="BO459" s="18" t="str">
        <f t="shared" si="222"/>
        <v>Alta fuente de fibra</v>
      </c>
      <c r="BP459" s="18" t="str">
        <f t="shared" si="223"/>
        <v>Alta fuente de calcio</v>
      </c>
      <c r="BQ459" s="18" t="str">
        <f t="shared" si="224"/>
        <v>Alta fuente de hierro</v>
      </c>
      <c r="BR459" s="18" t="str">
        <f t="shared" si="225"/>
        <v>Bajo en sodio</v>
      </c>
      <c r="BS459" s="6" t="str">
        <f t="shared" si="216"/>
        <v>Ligeramente antiinflamatorio</v>
      </c>
      <c r="BT459" s="6" t="str">
        <f t="shared" si="217"/>
        <v>Moderado en grasas</v>
      </c>
      <c r="BU459" s="18" t="str">
        <f t="shared" si="226"/>
        <v>Equilibrio de líquidos ideal</v>
      </c>
      <c r="BV459" s="18" t="str">
        <f t="shared" si="227"/>
        <v>Alta fuente de magnesio</v>
      </c>
      <c r="BW459" s="18" t="str">
        <f t="shared" si="228"/>
        <v>Sin aporte de Omega 3</v>
      </c>
      <c r="BX459" s="18" t="str">
        <f t="shared" si="229"/>
        <v>Libre de grasas trans</v>
      </c>
      <c r="BY459" s="18" t="str">
        <f t="shared" si="230"/>
        <v>Bajo poder antioxidante</v>
      </c>
      <c r="BZ459" s="6" t="str">
        <f t="shared" si="218"/>
        <v>Sin probióticos</v>
      </c>
      <c r="CA459" s="18" t="str">
        <f t="shared" si="231"/>
        <v>Poco inflamatorio</v>
      </c>
      <c r="CB459" s="18" t="str">
        <f>IF(ISNUMBER(SEARCH("miel", D459)), "No irritante (Uso condicionado SII)", IF(OR(J459&gt;0, ISNUMBER(SEARCH("cacao", D459)), ISNUMBER(SEARCH("chocolate puro", D459))), "Altamente irritante", IF(OR(AND(O459&gt;15, BI459&gt;1), ISNUMBER(SEARCH("chocolate", D459))), "Moderadamente irritante", "No irritante")))</f>
        <v>No irritante</v>
      </c>
      <c r="CC459" s="6" t="str">
        <f t="shared" si="219"/>
        <v>Sin Omega 3 para evaluar</v>
      </c>
    </row>
    <row r="460" spans="1:81" ht="15" customHeight="1" x14ac:dyDescent="0.3">
      <c r="A460" s="2">
        <f t="shared" si="220"/>
        <v>459</v>
      </c>
      <c r="B460" s="3" t="s">
        <v>584</v>
      </c>
      <c r="C460" s="3" t="s">
        <v>585</v>
      </c>
      <c r="D460" s="3" t="s">
        <v>611</v>
      </c>
      <c r="E460" s="3"/>
      <c r="F460" s="4">
        <v>1.5</v>
      </c>
      <c r="G460" s="5">
        <v>0.4</v>
      </c>
      <c r="H460" s="5">
        <v>59</v>
      </c>
      <c r="I460" s="5">
        <v>83.6</v>
      </c>
      <c r="J460" s="5">
        <v>0</v>
      </c>
      <c r="K460" s="5">
        <v>4.4000000000000004</v>
      </c>
      <c r="L460" s="5">
        <v>7.4</v>
      </c>
      <c r="M460" s="5">
        <v>0.46</v>
      </c>
      <c r="N460" s="5">
        <v>6.9</v>
      </c>
      <c r="O460" s="5">
        <v>0</v>
      </c>
      <c r="P460" s="5">
        <v>4.3</v>
      </c>
      <c r="Q460" s="5">
        <v>0.36</v>
      </c>
      <c r="R460" s="5">
        <v>4.2999999999999997E-2</v>
      </c>
      <c r="S460" s="5">
        <v>7.1999999999999998E-3</v>
      </c>
      <c r="T460" s="5">
        <v>0.19</v>
      </c>
      <c r="U460" s="5">
        <v>0</v>
      </c>
      <c r="V460" s="5">
        <v>867</v>
      </c>
      <c r="W460" s="5">
        <v>0</v>
      </c>
      <c r="X460" s="5">
        <v>5200</v>
      </c>
      <c r="Y460" s="5">
        <v>0</v>
      </c>
      <c r="Z460" s="5">
        <v>3.7</v>
      </c>
      <c r="AA460" s="5">
        <v>421</v>
      </c>
      <c r="AB460" s="5">
        <v>0.14000000000000001</v>
      </c>
      <c r="AC460" s="5">
        <v>0.3</v>
      </c>
      <c r="AD460" s="5">
        <v>2.5</v>
      </c>
      <c r="AE460" s="5">
        <v>0.2</v>
      </c>
      <c r="AF460" s="5">
        <v>149</v>
      </c>
      <c r="AG460" s="5">
        <v>0</v>
      </c>
      <c r="AH460" s="5">
        <v>0</v>
      </c>
      <c r="AI460" s="5">
        <v>0.4</v>
      </c>
      <c r="AJ460" s="5">
        <v>161</v>
      </c>
      <c r="AK460" s="5">
        <v>179</v>
      </c>
      <c r="AL460" s="5">
        <v>87</v>
      </c>
      <c r="AM460" s="5">
        <v>3.6</v>
      </c>
      <c r="AN460" s="5">
        <v>3.4</v>
      </c>
      <c r="AO460" s="5">
        <v>0.74</v>
      </c>
      <c r="AP460" s="5">
        <v>43</v>
      </c>
      <c r="AQ460" s="5">
        <v>37</v>
      </c>
      <c r="AR460" s="5">
        <v>811</v>
      </c>
      <c r="AS460" s="5">
        <v>0.76</v>
      </c>
      <c r="AT460" s="5">
        <v>0.14000000000000001</v>
      </c>
      <c r="AU460" s="5">
        <v>1.4</v>
      </c>
      <c r="AV460" s="5">
        <f>IFERROR(VLOOKUP(IFERROR(VLOOKUP(D460,Mapa_Similitud!$A$2:$B$2000,2,FALSE()),D460),Hoja1!$A$2:$K$1000,2,FALSE()),IFERROR(VLOOKUP(IFERROR(VLOOKUP(D460,Mapa_Similitud!$A$2:$B$2000,2,FALSE()),D460),Omega3_Referencia!$A$2:$E$100,3,FALSE()),0))</f>
        <v>0.06</v>
      </c>
      <c r="AW460" s="3" t="str">
        <f>IFERROR(VLOOKUP(IFERROR(VLOOKUP(D460,Mapa_Similitud!$A$2:$B$2000,2,FALSE()),D460),Hoja1!$A$2:$K$1000,3,FALSE()),IFERROR(VLOOKUP(IFERROR(VLOOKUP(D460,Mapa_Similitud!$A$2:$B$2000,2,FALSE()),D460),Omega3_Referencia!$A$2:$E$100,4,FALSE()),"N/A"))</f>
        <v>ALA</v>
      </c>
      <c r="AX460" s="5">
        <f>IFERROR(VLOOKUP(IFERROR(VLOOKUP(D460,Mapa_Similitud!$A$2:$B$2000,2,FALSE()),D460),Hoja1!$A$2:$K$1000,5,FALSE()),0)</f>
        <v>0</v>
      </c>
      <c r="AY460" s="5">
        <f>IFERROR(VLOOKUP(IFERROR(VLOOKUP(D460,Mapa_Similitud!$A$2:$B$2000,2,FALSE()),D460),Hoja1!$A$2:$K$1000,7,FALSE()),0)</f>
        <v>1100</v>
      </c>
      <c r="AZ460" s="5">
        <f>IFERROR(VLOOKUP(IFERROR(VLOOKUP(D460,Mapa_Similitud!$A$2:$B$2000,2,FALSE()),D460),Hoja1!$A$2:$K$1000,9,FALSE()),0)</f>
        <v>0</v>
      </c>
      <c r="BA460" s="25">
        <f t="shared" si="203"/>
        <v>7.4576271186440682E-2</v>
      </c>
      <c r="BB460" s="25">
        <f t="shared" si="204"/>
        <v>7.2881355932203393E-2</v>
      </c>
      <c r="BC460" s="25">
        <f t="shared" si="205"/>
        <v>3.0338983050847457</v>
      </c>
      <c r="BD460" s="25">
        <f t="shared" si="206"/>
        <v>6.1016949152542375E-2</v>
      </c>
      <c r="BE460" s="25">
        <f t="shared" si="207"/>
        <v>0.6271186440677966</v>
      </c>
      <c r="BF460" s="25">
        <f t="shared" si="208"/>
        <v>4.4186046511627914</v>
      </c>
      <c r="BG460" s="25">
        <f t="shared" si="209"/>
        <v>2.0574712643678161</v>
      </c>
      <c r="BH460" s="25">
        <f t="shared" si="210"/>
        <v>0.11944444444444444</v>
      </c>
      <c r="BI460" s="25">
        <f t="shared" si="211"/>
        <v>4.562268803945746E-2</v>
      </c>
      <c r="BJ460" s="25">
        <f t="shared" si="212"/>
        <v>0.93243243243243246</v>
      </c>
      <c r="BK460" s="25">
        <f t="shared" si="213"/>
        <v>0.58108108108108103</v>
      </c>
      <c r="BL460" s="25">
        <f t="shared" si="214"/>
        <v>5.491525423728813E-2</v>
      </c>
      <c r="BM460" s="25">
        <f t="shared" si="215"/>
        <v>0.72881355932203384</v>
      </c>
      <c r="BN460" s="18" t="str">
        <f t="shared" si="221"/>
        <v>Baja fuente de proteína</v>
      </c>
      <c r="BO460" s="18" t="str">
        <f t="shared" si="222"/>
        <v>Alta fuente de fibra</v>
      </c>
      <c r="BP460" s="18" t="str">
        <f t="shared" si="223"/>
        <v>Alta fuente de calcio</v>
      </c>
      <c r="BQ460" s="18" t="str">
        <f t="shared" si="224"/>
        <v>Alta fuente de hierro</v>
      </c>
      <c r="BR460" s="18" t="str">
        <f t="shared" si="225"/>
        <v>Moderado en sodio</v>
      </c>
      <c r="BS460" s="6" t="str">
        <f t="shared" si="216"/>
        <v>Altamente antiinflamatorio</v>
      </c>
      <c r="BT460" s="6" t="str">
        <f t="shared" si="217"/>
        <v>Bajo en grasas</v>
      </c>
      <c r="BU460" s="18" t="str">
        <f t="shared" si="226"/>
        <v>Equilibrio de líquidos ideal</v>
      </c>
      <c r="BV460" s="18" t="str">
        <f t="shared" si="227"/>
        <v>Alta fuente de magnesio</v>
      </c>
      <c r="BW460" s="18" t="str">
        <f t="shared" si="228"/>
        <v>Sin aporte de Omega 3</v>
      </c>
      <c r="BX460" s="18" t="str">
        <f t="shared" si="229"/>
        <v>Libre de grasas trans</v>
      </c>
      <c r="BY460" s="18" t="str">
        <f t="shared" si="230"/>
        <v>Alto poder antioxidante</v>
      </c>
      <c r="BZ460" s="6" t="str">
        <f t="shared" si="218"/>
        <v>Sin probióticos</v>
      </c>
      <c r="CA460" s="18" t="str">
        <f t="shared" si="231"/>
        <v>Antiinflamatorio</v>
      </c>
      <c r="CB460" s="18" t="str">
        <f>IF(ISNUMBER(SEARCH("miel", D460)), "No irritante (Uso condicionado SII)", IF(OR(J460&gt;0, ISNUMBER(SEARCH("cacao", D460)), ISNUMBER(SEARCH("chocolate puro", D460))), "Altamente irritante", IF(OR(AND(O460&gt;15, BI460&gt;1), ISNUMBER(SEARCH("chocolate", D460))), "Moderadamente irritante", "No irritante")))</f>
        <v>No irritante</v>
      </c>
      <c r="CC460" s="6" t="str">
        <f t="shared" si="219"/>
        <v>Balance de omegas favorable</v>
      </c>
    </row>
    <row r="461" spans="1:81" ht="15" customHeight="1" x14ac:dyDescent="0.3">
      <c r="A461" s="2">
        <f t="shared" si="220"/>
        <v>460</v>
      </c>
      <c r="B461" s="3" t="s">
        <v>584</v>
      </c>
      <c r="C461" s="3" t="s">
        <v>585</v>
      </c>
      <c r="D461" s="3" t="s">
        <v>612</v>
      </c>
      <c r="E461" s="3"/>
      <c r="F461" s="4">
        <v>1.5</v>
      </c>
      <c r="G461" s="5">
        <v>1</v>
      </c>
      <c r="H461" s="5">
        <v>357</v>
      </c>
      <c r="I461" s="5">
        <v>9.5</v>
      </c>
      <c r="J461" s="5">
        <v>0</v>
      </c>
      <c r="K461" s="5">
        <v>14.8</v>
      </c>
      <c r="L461" s="5">
        <v>34.799999999999997</v>
      </c>
      <c r="M461" s="5">
        <v>0</v>
      </c>
      <c r="N461" s="5">
        <v>34.799999999999997</v>
      </c>
      <c r="O461" s="5">
        <v>0</v>
      </c>
      <c r="P461" s="5">
        <v>20.9</v>
      </c>
      <c r="Q461" s="5">
        <v>13</v>
      </c>
      <c r="R461" s="5">
        <v>2</v>
      </c>
      <c r="S461" s="5">
        <v>1.1000000000000001</v>
      </c>
      <c r="T461" s="5">
        <v>8.1999999999999993</v>
      </c>
      <c r="U461" s="5">
        <v>0</v>
      </c>
      <c r="V461" s="5">
        <v>6042</v>
      </c>
      <c r="W461" s="5">
        <v>0</v>
      </c>
      <c r="X461" s="5">
        <v>36250</v>
      </c>
      <c r="Y461" s="5">
        <v>0</v>
      </c>
      <c r="Z461" s="5">
        <v>0.69</v>
      </c>
      <c r="AA461" s="5">
        <v>80.3</v>
      </c>
      <c r="AB461" s="5">
        <v>0.65</v>
      </c>
      <c r="AC461" s="5">
        <v>1.7</v>
      </c>
      <c r="AD461" s="5">
        <v>18.399999999999999</v>
      </c>
      <c r="AE461" s="5">
        <v>4</v>
      </c>
      <c r="AF461" s="5">
        <v>0</v>
      </c>
      <c r="AG461" s="5">
        <v>0</v>
      </c>
      <c r="AH461" s="5">
        <v>1.8</v>
      </c>
      <c r="AI461" s="5">
        <v>0</v>
      </c>
      <c r="AJ461" s="5">
        <v>0</v>
      </c>
      <c r="AK461" s="5">
        <v>180</v>
      </c>
      <c r="AL461" s="5">
        <v>350</v>
      </c>
      <c r="AM461" s="5">
        <v>23.6</v>
      </c>
      <c r="AN461" s="5">
        <v>0</v>
      </c>
      <c r="AO461" s="5">
        <v>4.0999999999999996</v>
      </c>
      <c r="AP461" s="5">
        <v>190</v>
      </c>
      <c r="AQ461" s="5">
        <v>34</v>
      </c>
      <c r="AR461" s="5">
        <v>2340</v>
      </c>
      <c r="AS461" s="5">
        <v>0.8</v>
      </c>
      <c r="AT461" s="5">
        <v>0.61</v>
      </c>
      <c r="AU461" s="5">
        <v>4</v>
      </c>
      <c r="AV461" s="5">
        <f>IFERROR(VLOOKUP(IFERROR(VLOOKUP(D461,Mapa_Similitud!$A$2:$B$2000,2,FALSE()),D461),Hoja1!$A$2:$K$1000,2,FALSE()),IFERROR(VLOOKUP(IFERROR(VLOOKUP(D461,Mapa_Similitud!$A$2:$B$2000,2,FALSE()),D461),Omega3_Referencia!$A$2:$E$100,3,FALSE()),0))</f>
        <v>0.06</v>
      </c>
      <c r="AW461" s="3" t="str">
        <f>IFERROR(VLOOKUP(IFERROR(VLOOKUP(D461,Mapa_Similitud!$A$2:$B$2000,2,FALSE()),D461),Hoja1!$A$2:$K$1000,3,FALSE()),IFERROR(VLOOKUP(IFERROR(VLOOKUP(D461,Mapa_Similitud!$A$2:$B$2000,2,FALSE()),D461),Omega3_Referencia!$A$2:$E$100,4,FALSE()),"N/A"))</f>
        <v>ALA</v>
      </c>
      <c r="AX461" s="5">
        <f>IFERROR(VLOOKUP(IFERROR(VLOOKUP(D461,Mapa_Similitud!$A$2:$B$2000,2,FALSE()),D461),Hoja1!$A$2:$K$1000,5,FALSE()),0)</f>
        <v>0</v>
      </c>
      <c r="AY461" s="5">
        <f>IFERROR(VLOOKUP(IFERROR(VLOOKUP(D461,Mapa_Similitud!$A$2:$B$2000,2,FALSE()),D461),Hoja1!$A$2:$K$1000,7,FALSE()),0)</f>
        <v>1100</v>
      </c>
      <c r="AZ461" s="5">
        <f>IFERROR(VLOOKUP(IFERROR(VLOOKUP(D461,Mapa_Similitud!$A$2:$B$2000,2,FALSE()),D461),Hoja1!$A$2:$K$1000,9,FALSE()),0)</f>
        <v>0</v>
      </c>
      <c r="BA461" s="25">
        <f t="shared" si="203"/>
        <v>4.1456582633053227E-2</v>
      </c>
      <c r="BB461" s="25">
        <f t="shared" si="204"/>
        <v>5.8543417366946772E-2</v>
      </c>
      <c r="BC461" s="25">
        <f t="shared" si="205"/>
        <v>0.50420168067226889</v>
      </c>
      <c r="BD461" s="25">
        <f t="shared" si="206"/>
        <v>6.6106442577030813E-2</v>
      </c>
      <c r="BE461" s="25">
        <f t="shared" si="207"/>
        <v>9.5238095238095233E-2</v>
      </c>
      <c r="BF461" s="25">
        <f t="shared" si="208"/>
        <v>4.0999999999999996</v>
      </c>
      <c r="BG461" s="25">
        <f t="shared" si="209"/>
        <v>0.51428571428571423</v>
      </c>
      <c r="BH461" s="25">
        <f t="shared" si="210"/>
        <v>0.15384615384615385</v>
      </c>
      <c r="BI461" s="25">
        <f t="shared" si="211"/>
        <v>1.452991452991453E-2</v>
      </c>
      <c r="BJ461" s="25">
        <f t="shared" si="212"/>
        <v>1</v>
      </c>
      <c r="BK461" s="25">
        <f t="shared" si="213"/>
        <v>0.60057471264367812</v>
      </c>
      <c r="BL461" s="25">
        <f t="shared" si="214"/>
        <v>0.32773109243697479</v>
      </c>
      <c r="BM461" s="25">
        <f t="shared" si="215"/>
        <v>0.53221288515406162</v>
      </c>
      <c r="BN461" s="18" t="str">
        <f t="shared" si="221"/>
        <v>Baja fuente de proteína</v>
      </c>
      <c r="BO461" s="18" t="str">
        <f t="shared" si="222"/>
        <v>Alta fuente de fibra</v>
      </c>
      <c r="BP461" s="18" t="str">
        <f t="shared" si="223"/>
        <v>Baja fuente de calcio</v>
      </c>
      <c r="BQ461" s="18" t="str">
        <f t="shared" si="224"/>
        <v>Alta fuente de hierro</v>
      </c>
      <c r="BR461" s="18" t="str">
        <f t="shared" si="225"/>
        <v>Bajo en sodio</v>
      </c>
      <c r="BS461" s="6" t="str">
        <f t="shared" si="216"/>
        <v>Altamente antiinflamatorio</v>
      </c>
      <c r="BT461" s="6" t="str">
        <f t="shared" si="217"/>
        <v>Alto en grasas</v>
      </c>
      <c r="BU461" s="18" t="str">
        <f t="shared" si="226"/>
        <v>Equilibrio de líquidos ideal</v>
      </c>
      <c r="BV461" s="18" t="str">
        <f t="shared" si="227"/>
        <v>Alta fuente de magnesio</v>
      </c>
      <c r="BW461" s="18" t="str">
        <f t="shared" si="228"/>
        <v>Sin aporte de Omega 3</v>
      </c>
      <c r="BX461" s="18" t="str">
        <f t="shared" si="229"/>
        <v>Libre de grasas trans</v>
      </c>
      <c r="BY461" s="18" t="str">
        <f t="shared" si="230"/>
        <v>Alto poder antioxidante</v>
      </c>
      <c r="BZ461" s="6" t="str">
        <f t="shared" si="218"/>
        <v>Sin probióticos</v>
      </c>
      <c r="CA461" s="18" t="str">
        <f t="shared" si="231"/>
        <v>Antiinflamatorio</v>
      </c>
      <c r="CB461" s="18" t="str">
        <f>IF(ISNUMBER(SEARCH("miel", D461)), "No irritante (Uso condicionado SII)", IF(OR(J461&gt;0, ISNUMBER(SEARCH("cacao", D461)), ISNUMBER(SEARCH("chocolate puro", D461))), "Altamente irritante", IF(OR(AND(O461&gt;15, BI461&gt;1), ISNUMBER(SEARCH("chocolate", D461))), "Moderadamente irritante", "No irritante")))</f>
        <v>No irritante</v>
      </c>
      <c r="CC461" s="6" t="str">
        <f t="shared" si="219"/>
        <v>Exceso relativo de Omega 6</v>
      </c>
    </row>
    <row r="462" spans="1:81" ht="15" customHeight="1" x14ac:dyDescent="0.3">
      <c r="A462" s="2">
        <f t="shared" si="220"/>
        <v>461</v>
      </c>
      <c r="B462" s="3" t="s">
        <v>584</v>
      </c>
      <c r="C462" s="3" t="s">
        <v>585</v>
      </c>
      <c r="D462" s="3" t="s">
        <v>613</v>
      </c>
      <c r="E462" s="3"/>
      <c r="F462" s="4">
        <v>1.5</v>
      </c>
      <c r="G462" s="5">
        <v>1</v>
      </c>
      <c r="H462" s="5">
        <v>283</v>
      </c>
      <c r="I462" s="5">
        <v>17.3</v>
      </c>
      <c r="J462" s="5">
        <v>0</v>
      </c>
      <c r="K462" s="5">
        <v>10.4</v>
      </c>
      <c r="L462" s="5">
        <v>42.4</v>
      </c>
      <c r="M462" s="5">
        <v>0</v>
      </c>
      <c r="N462" s="5">
        <v>42.4</v>
      </c>
      <c r="O462" s="5">
        <v>0</v>
      </c>
      <c r="P462" s="5">
        <v>26.2</v>
      </c>
      <c r="Q462" s="5">
        <v>2.1</v>
      </c>
      <c r="R462" s="5">
        <v>0.62</v>
      </c>
      <c r="S462" s="5">
        <v>0.79</v>
      </c>
      <c r="T462" s="5">
        <v>0.64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2.5</v>
      </c>
      <c r="AA462" s="5">
        <v>0</v>
      </c>
      <c r="AB462" s="5">
        <v>0.02</v>
      </c>
      <c r="AC462" s="5">
        <v>0.13</v>
      </c>
      <c r="AD462" s="5">
        <v>0.2</v>
      </c>
      <c r="AE462" s="5">
        <v>0.1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270</v>
      </c>
      <c r="AL462" s="5">
        <v>180</v>
      </c>
      <c r="AM462" s="5">
        <v>14.3</v>
      </c>
      <c r="AN462" s="5">
        <v>0</v>
      </c>
      <c r="AO462" s="5">
        <v>1.1000000000000001</v>
      </c>
      <c r="AP462" s="5">
        <v>90</v>
      </c>
      <c r="AQ462" s="5">
        <v>5</v>
      </c>
      <c r="AR462" s="5">
        <v>73</v>
      </c>
      <c r="AS462" s="5">
        <v>4.5</v>
      </c>
      <c r="AT462" s="5">
        <v>1.1000000000000001</v>
      </c>
      <c r="AU462" s="5">
        <v>3</v>
      </c>
      <c r="AV462" s="5">
        <f>IFERROR(VLOOKUP(IFERROR(VLOOKUP(D462,Mapa_Similitud!$A$2:$B$2000,2,FALSE()),D462),Hoja1!$A$2:$K$1000,2,FALSE()),IFERROR(VLOOKUP(IFERROR(VLOOKUP(D462,Mapa_Similitud!$A$2:$B$2000,2,FALSE()),D462),Omega3_Referencia!$A$2:$E$100,3,FALSE()),0))</f>
        <v>0</v>
      </c>
      <c r="AW462" s="3" t="str">
        <f>IFERROR(VLOOKUP(IFERROR(VLOOKUP(D462,Mapa_Similitud!$A$2:$B$2000,2,FALSE()),D462),Hoja1!$A$2:$K$1000,3,FALSE()),IFERROR(VLOOKUP(IFERROR(VLOOKUP(D462,Mapa_Similitud!$A$2:$B$2000,2,FALSE()),D462),Omega3_Referencia!$A$2:$E$100,4,FALSE()),"N/A"))</f>
        <v>N/A</v>
      </c>
      <c r="AX462" s="5">
        <f>IFERROR(VLOOKUP(IFERROR(VLOOKUP(D462,Mapa_Similitud!$A$2:$B$2000,2,FALSE()),D462),Hoja1!$A$2:$K$1000,5,FALSE()),0)</f>
        <v>0</v>
      </c>
      <c r="AY462" s="5">
        <f>IFERROR(VLOOKUP(IFERROR(VLOOKUP(D462,Mapa_Similitud!$A$2:$B$2000,2,FALSE()),D462),Hoja1!$A$2:$K$1000,7,FALSE()),0)</f>
        <v>0</v>
      </c>
      <c r="AZ462" s="5">
        <f>IFERROR(VLOOKUP(IFERROR(VLOOKUP(D462,Mapa_Similitud!$A$2:$B$2000,2,FALSE()),D462),Hoja1!$A$2:$K$1000,9,FALSE()),0)</f>
        <v>0</v>
      </c>
      <c r="BA462" s="25">
        <f t="shared" si="203"/>
        <v>3.674911660777385E-2</v>
      </c>
      <c r="BB462" s="25">
        <f t="shared" si="204"/>
        <v>9.257950530035336E-2</v>
      </c>
      <c r="BC462" s="25">
        <f t="shared" si="205"/>
        <v>0.95406360424028269</v>
      </c>
      <c r="BD462" s="25">
        <f t="shared" si="206"/>
        <v>5.0530035335689047E-2</v>
      </c>
      <c r="BE462" s="25">
        <f t="shared" si="207"/>
        <v>1.7667844522968199E-2</v>
      </c>
      <c r="BF462" s="25">
        <f t="shared" si="208"/>
        <v>1.032258064516129</v>
      </c>
      <c r="BG462" s="25">
        <f t="shared" si="209"/>
        <v>1.5</v>
      </c>
      <c r="BH462" s="25">
        <f t="shared" si="210"/>
        <v>0.29523809523809524</v>
      </c>
      <c r="BI462" s="25">
        <f t="shared" si="211"/>
        <v>6.8493150684931503E-2</v>
      </c>
      <c r="BJ462" s="25">
        <f t="shared" si="212"/>
        <v>1</v>
      </c>
      <c r="BK462" s="25">
        <f t="shared" si="213"/>
        <v>0.61792452830188682</v>
      </c>
      <c r="BL462" s="25">
        <f t="shared" si="214"/>
        <v>6.6784452296819799E-2</v>
      </c>
      <c r="BM462" s="25">
        <f t="shared" si="215"/>
        <v>0.31802120141342755</v>
      </c>
      <c r="BN462" s="18" t="str">
        <f t="shared" si="221"/>
        <v>Baja fuente de proteína</v>
      </c>
      <c r="BO462" s="18" t="str">
        <f t="shared" si="222"/>
        <v>Alta fuente de fibra</v>
      </c>
      <c r="BP462" s="18" t="str">
        <f t="shared" si="223"/>
        <v>Media fuente de calcio</v>
      </c>
      <c r="BQ462" s="18" t="str">
        <f t="shared" si="224"/>
        <v>Alta fuente de hierro</v>
      </c>
      <c r="BR462" s="18" t="str">
        <f t="shared" si="225"/>
        <v>Bajo en sodio</v>
      </c>
      <c r="BS462" s="6" t="str">
        <f t="shared" si="216"/>
        <v>Ligeramente antiinflamatorio</v>
      </c>
      <c r="BT462" s="6" t="str">
        <f t="shared" si="217"/>
        <v>Bajo en grasas</v>
      </c>
      <c r="BU462" s="18" t="str">
        <f t="shared" si="226"/>
        <v>Equilibrio de líquidos ideal</v>
      </c>
      <c r="BV462" s="18" t="str">
        <f t="shared" si="227"/>
        <v>Media fuente de magnesio</v>
      </c>
      <c r="BW462" s="18" t="str">
        <f t="shared" si="228"/>
        <v>Sin aporte de Omega 3</v>
      </c>
      <c r="BX462" s="18" t="str">
        <f t="shared" si="229"/>
        <v>Libre de grasas trans</v>
      </c>
      <c r="BY462" s="18" t="str">
        <f t="shared" si="230"/>
        <v>Bajo poder antioxidante</v>
      </c>
      <c r="BZ462" s="6" t="str">
        <f t="shared" si="218"/>
        <v>Sin probióticos</v>
      </c>
      <c r="CA462" s="18" t="str">
        <f t="shared" si="231"/>
        <v>Poco inflamatorio</v>
      </c>
      <c r="CB462" s="18" t="str">
        <f>IF(ISNUMBER(SEARCH("miel", D462)), "No irritante (Uso condicionado SII)", IF(OR(J462&gt;0, ISNUMBER(SEARCH("cacao", D462)), ISNUMBER(SEARCH("chocolate puro", D462))), "Altamente irritante", IF(OR(AND(O462&gt;15, BI462&gt;1), ISNUMBER(SEARCH("chocolate", D462))), "Moderadamente irritante", "No irritante")))</f>
        <v>No irritante</v>
      </c>
      <c r="CC462" s="6" t="str">
        <f t="shared" si="219"/>
        <v>Sin Omega 3 para evaluar</v>
      </c>
    </row>
    <row r="463" spans="1:81" ht="15" customHeight="1" x14ac:dyDescent="0.3">
      <c r="A463" s="2">
        <f t="shared" si="220"/>
        <v>462</v>
      </c>
      <c r="B463" s="3" t="s">
        <v>584</v>
      </c>
      <c r="C463" s="3" t="s">
        <v>585</v>
      </c>
      <c r="D463" s="3" t="s">
        <v>614</v>
      </c>
      <c r="E463" s="3"/>
      <c r="F463" s="4">
        <v>1.5</v>
      </c>
      <c r="G463" s="5">
        <v>1</v>
      </c>
      <c r="H463" s="5">
        <v>280</v>
      </c>
      <c r="I463" s="5">
        <v>16.7</v>
      </c>
      <c r="J463" s="5">
        <v>0</v>
      </c>
      <c r="K463" s="5">
        <v>10.9</v>
      </c>
      <c r="L463" s="5">
        <v>38.299999999999997</v>
      </c>
      <c r="M463" s="5">
        <v>0</v>
      </c>
      <c r="N463" s="5">
        <v>38.299999999999997</v>
      </c>
      <c r="O463" s="5">
        <v>0</v>
      </c>
      <c r="P463" s="5">
        <v>26.5</v>
      </c>
      <c r="Q463" s="5">
        <v>3.3</v>
      </c>
      <c r="R463" s="5">
        <v>0.98</v>
      </c>
      <c r="S463" s="5">
        <v>1</v>
      </c>
      <c r="T463" s="5">
        <v>1.1000000000000001</v>
      </c>
      <c r="U463" s="5">
        <v>0</v>
      </c>
      <c r="V463" s="5">
        <v>19.2</v>
      </c>
      <c r="W463" s="5">
        <v>0</v>
      </c>
      <c r="X463" s="5">
        <v>115</v>
      </c>
      <c r="Y463" s="5">
        <v>0</v>
      </c>
      <c r="Z463" s="5">
        <v>1</v>
      </c>
      <c r="AA463" s="5">
        <v>0</v>
      </c>
      <c r="AB463" s="5">
        <v>0.11</v>
      </c>
      <c r="AC463" s="5">
        <v>0.24</v>
      </c>
      <c r="AD463" s="5">
        <v>1.1000000000000001</v>
      </c>
      <c r="AE463" s="5">
        <v>0.34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430</v>
      </c>
      <c r="AL463" s="5">
        <v>170</v>
      </c>
      <c r="AM463" s="5">
        <v>11.2</v>
      </c>
      <c r="AN463" s="5">
        <v>0</v>
      </c>
      <c r="AO463" s="5">
        <v>1.4</v>
      </c>
      <c r="AP463" s="5">
        <v>190</v>
      </c>
      <c r="AQ463" s="5">
        <v>44</v>
      </c>
      <c r="AR463" s="5">
        <v>1260</v>
      </c>
      <c r="AS463" s="5">
        <v>6.5</v>
      </c>
      <c r="AT463" s="5">
        <v>1.1000000000000001</v>
      </c>
      <c r="AU463" s="5">
        <v>3</v>
      </c>
      <c r="AV463" s="5">
        <f>IFERROR(VLOOKUP(IFERROR(VLOOKUP(D463,Mapa_Similitud!$A$2:$B$2000,2,FALSE()),D463),Hoja1!$A$2:$K$1000,2,FALSE()),IFERROR(VLOOKUP(IFERROR(VLOOKUP(D463,Mapa_Similitud!$A$2:$B$2000,2,FALSE()),D463),Omega3_Referencia!$A$2:$E$100,3,FALSE()),0))</f>
        <v>0.03</v>
      </c>
      <c r="AW463" s="3" t="str">
        <f>IFERROR(VLOOKUP(IFERROR(VLOOKUP(D463,Mapa_Similitud!$A$2:$B$2000,2,FALSE()),D463),Hoja1!$A$2:$K$1000,3,FALSE()),IFERROR(VLOOKUP(IFERROR(VLOOKUP(D463,Mapa_Similitud!$A$2:$B$2000,2,FALSE()),D463),Omega3_Referencia!$A$2:$E$100,4,FALSE()),"N/A"))</f>
        <v>ALA</v>
      </c>
      <c r="AX463" s="5">
        <f>IFERROR(VLOOKUP(IFERROR(VLOOKUP(D463,Mapa_Similitud!$A$2:$B$2000,2,FALSE()),D463),Hoja1!$A$2:$K$1000,5,FALSE()),0)</f>
        <v>0</v>
      </c>
      <c r="AY463" s="5">
        <f>IFERROR(VLOOKUP(IFERROR(VLOOKUP(D463,Mapa_Similitud!$A$2:$B$2000,2,FALSE()),D463),Hoja1!$A$2:$K$1000,7,FALSE()),0)</f>
        <v>780</v>
      </c>
      <c r="AZ463" s="5">
        <f>IFERROR(VLOOKUP(IFERROR(VLOOKUP(D463,Mapa_Similitud!$A$2:$B$2000,2,FALSE()),D463),Hoja1!$A$2:$K$1000,9,FALSE()),0)</f>
        <v>0</v>
      </c>
      <c r="BA463" s="25">
        <f t="shared" si="203"/>
        <v>3.892857142857143E-2</v>
      </c>
      <c r="BB463" s="25">
        <f t="shared" si="204"/>
        <v>9.464285714285714E-2</v>
      </c>
      <c r="BC463" s="25">
        <f t="shared" si="205"/>
        <v>1.5357142857142858</v>
      </c>
      <c r="BD463" s="25">
        <f t="shared" si="206"/>
        <v>0.04</v>
      </c>
      <c r="BE463" s="25">
        <f t="shared" si="207"/>
        <v>0.15714285714285714</v>
      </c>
      <c r="BF463" s="25">
        <f t="shared" si="208"/>
        <v>1.1224489795918369</v>
      </c>
      <c r="BG463" s="25">
        <f t="shared" si="209"/>
        <v>2.5294117647058822</v>
      </c>
      <c r="BH463" s="25">
        <f t="shared" si="210"/>
        <v>0.29696969696969699</v>
      </c>
      <c r="BI463" s="25">
        <f t="shared" si="211"/>
        <v>3.4920634920634921E-2</v>
      </c>
      <c r="BJ463" s="25">
        <f t="shared" si="212"/>
        <v>1</v>
      </c>
      <c r="BK463" s="25">
        <f t="shared" si="213"/>
        <v>0.69190600522193213</v>
      </c>
      <c r="BL463" s="25">
        <f t="shared" si="214"/>
        <v>0.10607142857142857</v>
      </c>
      <c r="BM463" s="25">
        <f t="shared" si="215"/>
        <v>0.6785714285714286</v>
      </c>
      <c r="BN463" s="18" t="str">
        <f t="shared" si="221"/>
        <v>Baja fuente de proteína</v>
      </c>
      <c r="BO463" s="18" t="str">
        <f t="shared" si="222"/>
        <v>Alta fuente de fibra</v>
      </c>
      <c r="BP463" s="18" t="str">
        <f t="shared" si="223"/>
        <v>Alta fuente de calcio</v>
      </c>
      <c r="BQ463" s="18" t="str">
        <f t="shared" si="224"/>
        <v>Alta fuente de hierro</v>
      </c>
      <c r="BR463" s="18" t="str">
        <f t="shared" si="225"/>
        <v>Bajo en sodio</v>
      </c>
      <c r="BS463" s="6" t="str">
        <f t="shared" si="216"/>
        <v>Ligeramente antiinflamatorio</v>
      </c>
      <c r="BT463" s="6" t="str">
        <f t="shared" si="217"/>
        <v>Bajo en grasas</v>
      </c>
      <c r="BU463" s="18" t="str">
        <f t="shared" si="226"/>
        <v>Equilibrio de líquidos ideal</v>
      </c>
      <c r="BV463" s="18" t="str">
        <f t="shared" si="227"/>
        <v>Alta fuente de magnesio</v>
      </c>
      <c r="BW463" s="18" t="str">
        <f t="shared" si="228"/>
        <v>Sin aporte de Omega 3</v>
      </c>
      <c r="BX463" s="18" t="str">
        <f t="shared" si="229"/>
        <v>Libre de grasas trans</v>
      </c>
      <c r="BY463" s="18" t="str">
        <f t="shared" si="230"/>
        <v>Alto poder antioxidante</v>
      </c>
      <c r="BZ463" s="6" t="str">
        <f t="shared" si="218"/>
        <v>Sin probióticos</v>
      </c>
      <c r="CA463" s="18" t="str">
        <f t="shared" si="231"/>
        <v>Antiinflamatorio</v>
      </c>
      <c r="CB463" s="18" t="str">
        <f>IF(ISNUMBER(SEARCH("miel", D463)), "No irritante (Uso condicionado SII)", IF(OR(J463&gt;0, ISNUMBER(SEARCH("cacao", D463)), ISNUMBER(SEARCH("chocolate puro", D463))), "Altamente irritante", IF(OR(AND(O463&gt;15, BI463&gt;1), ISNUMBER(SEARCH("chocolate", D463))), "Moderadamente irritante", "No irritante")))</f>
        <v>No irritante</v>
      </c>
      <c r="CC463" s="6" t="str">
        <f t="shared" si="219"/>
        <v>Exceso relativo de Omega 6</v>
      </c>
    </row>
    <row r="464" spans="1:81" ht="15" customHeight="1" x14ac:dyDescent="0.3">
      <c r="A464" s="2">
        <f t="shared" si="220"/>
        <v>463</v>
      </c>
      <c r="B464" s="3" t="s">
        <v>584</v>
      </c>
      <c r="C464" s="3" t="s">
        <v>585</v>
      </c>
      <c r="D464" s="3" t="s">
        <v>615</v>
      </c>
      <c r="E464" s="3"/>
      <c r="F464" s="4">
        <v>1.5</v>
      </c>
      <c r="G464" s="5">
        <v>1</v>
      </c>
      <c r="H464" s="5">
        <v>0</v>
      </c>
      <c r="I464" s="5">
        <v>0.2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29</v>
      </c>
      <c r="AL464" s="5">
        <v>8</v>
      </c>
      <c r="AM464" s="5">
        <v>0.2</v>
      </c>
      <c r="AN464" s="5">
        <v>44</v>
      </c>
      <c r="AO464" s="5">
        <v>0.1</v>
      </c>
      <c r="AP464" s="5">
        <v>290</v>
      </c>
      <c r="AQ464" s="5">
        <v>38850</v>
      </c>
      <c r="AR464" s="5">
        <v>0</v>
      </c>
      <c r="AS464" s="5">
        <v>0.1</v>
      </c>
      <c r="AT464" s="5">
        <v>0.1</v>
      </c>
      <c r="AU464" s="5">
        <v>0.1</v>
      </c>
      <c r="AV464" s="5">
        <f>IFERROR(VLOOKUP(IFERROR(VLOOKUP(D464,Mapa_Similitud!$A$2:$B$2000,2,FALSE()),D464),Hoja1!$A$2:$K$1000,2,FALSE()),IFERROR(VLOOKUP(IFERROR(VLOOKUP(D464,Mapa_Similitud!$A$2:$B$2000,2,FALSE()),D464),Omega3_Referencia!$A$2:$E$100,3,FALSE()),0))</f>
        <v>0</v>
      </c>
      <c r="AW464" s="3" t="str">
        <f>IFERROR(VLOOKUP(IFERROR(VLOOKUP(D464,Mapa_Similitud!$A$2:$B$2000,2,FALSE()),D464),Hoja1!$A$2:$K$1000,3,FALSE()),IFERROR(VLOOKUP(IFERROR(VLOOKUP(D464,Mapa_Similitud!$A$2:$B$2000,2,FALSE()),D464),Omega3_Referencia!$A$2:$E$100,4,FALSE()),"N/A"))</f>
        <v>N/A</v>
      </c>
      <c r="AX464" s="5">
        <f>IFERROR(VLOOKUP(IFERROR(VLOOKUP(D464,Mapa_Similitud!$A$2:$B$2000,2,FALSE()),D464),Hoja1!$A$2:$K$1000,5,FALSE()),0)</f>
        <v>0</v>
      </c>
      <c r="AY464" s="5">
        <f>IFERROR(VLOOKUP(IFERROR(VLOOKUP(D464,Mapa_Similitud!$A$2:$B$2000,2,FALSE()),D464),Hoja1!$A$2:$K$1000,7,FALSE()),0)</f>
        <v>0</v>
      </c>
      <c r="AZ464" s="5">
        <f>IFERROR(VLOOKUP(IFERROR(VLOOKUP(D464,Mapa_Similitud!$A$2:$B$2000,2,FALSE()),D464),Hoja1!$A$2:$K$1000,9,FALSE()),0)</f>
        <v>0</v>
      </c>
      <c r="BA464" s="25">
        <f t="shared" si="203"/>
        <v>0</v>
      </c>
      <c r="BB464" s="25">
        <f t="shared" si="204"/>
        <v>0</v>
      </c>
      <c r="BC464" s="25">
        <f t="shared" si="205"/>
        <v>0</v>
      </c>
      <c r="BD464" s="25">
        <f t="shared" si="206"/>
        <v>0</v>
      </c>
      <c r="BE464" s="25">
        <f t="shared" si="207"/>
        <v>0</v>
      </c>
      <c r="BF464" s="25">
        <f t="shared" si="208"/>
        <v>0</v>
      </c>
      <c r="BG464" s="25">
        <f t="shared" si="209"/>
        <v>3.625</v>
      </c>
      <c r="BH464" s="25">
        <f t="shared" si="210"/>
        <v>0</v>
      </c>
      <c r="BI464" s="25">
        <f t="shared" si="211"/>
        <v>0</v>
      </c>
      <c r="BJ464" s="25">
        <f t="shared" si="212"/>
        <v>0</v>
      </c>
      <c r="BK464" s="25">
        <f t="shared" si="213"/>
        <v>0</v>
      </c>
      <c r="BL464" s="25">
        <f t="shared" si="214"/>
        <v>0</v>
      </c>
      <c r="BM464" s="25">
        <f t="shared" si="215"/>
        <v>0</v>
      </c>
      <c r="BN464" s="18" t="str">
        <f t="shared" si="221"/>
        <v>Baja fuente de proteína</v>
      </c>
      <c r="BO464" s="18" t="str">
        <f t="shared" si="222"/>
        <v>Baja fuente de fibra</v>
      </c>
      <c r="BP464" s="18" t="str">
        <f t="shared" si="223"/>
        <v>Baja fuente de calcio</v>
      </c>
      <c r="BQ464" s="18" t="str">
        <f t="shared" si="224"/>
        <v>Baja fuente de hierro</v>
      </c>
      <c r="BR464" s="18" t="str">
        <f t="shared" si="225"/>
        <v>Bajo en sodio</v>
      </c>
      <c r="BS464" s="6" t="str">
        <f t="shared" si="216"/>
        <v>Proinflamatorio</v>
      </c>
      <c r="BT464" s="6" t="str">
        <f t="shared" si="217"/>
        <v>Bajo en grasas</v>
      </c>
      <c r="BU464" s="18" t="str">
        <f t="shared" si="226"/>
        <v>Equilibrio de líquidos ideal</v>
      </c>
      <c r="BV464" s="18" t="str">
        <f t="shared" si="227"/>
        <v>Baja fuente de magnesio</v>
      </c>
      <c r="BW464" s="18" t="str">
        <f t="shared" si="228"/>
        <v>Sin aporte de Omega 3</v>
      </c>
      <c r="BX464" s="18" t="str">
        <f t="shared" si="229"/>
        <v>Libre de grasas trans</v>
      </c>
      <c r="BY464" s="18" t="str">
        <f t="shared" si="230"/>
        <v>Bajo poder antioxidante</v>
      </c>
      <c r="BZ464" s="6" t="str">
        <f t="shared" si="218"/>
        <v>Sin probióticos</v>
      </c>
      <c r="CA464" s="18" t="str">
        <f t="shared" si="231"/>
        <v>Poco inflamatorio</v>
      </c>
      <c r="CB464" s="18" t="str">
        <f>IF(ISNUMBER(SEARCH("miel", D464)), "No irritante (Uso condicionado SII)", IF(OR(J464&gt;0, ISNUMBER(SEARCH("cacao", D464)), ISNUMBER(SEARCH("chocolate puro", D464))), "Altamente irritante", IF(OR(AND(O464&gt;15, BI464&gt;1), ISNUMBER(SEARCH("chocolate", D464))), "Moderadamente irritante", "No irritante")))</f>
        <v>No irritante</v>
      </c>
      <c r="CC464" s="6" t="str">
        <f t="shared" si="219"/>
        <v>Sin Omega 3 para evaluar</v>
      </c>
    </row>
    <row r="465" spans="1:81" ht="15" customHeight="1" x14ac:dyDescent="0.3">
      <c r="A465" s="2">
        <f t="shared" si="220"/>
        <v>464</v>
      </c>
      <c r="B465" s="3" t="s">
        <v>584</v>
      </c>
      <c r="C465" s="3" t="s">
        <v>585</v>
      </c>
      <c r="D465" s="3" t="s">
        <v>616</v>
      </c>
      <c r="E465" s="3"/>
      <c r="F465" s="4">
        <v>1.5</v>
      </c>
      <c r="G465" s="5">
        <v>1</v>
      </c>
      <c r="H465" s="5">
        <v>0</v>
      </c>
      <c r="I465" s="5">
        <v>0.2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29</v>
      </c>
      <c r="AL465" s="5">
        <v>8</v>
      </c>
      <c r="AM465" s="5">
        <v>0.2</v>
      </c>
      <c r="AN465" s="5">
        <v>44</v>
      </c>
      <c r="AO465" s="5">
        <v>0.1</v>
      </c>
      <c r="AP465" s="5">
        <v>290</v>
      </c>
      <c r="AQ465" s="5">
        <v>38850</v>
      </c>
      <c r="AR465" s="5">
        <v>0</v>
      </c>
      <c r="AS465" s="5">
        <v>0.1</v>
      </c>
      <c r="AT465" s="5">
        <v>0.1</v>
      </c>
      <c r="AU465" s="5">
        <v>0.1</v>
      </c>
      <c r="AV465" s="5">
        <f>IFERROR(VLOOKUP(IFERROR(VLOOKUP(D465,Mapa_Similitud!$A$2:$B$2000,2,FALSE()),D465),Hoja1!$A$2:$K$1000,2,FALSE()),IFERROR(VLOOKUP(IFERROR(VLOOKUP(D465,Mapa_Similitud!$A$2:$B$2000,2,FALSE()),D465),Omega3_Referencia!$A$2:$E$100,3,FALSE()),0))</f>
        <v>0</v>
      </c>
      <c r="AW465" s="3" t="str">
        <f>IFERROR(VLOOKUP(IFERROR(VLOOKUP(D465,Mapa_Similitud!$A$2:$B$2000,2,FALSE()),D465),Hoja1!$A$2:$K$1000,3,FALSE()),IFERROR(VLOOKUP(IFERROR(VLOOKUP(D465,Mapa_Similitud!$A$2:$B$2000,2,FALSE()),D465),Omega3_Referencia!$A$2:$E$100,4,FALSE()),"N/A"))</f>
        <v>N/A</v>
      </c>
      <c r="AX465" s="5">
        <f>IFERROR(VLOOKUP(IFERROR(VLOOKUP(D465,Mapa_Similitud!$A$2:$B$2000,2,FALSE()),D465),Hoja1!$A$2:$K$1000,5,FALSE()),0)</f>
        <v>0</v>
      </c>
      <c r="AY465" s="5">
        <f>IFERROR(VLOOKUP(IFERROR(VLOOKUP(D465,Mapa_Similitud!$A$2:$B$2000,2,FALSE()),D465),Hoja1!$A$2:$K$1000,7,FALSE()),0)</f>
        <v>0</v>
      </c>
      <c r="AZ465" s="5">
        <f>IFERROR(VLOOKUP(IFERROR(VLOOKUP(D465,Mapa_Similitud!$A$2:$B$2000,2,FALSE()),D465),Hoja1!$A$2:$K$1000,9,FALSE()),0)</f>
        <v>0</v>
      </c>
      <c r="BA465" s="25">
        <f t="shared" si="203"/>
        <v>0</v>
      </c>
      <c r="BB465" s="25">
        <f t="shared" si="204"/>
        <v>0</v>
      </c>
      <c r="BC465" s="25">
        <f t="shared" si="205"/>
        <v>0</v>
      </c>
      <c r="BD465" s="25">
        <f t="shared" si="206"/>
        <v>0</v>
      </c>
      <c r="BE465" s="25">
        <f t="shared" si="207"/>
        <v>0</v>
      </c>
      <c r="BF465" s="25">
        <f t="shared" si="208"/>
        <v>0</v>
      </c>
      <c r="BG465" s="25">
        <f t="shared" si="209"/>
        <v>3.625</v>
      </c>
      <c r="BH465" s="25">
        <f t="shared" si="210"/>
        <v>0</v>
      </c>
      <c r="BI465" s="25">
        <f t="shared" si="211"/>
        <v>0</v>
      </c>
      <c r="BJ465" s="25">
        <f t="shared" si="212"/>
        <v>0</v>
      </c>
      <c r="BK465" s="25">
        <f t="shared" si="213"/>
        <v>0</v>
      </c>
      <c r="BL465" s="25">
        <f t="shared" si="214"/>
        <v>0</v>
      </c>
      <c r="BM465" s="25">
        <f t="shared" si="215"/>
        <v>0</v>
      </c>
      <c r="BN465" s="18" t="str">
        <f t="shared" si="221"/>
        <v>Baja fuente de proteína</v>
      </c>
      <c r="BO465" s="18" t="str">
        <f t="shared" si="222"/>
        <v>Baja fuente de fibra</v>
      </c>
      <c r="BP465" s="18" t="str">
        <f t="shared" si="223"/>
        <v>Baja fuente de calcio</v>
      </c>
      <c r="BQ465" s="18" t="str">
        <f t="shared" si="224"/>
        <v>Baja fuente de hierro</v>
      </c>
      <c r="BR465" s="18" t="str">
        <f t="shared" si="225"/>
        <v>Bajo en sodio</v>
      </c>
      <c r="BS465" s="6" t="str">
        <f t="shared" si="216"/>
        <v>Proinflamatorio</v>
      </c>
      <c r="BT465" s="6" t="str">
        <f t="shared" si="217"/>
        <v>Bajo en grasas</v>
      </c>
      <c r="BU465" s="18" t="str">
        <f t="shared" si="226"/>
        <v>Equilibrio de líquidos ideal</v>
      </c>
      <c r="BV465" s="18" t="str">
        <f t="shared" si="227"/>
        <v>Baja fuente de magnesio</v>
      </c>
      <c r="BW465" s="18" t="str">
        <f t="shared" si="228"/>
        <v>Sin aporte de Omega 3</v>
      </c>
      <c r="BX465" s="18" t="str">
        <f t="shared" si="229"/>
        <v>Libre de grasas trans</v>
      </c>
      <c r="BY465" s="18" t="str">
        <f t="shared" si="230"/>
        <v>Bajo poder antioxidante</v>
      </c>
      <c r="BZ465" s="6" t="str">
        <f t="shared" si="218"/>
        <v>Sin probióticos</v>
      </c>
      <c r="CA465" s="18" t="str">
        <f t="shared" si="231"/>
        <v>Poco inflamatorio</v>
      </c>
      <c r="CB465" s="18" t="str">
        <f>IF(ISNUMBER(SEARCH("miel", D465)), "No irritante (Uso condicionado SII)", IF(OR(J465&gt;0, ISNUMBER(SEARCH("cacao", D465)), ISNUMBER(SEARCH("chocolate puro", D465))), "Altamente irritante", IF(OR(AND(O465&gt;15, BI465&gt;1), ISNUMBER(SEARCH("chocolate", D465))), "Moderadamente irritante", "No irritante")))</f>
        <v>No irritante</v>
      </c>
      <c r="CC465" s="6" t="str">
        <f t="shared" si="219"/>
        <v>Sin Omega 3 para evaluar</v>
      </c>
    </row>
    <row r="466" spans="1:81" ht="15" customHeight="1" x14ac:dyDescent="0.3">
      <c r="A466" s="2">
        <f t="shared" si="220"/>
        <v>465</v>
      </c>
      <c r="B466" s="3" t="s">
        <v>584</v>
      </c>
      <c r="C466" s="3" t="s">
        <v>585</v>
      </c>
      <c r="D466" s="3" t="s">
        <v>617</v>
      </c>
      <c r="E466" s="3"/>
      <c r="F466" s="4">
        <v>1.5</v>
      </c>
      <c r="G466" s="5">
        <v>1</v>
      </c>
      <c r="H466" s="5">
        <v>0</v>
      </c>
      <c r="I466" s="5">
        <v>0.2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29</v>
      </c>
      <c r="AL466" s="5">
        <v>8</v>
      </c>
      <c r="AM466" s="5">
        <v>0.2</v>
      </c>
      <c r="AN466" s="5">
        <v>44</v>
      </c>
      <c r="AO466" s="5">
        <v>0.1</v>
      </c>
      <c r="AP466" s="5">
        <v>290</v>
      </c>
      <c r="AQ466" s="5">
        <v>12900</v>
      </c>
      <c r="AR466" s="5">
        <v>0</v>
      </c>
      <c r="AS466" s="5">
        <v>0.1</v>
      </c>
      <c r="AT466" s="5">
        <v>0.1</v>
      </c>
      <c r="AU466" s="5">
        <v>0.1</v>
      </c>
      <c r="AV466" s="5">
        <f>IFERROR(VLOOKUP(IFERROR(VLOOKUP(D466,Mapa_Similitud!$A$2:$B$2000,2,FALSE()),D466),Hoja1!$A$2:$K$1000,2,FALSE()),IFERROR(VLOOKUP(IFERROR(VLOOKUP(D466,Mapa_Similitud!$A$2:$B$2000,2,FALSE()),D466),Omega3_Referencia!$A$2:$E$100,3,FALSE()),0))</f>
        <v>0</v>
      </c>
      <c r="AW466" s="3" t="str">
        <f>IFERROR(VLOOKUP(IFERROR(VLOOKUP(D466,Mapa_Similitud!$A$2:$B$2000,2,FALSE()),D466),Hoja1!$A$2:$K$1000,3,FALSE()),IFERROR(VLOOKUP(IFERROR(VLOOKUP(D466,Mapa_Similitud!$A$2:$B$2000,2,FALSE()),D466),Omega3_Referencia!$A$2:$E$100,4,FALSE()),"N/A"))</f>
        <v>N/A</v>
      </c>
      <c r="AX466" s="5">
        <f>IFERROR(VLOOKUP(IFERROR(VLOOKUP(D466,Mapa_Similitud!$A$2:$B$2000,2,FALSE()),D466),Hoja1!$A$2:$K$1000,5,FALSE()),0)</f>
        <v>0</v>
      </c>
      <c r="AY466" s="5">
        <f>IFERROR(VLOOKUP(IFERROR(VLOOKUP(D466,Mapa_Similitud!$A$2:$B$2000,2,FALSE()),D466),Hoja1!$A$2:$K$1000,7,FALSE()),0)</f>
        <v>0</v>
      </c>
      <c r="AZ466" s="5">
        <f>IFERROR(VLOOKUP(IFERROR(VLOOKUP(D466,Mapa_Similitud!$A$2:$B$2000,2,FALSE()),D466),Hoja1!$A$2:$K$1000,9,FALSE()),0)</f>
        <v>0</v>
      </c>
      <c r="BA466" s="25">
        <f t="shared" si="203"/>
        <v>0</v>
      </c>
      <c r="BB466" s="25">
        <f t="shared" si="204"/>
        <v>0</v>
      </c>
      <c r="BC466" s="25">
        <f t="shared" si="205"/>
        <v>0</v>
      </c>
      <c r="BD466" s="25">
        <f t="shared" si="206"/>
        <v>0</v>
      </c>
      <c r="BE466" s="25">
        <f t="shared" si="207"/>
        <v>0</v>
      </c>
      <c r="BF466" s="25">
        <f t="shared" si="208"/>
        <v>0</v>
      </c>
      <c r="BG466" s="25">
        <f t="shared" si="209"/>
        <v>3.625</v>
      </c>
      <c r="BH466" s="25">
        <f t="shared" si="210"/>
        <v>0</v>
      </c>
      <c r="BI466" s="25">
        <f t="shared" si="211"/>
        <v>0</v>
      </c>
      <c r="BJ466" s="25">
        <f t="shared" si="212"/>
        <v>0</v>
      </c>
      <c r="BK466" s="25">
        <f t="shared" si="213"/>
        <v>0</v>
      </c>
      <c r="BL466" s="25">
        <f t="shared" si="214"/>
        <v>0</v>
      </c>
      <c r="BM466" s="25">
        <f t="shared" si="215"/>
        <v>0</v>
      </c>
      <c r="BN466" s="18" t="str">
        <f t="shared" si="221"/>
        <v>Baja fuente de proteína</v>
      </c>
      <c r="BO466" s="18" t="str">
        <f t="shared" si="222"/>
        <v>Baja fuente de fibra</v>
      </c>
      <c r="BP466" s="18" t="str">
        <f t="shared" si="223"/>
        <v>Baja fuente de calcio</v>
      </c>
      <c r="BQ466" s="18" t="str">
        <f t="shared" si="224"/>
        <v>Baja fuente de hierro</v>
      </c>
      <c r="BR466" s="18" t="str">
        <f t="shared" si="225"/>
        <v>Bajo en sodio</v>
      </c>
      <c r="BS466" s="6" t="str">
        <f t="shared" si="216"/>
        <v>Proinflamatorio</v>
      </c>
      <c r="BT466" s="6" t="str">
        <f t="shared" si="217"/>
        <v>Bajo en grasas</v>
      </c>
      <c r="BU466" s="18" t="str">
        <f t="shared" si="226"/>
        <v>Equilibrio de líquidos ideal</v>
      </c>
      <c r="BV466" s="18" t="str">
        <f t="shared" si="227"/>
        <v>Baja fuente de magnesio</v>
      </c>
      <c r="BW466" s="18" t="str">
        <f t="shared" si="228"/>
        <v>Sin aporte de Omega 3</v>
      </c>
      <c r="BX466" s="18" t="str">
        <f t="shared" si="229"/>
        <v>Libre de grasas trans</v>
      </c>
      <c r="BY466" s="18" t="str">
        <f t="shared" si="230"/>
        <v>Bajo poder antioxidante</v>
      </c>
      <c r="BZ466" s="6" t="str">
        <f t="shared" si="218"/>
        <v>Sin probióticos</v>
      </c>
      <c r="CA466" s="18" t="str">
        <f t="shared" si="231"/>
        <v>Poco inflamatorio</v>
      </c>
      <c r="CB466" s="18" t="str">
        <f>IF(ISNUMBER(SEARCH("miel", D466)), "No irritante (Uso condicionado SII)", IF(OR(J466&gt;0, ISNUMBER(SEARCH("cacao", D466)), ISNUMBER(SEARCH("chocolate puro", D466))), "Altamente irritante", IF(OR(AND(O466&gt;15, BI466&gt;1), ISNUMBER(SEARCH("chocolate", D466))), "Moderadamente irritante", "No irritante")))</f>
        <v>No irritante</v>
      </c>
      <c r="CC466" s="6" t="str">
        <f t="shared" si="219"/>
        <v>Sin Omega 3 para evaluar</v>
      </c>
    </row>
    <row r="467" spans="1:81" ht="15" customHeight="1" x14ac:dyDescent="0.3">
      <c r="A467" s="2">
        <f t="shared" si="220"/>
        <v>466</v>
      </c>
      <c r="B467" s="3" t="s">
        <v>584</v>
      </c>
      <c r="C467" s="3" t="s">
        <v>585</v>
      </c>
      <c r="D467" s="3" t="s">
        <v>618</v>
      </c>
      <c r="E467" s="3"/>
      <c r="F467" s="4">
        <v>1.5</v>
      </c>
      <c r="G467" s="5">
        <v>1</v>
      </c>
      <c r="H467" s="5">
        <v>0</v>
      </c>
      <c r="I467" s="5">
        <v>0.2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29</v>
      </c>
      <c r="AL467" s="5">
        <v>8</v>
      </c>
      <c r="AM467" s="5">
        <v>0.2</v>
      </c>
      <c r="AN467" s="5">
        <v>6000</v>
      </c>
      <c r="AO467" s="5">
        <v>0.1</v>
      </c>
      <c r="AP467" s="5">
        <v>290</v>
      </c>
      <c r="AQ467" s="5">
        <v>38850</v>
      </c>
      <c r="AR467" s="5">
        <v>0</v>
      </c>
      <c r="AS467" s="5">
        <v>0.1</v>
      </c>
      <c r="AT467" s="5">
        <v>0.1</v>
      </c>
      <c r="AU467" s="5">
        <v>0.1</v>
      </c>
      <c r="AV467" s="5">
        <f>IFERROR(VLOOKUP(IFERROR(VLOOKUP(D467,Mapa_Similitud!$A$2:$B$2000,2,FALSE()),D467),Hoja1!$A$2:$K$1000,2,FALSE()),IFERROR(VLOOKUP(IFERROR(VLOOKUP(D467,Mapa_Similitud!$A$2:$B$2000,2,FALSE()),D467),Omega3_Referencia!$A$2:$E$100,3,FALSE()),0))</f>
        <v>0</v>
      </c>
      <c r="AW467" s="3" t="str">
        <f>IFERROR(VLOOKUP(IFERROR(VLOOKUP(D467,Mapa_Similitud!$A$2:$B$2000,2,FALSE()),D467),Hoja1!$A$2:$K$1000,3,FALSE()),IFERROR(VLOOKUP(IFERROR(VLOOKUP(D467,Mapa_Similitud!$A$2:$B$2000,2,FALSE()),D467),Omega3_Referencia!$A$2:$E$100,4,FALSE()),"N/A"))</f>
        <v>N/A</v>
      </c>
      <c r="AX467" s="5">
        <f>IFERROR(VLOOKUP(IFERROR(VLOOKUP(D467,Mapa_Similitud!$A$2:$B$2000,2,FALSE()),D467),Hoja1!$A$2:$K$1000,5,FALSE()),0)</f>
        <v>0</v>
      </c>
      <c r="AY467" s="5">
        <f>IFERROR(VLOOKUP(IFERROR(VLOOKUP(D467,Mapa_Similitud!$A$2:$B$2000,2,FALSE()),D467),Hoja1!$A$2:$K$1000,7,FALSE()),0)</f>
        <v>0</v>
      </c>
      <c r="AZ467" s="5">
        <f>IFERROR(VLOOKUP(IFERROR(VLOOKUP(D467,Mapa_Similitud!$A$2:$B$2000,2,FALSE()),D467),Hoja1!$A$2:$K$1000,9,FALSE()),0)</f>
        <v>0</v>
      </c>
      <c r="BA467" s="25">
        <f t="shared" si="203"/>
        <v>0</v>
      </c>
      <c r="BB467" s="25">
        <f t="shared" si="204"/>
        <v>0</v>
      </c>
      <c r="BC467" s="25">
        <f t="shared" si="205"/>
        <v>0</v>
      </c>
      <c r="BD467" s="25">
        <f t="shared" si="206"/>
        <v>0</v>
      </c>
      <c r="BE467" s="25">
        <f t="shared" si="207"/>
        <v>0</v>
      </c>
      <c r="BF467" s="25">
        <f t="shared" si="208"/>
        <v>0</v>
      </c>
      <c r="BG467" s="25">
        <f t="shared" si="209"/>
        <v>3.625</v>
      </c>
      <c r="BH467" s="25">
        <f t="shared" si="210"/>
        <v>0</v>
      </c>
      <c r="BI467" s="25">
        <f t="shared" si="211"/>
        <v>0</v>
      </c>
      <c r="BJ467" s="25">
        <f t="shared" si="212"/>
        <v>0</v>
      </c>
      <c r="BK467" s="25">
        <f t="shared" si="213"/>
        <v>0</v>
      </c>
      <c r="BL467" s="25">
        <f t="shared" si="214"/>
        <v>0</v>
      </c>
      <c r="BM467" s="25">
        <f t="shared" si="215"/>
        <v>0</v>
      </c>
      <c r="BN467" s="18" t="str">
        <f t="shared" si="221"/>
        <v>Baja fuente de proteína</v>
      </c>
      <c r="BO467" s="18" t="str">
        <f t="shared" si="222"/>
        <v>Baja fuente de fibra</v>
      </c>
      <c r="BP467" s="18" t="str">
        <f t="shared" si="223"/>
        <v>Baja fuente de calcio</v>
      </c>
      <c r="BQ467" s="18" t="str">
        <f t="shared" si="224"/>
        <v>Baja fuente de hierro</v>
      </c>
      <c r="BR467" s="18" t="str">
        <f t="shared" si="225"/>
        <v>Bajo en sodio</v>
      </c>
      <c r="BS467" s="6" t="str">
        <f t="shared" si="216"/>
        <v>Proinflamatorio</v>
      </c>
      <c r="BT467" s="6" t="str">
        <f t="shared" si="217"/>
        <v>Bajo en grasas</v>
      </c>
      <c r="BU467" s="18" t="str">
        <f t="shared" si="226"/>
        <v>Equilibrio de líquidos ideal</v>
      </c>
      <c r="BV467" s="18" t="str">
        <f t="shared" si="227"/>
        <v>Baja fuente de magnesio</v>
      </c>
      <c r="BW467" s="18" t="str">
        <f t="shared" si="228"/>
        <v>Sin aporte de Omega 3</v>
      </c>
      <c r="BX467" s="18" t="str">
        <f t="shared" si="229"/>
        <v>Libre de grasas trans</v>
      </c>
      <c r="BY467" s="18" t="str">
        <f t="shared" si="230"/>
        <v>Bajo poder antioxidante</v>
      </c>
      <c r="BZ467" s="6" t="str">
        <f t="shared" si="218"/>
        <v>Sin probióticos</v>
      </c>
      <c r="CA467" s="18" t="str">
        <f t="shared" si="231"/>
        <v>Poco inflamatorio</v>
      </c>
      <c r="CB467" s="18" t="str">
        <f>IF(ISNUMBER(SEARCH("miel", D467)), "No irritante (Uso condicionado SII)", IF(OR(J467&gt;0, ISNUMBER(SEARCH("cacao", D467)), ISNUMBER(SEARCH("chocolate puro", D467))), "Altamente irritante", IF(OR(AND(O467&gt;15, BI467&gt;1), ISNUMBER(SEARCH("chocolate", D467))), "Moderadamente irritante", "No irritante")))</f>
        <v>No irritante</v>
      </c>
      <c r="CC467" s="6" t="str">
        <f t="shared" si="219"/>
        <v>Sin Omega 3 para evaluar</v>
      </c>
    </row>
    <row r="468" spans="1:81" ht="15" customHeight="1" x14ac:dyDescent="0.3">
      <c r="A468" s="2">
        <f t="shared" si="220"/>
        <v>467</v>
      </c>
      <c r="B468" s="3" t="s">
        <v>584</v>
      </c>
      <c r="C468" s="3" t="s">
        <v>585</v>
      </c>
      <c r="D468" s="3" t="s">
        <v>619</v>
      </c>
      <c r="E468" s="3"/>
      <c r="F468" s="4">
        <v>1.5</v>
      </c>
      <c r="G468" s="5">
        <v>1</v>
      </c>
      <c r="H468" s="5">
        <v>0</v>
      </c>
      <c r="I468" s="5">
        <v>0.2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29</v>
      </c>
      <c r="AL468" s="5">
        <v>8</v>
      </c>
      <c r="AM468" s="5">
        <v>0.2</v>
      </c>
      <c r="AN468" s="5">
        <v>6000</v>
      </c>
      <c r="AO468" s="5">
        <v>0.1</v>
      </c>
      <c r="AP468" s="5">
        <v>290</v>
      </c>
      <c r="AQ468" s="5">
        <v>38850</v>
      </c>
      <c r="AR468" s="5">
        <v>0</v>
      </c>
      <c r="AS468" s="5">
        <v>0.1</v>
      </c>
      <c r="AT468" s="5">
        <v>0.1</v>
      </c>
      <c r="AU468" s="5">
        <v>0.1</v>
      </c>
      <c r="AV468" s="5">
        <f>IFERROR(VLOOKUP(IFERROR(VLOOKUP(D468,Mapa_Similitud!$A$2:$B$2000,2,FALSE()),D468),Hoja1!$A$2:$K$1000,2,FALSE()),IFERROR(VLOOKUP(IFERROR(VLOOKUP(D468,Mapa_Similitud!$A$2:$B$2000,2,FALSE()),D468),Omega3_Referencia!$A$2:$E$100,3,FALSE()),0))</f>
        <v>0</v>
      </c>
      <c r="AW468" s="3" t="str">
        <f>IFERROR(VLOOKUP(IFERROR(VLOOKUP(D468,Mapa_Similitud!$A$2:$B$2000,2,FALSE()),D468),Hoja1!$A$2:$K$1000,3,FALSE()),IFERROR(VLOOKUP(IFERROR(VLOOKUP(D468,Mapa_Similitud!$A$2:$B$2000,2,FALSE()),D468),Omega3_Referencia!$A$2:$E$100,4,FALSE()),"N/A"))</f>
        <v>N/A</v>
      </c>
      <c r="AX468" s="5">
        <f>IFERROR(VLOOKUP(IFERROR(VLOOKUP(D468,Mapa_Similitud!$A$2:$B$2000,2,FALSE()),D468),Hoja1!$A$2:$K$1000,5,FALSE()),0)</f>
        <v>0</v>
      </c>
      <c r="AY468" s="5">
        <f>IFERROR(VLOOKUP(IFERROR(VLOOKUP(D468,Mapa_Similitud!$A$2:$B$2000,2,FALSE()),D468),Hoja1!$A$2:$K$1000,7,FALSE()),0)</f>
        <v>0</v>
      </c>
      <c r="AZ468" s="5">
        <f>IFERROR(VLOOKUP(IFERROR(VLOOKUP(D468,Mapa_Similitud!$A$2:$B$2000,2,FALSE()),D468),Hoja1!$A$2:$K$1000,9,FALSE()),0)</f>
        <v>0</v>
      </c>
      <c r="BA468" s="25">
        <f t="shared" si="203"/>
        <v>0</v>
      </c>
      <c r="BB468" s="25">
        <f t="shared" si="204"/>
        <v>0</v>
      </c>
      <c r="BC468" s="25">
        <f t="shared" si="205"/>
        <v>0</v>
      </c>
      <c r="BD468" s="25">
        <f t="shared" si="206"/>
        <v>0</v>
      </c>
      <c r="BE468" s="25">
        <f t="shared" si="207"/>
        <v>0</v>
      </c>
      <c r="BF468" s="25">
        <f t="shared" si="208"/>
        <v>0</v>
      </c>
      <c r="BG468" s="25">
        <f t="shared" si="209"/>
        <v>3.625</v>
      </c>
      <c r="BH468" s="25">
        <f t="shared" si="210"/>
        <v>0</v>
      </c>
      <c r="BI468" s="25">
        <f t="shared" si="211"/>
        <v>0</v>
      </c>
      <c r="BJ468" s="25">
        <f t="shared" si="212"/>
        <v>0</v>
      </c>
      <c r="BK468" s="25">
        <f t="shared" si="213"/>
        <v>0</v>
      </c>
      <c r="BL468" s="25">
        <f t="shared" si="214"/>
        <v>0</v>
      </c>
      <c r="BM468" s="25">
        <f t="shared" si="215"/>
        <v>0</v>
      </c>
      <c r="BN468" s="18" t="str">
        <f t="shared" si="221"/>
        <v>Baja fuente de proteína</v>
      </c>
      <c r="BO468" s="18" t="str">
        <f t="shared" si="222"/>
        <v>Baja fuente de fibra</v>
      </c>
      <c r="BP468" s="18" t="str">
        <f t="shared" si="223"/>
        <v>Baja fuente de calcio</v>
      </c>
      <c r="BQ468" s="18" t="str">
        <f t="shared" si="224"/>
        <v>Baja fuente de hierro</v>
      </c>
      <c r="BR468" s="18" t="str">
        <f t="shared" si="225"/>
        <v>Bajo en sodio</v>
      </c>
      <c r="BS468" s="6" t="str">
        <f t="shared" si="216"/>
        <v>Proinflamatorio</v>
      </c>
      <c r="BT468" s="6" t="str">
        <f t="shared" si="217"/>
        <v>Bajo en grasas</v>
      </c>
      <c r="BU468" s="18" t="str">
        <f t="shared" si="226"/>
        <v>Equilibrio de líquidos ideal</v>
      </c>
      <c r="BV468" s="18" t="str">
        <f t="shared" si="227"/>
        <v>Baja fuente de magnesio</v>
      </c>
      <c r="BW468" s="18" t="str">
        <f t="shared" si="228"/>
        <v>Sin aporte de Omega 3</v>
      </c>
      <c r="BX468" s="18" t="str">
        <f t="shared" si="229"/>
        <v>Libre de grasas trans</v>
      </c>
      <c r="BY468" s="18" t="str">
        <f t="shared" si="230"/>
        <v>Bajo poder antioxidante</v>
      </c>
      <c r="BZ468" s="6" t="str">
        <f t="shared" si="218"/>
        <v>Sin probióticos</v>
      </c>
      <c r="CA468" s="18" t="str">
        <f t="shared" si="231"/>
        <v>Poco inflamatorio</v>
      </c>
      <c r="CB468" s="18" t="str">
        <f>IF(ISNUMBER(SEARCH("miel", D468)), "No irritante (Uso condicionado SII)", IF(OR(J468&gt;0, ISNUMBER(SEARCH("cacao", D468)), ISNUMBER(SEARCH("chocolate puro", D468))), "Altamente irritante", IF(OR(AND(O468&gt;15, BI468&gt;1), ISNUMBER(SEARCH("chocolate", D468))), "Moderadamente irritante", "No irritante")))</f>
        <v>No irritante</v>
      </c>
      <c r="CC468" s="6" t="str">
        <f t="shared" si="219"/>
        <v>Sin Omega 3 para evaluar</v>
      </c>
    </row>
    <row r="469" spans="1:81" ht="15" customHeight="1" x14ac:dyDescent="0.3">
      <c r="A469" s="2">
        <f t="shared" si="220"/>
        <v>468</v>
      </c>
      <c r="B469" s="3" t="s">
        <v>584</v>
      </c>
      <c r="C469" s="3" t="s">
        <v>585</v>
      </c>
      <c r="D469" s="3" t="s">
        <v>620</v>
      </c>
      <c r="E469" s="3"/>
      <c r="F469" s="4">
        <v>1.5</v>
      </c>
      <c r="G469" s="5">
        <v>1</v>
      </c>
      <c r="H469" s="5">
        <v>443</v>
      </c>
      <c r="I469" s="5">
        <v>1.7</v>
      </c>
      <c r="J469" s="5">
        <v>0</v>
      </c>
      <c r="K469" s="5">
        <v>17.600000000000001</v>
      </c>
      <c r="L469" s="5">
        <v>50</v>
      </c>
      <c r="M469" s="5">
        <v>0</v>
      </c>
      <c r="N469" s="5">
        <v>0</v>
      </c>
      <c r="O469" s="5">
        <v>0</v>
      </c>
      <c r="P469" s="5">
        <v>14.6</v>
      </c>
      <c r="Q469" s="5">
        <v>15.9</v>
      </c>
      <c r="R469" s="5">
        <v>0.59</v>
      </c>
      <c r="S469" s="5">
        <v>9.8000000000000007</v>
      </c>
      <c r="T469" s="5">
        <v>3.2</v>
      </c>
      <c r="U469" s="5">
        <v>0</v>
      </c>
      <c r="V469" s="5">
        <v>16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0.34</v>
      </c>
      <c r="AC469" s="5">
        <v>0.28999999999999998</v>
      </c>
      <c r="AD469" s="5">
        <v>3.1</v>
      </c>
      <c r="AE469" s="5">
        <v>0.65</v>
      </c>
      <c r="AF469" s="5">
        <v>10</v>
      </c>
      <c r="AG469" s="5">
        <v>0</v>
      </c>
      <c r="AH469" s="5">
        <v>0.8</v>
      </c>
      <c r="AI469" s="5">
        <v>0</v>
      </c>
      <c r="AJ469" s="5">
        <v>21</v>
      </c>
      <c r="AK469" s="5">
        <v>646</v>
      </c>
      <c r="AL469" s="5">
        <v>440</v>
      </c>
      <c r="AM469" s="5">
        <v>37</v>
      </c>
      <c r="AN469" s="5">
        <v>0</v>
      </c>
      <c r="AO469" s="5">
        <v>5.3</v>
      </c>
      <c r="AP469" s="5">
        <v>170</v>
      </c>
      <c r="AQ469" s="5">
        <v>16</v>
      </c>
      <c r="AR469" s="5">
        <v>1441</v>
      </c>
      <c r="AS469" s="5">
        <v>2.2999999999999998</v>
      </c>
      <c r="AT469" s="5">
        <v>0.91</v>
      </c>
      <c r="AU469" s="5">
        <v>5</v>
      </c>
      <c r="AV469" s="5">
        <f>IFERROR(VLOOKUP(IFERROR(VLOOKUP(D469,Mapa_Similitud!$A$2:$B$2000,2,FALSE()),D469),Hoja1!$A$2:$K$1000,2,FALSE()),IFERROR(VLOOKUP(IFERROR(VLOOKUP(D469,Mapa_Similitud!$A$2:$B$2000,2,FALSE()),D469),Omega3_Referencia!$A$2:$E$100,3,FALSE()),0))</f>
        <v>0.05</v>
      </c>
      <c r="AW469" s="3" t="str">
        <f>IFERROR(VLOOKUP(IFERROR(VLOOKUP(D469,Mapa_Similitud!$A$2:$B$2000,2,FALSE()),D469),Hoja1!$A$2:$K$1000,3,FALSE()),IFERROR(VLOOKUP(IFERROR(VLOOKUP(D469,Mapa_Similitud!$A$2:$B$2000,2,FALSE()),D469),Omega3_Referencia!$A$2:$E$100,4,FALSE()),"N/A"))</f>
        <v>ALA</v>
      </c>
      <c r="AX469" s="5">
        <f>IFERROR(VLOOKUP(IFERROR(VLOOKUP(D469,Mapa_Similitud!$A$2:$B$2000,2,FALSE()),D469),Hoja1!$A$2:$K$1000,5,FALSE()),0)</f>
        <v>0</v>
      </c>
      <c r="AY469" s="5">
        <f>IFERROR(VLOOKUP(IFERROR(VLOOKUP(D469,Mapa_Similitud!$A$2:$B$2000,2,FALSE()),D469),Hoja1!$A$2:$K$1000,7,FALSE()),0)</f>
        <v>3000</v>
      </c>
      <c r="AZ469" s="5">
        <f>IFERROR(VLOOKUP(IFERROR(VLOOKUP(D469,Mapa_Similitud!$A$2:$B$2000,2,FALSE()),D469),Hoja1!$A$2:$K$1000,9,FALSE()),0)</f>
        <v>0</v>
      </c>
      <c r="BA469" s="25">
        <f t="shared" si="203"/>
        <v>3.9729119638826187E-2</v>
      </c>
      <c r="BB469" s="25">
        <f t="shared" si="204"/>
        <v>3.2957110609480811E-2</v>
      </c>
      <c r="BC469" s="25">
        <f t="shared" si="205"/>
        <v>1.4582392776523703</v>
      </c>
      <c r="BD469" s="25">
        <f t="shared" si="206"/>
        <v>8.35214446952596E-2</v>
      </c>
      <c r="BE469" s="25">
        <f t="shared" si="207"/>
        <v>3.6117381489841983E-2</v>
      </c>
      <c r="BF469" s="25">
        <f t="shared" si="208"/>
        <v>5.4237288135593227</v>
      </c>
      <c r="BG469" s="25">
        <f t="shared" si="209"/>
        <v>1.4681818181818183</v>
      </c>
      <c r="BH469" s="25">
        <f t="shared" si="210"/>
        <v>3.7106918238993709E-2</v>
      </c>
      <c r="BI469" s="25">
        <f t="shared" si="211"/>
        <v>1.1103400416377515E-2</v>
      </c>
      <c r="BJ469" s="25">
        <f t="shared" si="212"/>
        <v>0</v>
      </c>
      <c r="BK469" s="25">
        <f t="shared" si="213"/>
        <v>0.29199999999999998</v>
      </c>
      <c r="BL469" s="25">
        <f t="shared" si="214"/>
        <v>0.32302483069977428</v>
      </c>
      <c r="BM469" s="25">
        <f t="shared" si="215"/>
        <v>0.38374717832957111</v>
      </c>
      <c r="BN469" s="18" t="str">
        <f t="shared" si="221"/>
        <v>Baja fuente de proteína</v>
      </c>
      <c r="BO469" s="18" t="str">
        <f t="shared" si="222"/>
        <v>Alta fuente de fibra</v>
      </c>
      <c r="BP469" s="18" t="str">
        <f t="shared" si="223"/>
        <v>Media fuente de calcio</v>
      </c>
      <c r="BQ469" s="18" t="str">
        <f t="shared" si="224"/>
        <v>Alta fuente de hierro</v>
      </c>
      <c r="BR469" s="18" t="str">
        <f t="shared" si="225"/>
        <v>Bajo en sodio</v>
      </c>
      <c r="BS469" s="6" t="str">
        <f t="shared" si="216"/>
        <v>Altamente antiinflamatorio</v>
      </c>
      <c r="BT469" s="6" t="str">
        <f t="shared" si="217"/>
        <v>Alto en grasas</v>
      </c>
      <c r="BU469" s="18" t="str">
        <f t="shared" si="226"/>
        <v>Equilibrio de líquidos ideal</v>
      </c>
      <c r="BV469" s="18" t="str">
        <f t="shared" si="227"/>
        <v>Media fuente de magnesio</v>
      </c>
      <c r="BW469" s="18" t="str">
        <f t="shared" si="228"/>
        <v>Sin aporte de Omega 3</v>
      </c>
      <c r="BX469" s="18" t="str">
        <f t="shared" si="229"/>
        <v>Libre de grasas trans</v>
      </c>
      <c r="BY469" s="18" t="str">
        <f t="shared" si="230"/>
        <v>Alto poder antioxidante</v>
      </c>
      <c r="BZ469" s="6" t="str">
        <f t="shared" si="218"/>
        <v>Sin probióticos</v>
      </c>
      <c r="CA469" s="18" t="str">
        <f t="shared" si="231"/>
        <v>Antiinflamatorio</v>
      </c>
      <c r="CB469" s="18" t="str">
        <f>IF(ISNUMBER(SEARCH("miel", D469)), "No irritante (Uso condicionado SII)", IF(OR(J469&gt;0, ISNUMBER(SEARCH("cacao", D469)), ISNUMBER(SEARCH("chocolate puro", D469))), "Altamente irritante", IF(OR(AND(O469&gt;15, BI469&gt;1), ISNUMBER(SEARCH("chocolate", D469))), "Moderadamente irritante", "No irritante")))</f>
        <v>No irritante</v>
      </c>
      <c r="CC469" s="6" t="str">
        <f t="shared" si="219"/>
        <v>Exceso relativo de Omega 6</v>
      </c>
    </row>
    <row r="470" spans="1:81" ht="15" customHeight="1" x14ac:dyDescent="0.3">
      <c r="A470" s="2">
        <f t="shared" si="220"/>
        <v>469</v>
      </c>
      <c r="B470" s="3" t="s">
        <v>584</v>
      </c>
      <c r="C470" s="3" t="s">
        <v>585</v>
      </c>
      <c r="D470" s="3" t="s">
        <v>621</v>
      </c>
      <c r="E470" s="3"/>
      <c r="F470" s="4">
        <v>1.5</v>
      </c>
      <c r="G470" s="5">
        <v>1</v>
      </c>
      <c r="H470" s="5">
        <v>369</v>
      </c>
      <c r="I470" s="5">
        <v>7.8</v>
      </c>
      <c r="J470" s="5">
        <v>0</v>
      </c>
      <c r="K470" s="5">
        <v>9.1</v>
      </c>
      <c r="L470" s="5">
        <v>57.1</v>
      </c>
      <c r="M470" s="5">
        <v>0</v>
      </c>
      <c r="N470" s="5">
        <v>0</v>
      </c>
      <c r="O470" s="5">
        <v>0</v>
      </c>
      <c r="P470" s="5">
        <v>18.600000000000001</v>
      </c>
      <c r="Q470" s="5">
        <v>7.4</v>
      </c>
      <c r="R470" s="5">
        <v>0</v>
      </c>
      <c r="S470" s="5">
        <v>0</v>
      </c>
      <c r="T470" s="5">
        <v>0</v>
      </c>
      <c r="U470" s="5">
        <v>0</v>
      </c>
      <c r="V470" s="5">
        <v>380</v>
      </c>
      <c r="W470" s="5">
        <v>0</v>
      </c>
      <c r="X470" s="5">
        <v>2281</v>
      </c>
      <c r="Y470" s="5">
        <v>0</v>
      </c>
      <c r="Z470" s="5">
        <v>0</v>
      </c>
      <c r="AA470" s="5">
        <v>0</v>
      </c>
      <c r="AB470" s="5">
        <v>0.51</v>
      </c>
      <c r="AC470" s="5">
        <v>0.4</v>
      </c>
      <c r="AD470" s="5">
        <v>4.9000000000000004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1890</v>
      </c>
      <c r="AL470" s="5">
        <v>201</v>
      </c>
      <c r="AM470" s="5">
        <v>124</v>
      </c>
      <c r="AN470" s="5">
        <v>0</v>
      </c>
      <c r="AO470" s="5">
        <v>0</v>
      </c>
      <c r="AP470" s="5">
        <v>220</v>
      </c>
      <c r="AQ470" s="5">
        <v>55</v>
      </c>
      <c r="AR470" s="5">
        <v>814</v>
      </c>
      <c r="AS470" s="5">
        <v>0</v>
      </c>
      <c r="AT470" s="5">
        <v>0</v>
      </c>
      <c r="AU470" s="5">
        <v>0</v>
      </c>
      <c r="AV470" s="5">
        <f>IFERROR(VLOOKUP(IFERROR(VLOOKUP(D470,Mapa_Similitud!$A$2:$B$2000,2,FALSE()),D470),Hoja1!$A$2:$K$1000,2,FALSE()),IFERROR(VLOOKUP(IFERROR(VLOOKUP(D470,Mapa_Similitud!$A$2:$B$2000,2,FALSE()),D470),Omega3_Referencia!$A$2:$E$100,3,FALSE()),0))</f>
        <v>0.05</v>
      </c>
      <c r="AW470" s="3" t="str">
        <f>IFERROR(VLOOKUP(IFERROR(VLOOKUP(D470,Mapa_Similitud!$A$2:$B$2000,2,FALSE()),D470),Hoja1!$A$2:$K$1000,3,FALSE()),IFERROR(VLOOKUP(IFERROR(VLOOKUP(D470,Mapa_Similitud!$A$2:$B$2000,2,FALSE()),D470),Omega3_Referencia!$A$2:$E$100,4,FALSE()),"N/A"))</f>
        <v>ALA</v>
      </c>
      <c r="AX470" s="5">
        <f>IFERROR(VLOOKUP(IFERROR(VLOOKUP(D470,Mapa_Similitud!$A$2:$B$2000,2,FALSE()),D470),Hoja1!$A$2:$K$1000,5,FALSE()),0)</f>
        <v>0</v>
      </c>
      <c r="AY470" s="5">
        <f>IFERROR(VLOOKUP(IFERROR(VLOOKUP(D470,Mapa_Similitud!$A$2:$B$2000,2,FALSE()),D470),Hoja1!$A$2:$K$1000,7,FALSE()),0)</f>
        <v>3000</v>
      </c>
      <c r="AZ470" s="5">
        <f>IFERROR(VLOOKUP(IFERROR(VLOOKUP(D470,Mapa_Similitud!$A$2:$B$2000,2,FALSE()),D470),Hoja1!$A$2:$K$1000,9,FALSE()),0)</f>
        <v>0</v>
      </c>
      <c r="BA470" s="25">
        <f t="shared" si="203"/>
        <v>2.4661246612466124E-2</v>
      </c>
      <c r="BB470" s="25">
        <f t="shared" si="204"/>
        <v>5.0406504065040651E-2</v>
      </c>
      <c r="BC470" s="25">
        <f t="shared" si="205"/>
        <v>5.1219512195121952</v>
      </c>
      <c r="BD470" s="25">
        <f t="shared" si="206"/>
        <v>0.33604336043360433</v>
      </c>
      <c r="BE470" s="25">
        <f t="shared" si="207"/>
        <v>0.14905149051490515</v>
      </c>
      <c r="BF470" s="25">
        <f t="shared" si="208"/>
        <v>0</v>
      </c>
      <c r="BG470" s="25">
        <f t="shared" si="209"/>
        <v>9.4029850746268657</v>
      </c>
      <c r="BH470" s="25">
        <f t="shared" si="210"/>
        <v>0</v>
      </c>
      <c r="BI470" s="25">
        <f t="shared" si="211"/>
        <v>6.7567567567567571E-2</v>
      </c>
      <c r="BJ470" s="25">
        <f t="shared" si="212"/>
        <v>0</v>
      </c>
      <c r="BK470" s="25">
        <f t="shared" si="213"/>
        <v>0.3257443082311734</v>
      </c>
      <c r="BL470" s="25">
        <f t="shared" si="214"/>
        <v>0.1804878048780488</v>
      </c>
      <c r="BM470" s="25">
        <f t="shared" si="215"/>
        <v>0.59620596205962062</v>
      </c>
      <c r="BN470" s="18" t="str">
        <f t="shared" si="221"/>
        <v>Baja fuente de proteína</v>
      </c>
      <c r="BO470" s="18" t="str">
        <f t="shared" si="222"/>
        <v>Alta fuente de fibra</v>
      </c>
      <c r="BP470" s="18" t="str">
        <f t="shared" si="223"/>
        <v>Alta fuente de calcio</v>
      </c>
      <c r="BQ470" s="18" t="str">
        <f t="shared" si="224"/>
        <v>Alta fuente de hierro</v>
      </c>
      <c r="BR470" s="18" t="str">
        <f t="shared" si="225"/>
        <v>Bajo en sodio</v>
      </c>
      <c r="BS470" s="6" t="str">
        <f t="shared" si="216"/>
        <v>Proinflamatorio</v>
      </c>
      <c r="BT470" s="6" t="str">
        <f t="shared" si="217"/>
        <v>Bajo en grasas</v>
      </c>
      <c r="BU470" s="18" t="str">
        <f t="shared" si="226"/>
        <v>Equilibrio de líquidos ideal</v>
      </c>
      <c r="BV470" s="18" t="str">
        <f t="shared" si="227"/>
        <v>Alta fuente de magnesio</v>
      </c>
      <c r="BW470" s="18" t="str">
        <f t="shared" si="228"/>
        <v>Sin aporte de Omega 3</v>
      </c>
      <c r="BX470" s="18" t="str">
        <f t="shared" si="229"/>
        <v>Libre de grasas trans</v>
      </c>
      <c r="BY470" s="18" t="str">
        <f t="shared" si="230"/>
        <v>Alto poder antioxidante</v>
      </c>
      <c r="BZ470" s="6" t="str">
        <f t="shared" si="218"/>
        <v>Sin probióticos</v>
      </c>
      <c r="CA470" s="18" t="str">
        <f t="shared" si="231"/>
        <v>Antiinflamatorio</v>
      </c>
      <c r="CB470" s="18" t="str">
        <f>IF(ISNUMBER(SEARCH("miel", D470)), "No irritante (Uso condicionado SII)", IF(OR(J470&gt;0, ISNUMBER(SEARCH("cacao", D470)), ISNUMBER(SEARCH("chocolate puro", D470))), "Altamente irritante", IF(OR(AND(O470&gt;15, BI470&gt;1), ISNUMBER(SEARCH("chocolate", D470))), "Moderadamente irritante", "No irritante")))</f>
        <v>No irritante</v>
      </c>
      <c r="CC470" s="6" t="str">
        <f t="shared" si="219"/>
        <v>Balance de omegas favorable</v>
      </c>
    </row>
    <row r="471" spans="1:81" ht="15" customHeight="1" x14ac:dyDescent="0.3">
      <c r="A471" s="2">
        <f t="shared" si="220"/>
        <v>470</v>
      </c>
      <c r="B471" s="3" t="s">
        <v>584</v>
      </c>
      <c r="C471" s="3" t="s">
        <v>585</v>
      </c>
      <c r="D471" s="3" t="s">
        <v>622</v>
      </c>
      <c r="E471" s="3"/>
      <c r="F471" s="4">
        <v>1.5</v>
      </c>
      <c r="G471" s="5">
        <v>1</v>
      </c>
      <c r="H471" s="5">
        <v>51.6</v>
      </c>
      <c r="I471" s="5">
        <v>87.2</v>
      </c>
      <c r="J471" s="5">
        <v>0</v>
      </c>
      <c r="K471" s="5">
        <v>0.06</v>
      </c>
      <c r="L471" s="5">
        <v>12.7</v>
      </c>
      <c r="M471" s="5">
        <v>0</v>
      </c>
      <c r="N471" s="5">
        <v>12.7</v>
      </c>
      <c r="O471" s="5">
        <v>0</v>
      </c>
      <c r="P471" s="5">
        <v>0</v>
      </c>
      <c r="Q471" s="5">
        <v>0.06</v>
      </c>
      <c r="R471" s="5">
        <v>0.01</v>
      </c>
      <c r="S471" s="5">
        <v>0.01</v>
      </c>
      <c r="T471" s="5">
        <v>4.0000000000000001E-3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1.0999999999999999E-2</v>
      </c>
      <c r="AC471" s="5">
        <v>9.5000000000000001E-2</v>
      </c>
      <c r="AD471" s="5">
        <v>0.43</v>
      </c>
      <c r="AE471" s="5">
        <v>2.5999999999999999E-2</v>
      </c>
      <c r="AF471" s="5">
        <v>0</v>
      </c>
      <c r="AG471" s="5">
        <v>0</v>
      </c>
      <c r="AH471" s="5">
        <v>3.5000000000000003E-2</v>
      </c>
      <c r="AI471" s="5">
        <v>0</v>
      </c>
      <c r="AJ471" s="5">
        <v>0</v>
      </c>
      <c r="AK471" s="5">
        <v>11</v>
      </c>
      <c r="AL471" s="5">
        <v>6</v>
      </c>
      <c r="AM471" s="5">
        <v>0.12</v>
      </c>
      <c r="AN471" s="5">
        <v>0</v>
      </c>
      <c r="AO471" s="5">
        <v>0.11</v>
      </c>
      <c r="AP471" s="5">
        <v>12</v>
      </c>
      <c r="AQ471" s="5">
        <v>9</v>
      </c>
      <c r="AR471" s="5">
        <v>148</v>
      </c>
      <c r="AS471" s="5">
        <v>0.23</v>
      </c>
      <c r="AT471" s="5">
        <v>7.1999999999999995E-2</v>
      </c>
      <c r="AU471" s="5">
        <v>0</v>
      </c>
      <c r="AV471" s="5">
        <f>IFERROR(VLOOKUP(IFERROR(VLOOKUP(D471,Mapa_Similitud!$A$2:$B$2000,2,FALSE()),D471),Hoja1!$A$2:$K$1000,2,FALSE()),IFERROR(VLOOKUP(IFERROR(VLOOKUP(D471,Mapa_Similitud!$A$2:$B$2000,2,FALSE()),D471),Omega3_Referencia!$A$2:$E$100,3,FALSE()),0))</f>
        <v>0.02</v>
      </c>
      <c r="AW471" s="3" t="str">
        <f>IFERROR(VLOOKUP(IFERROR(VLOOKUP(D471,Mapa_Similitud!$A$2:$B$2000,2,FALSE()),D471),Hoja1!$A$2:$K$1000,3,FALSE()),IFERROR(VLOOKUP(IFERROR(VLOOKUP(D471,Mapa_Similitud!$A$2:$B$2000,2,FALSE()),D471),Omega3_Referencia!$A$2:$E$100,4,FALSE()),"N/A"))</f>
        <v>ALA</v>
      </c>
      <c r="AX471" s="5">
        <f>IFERROR(VLOOKUP(IFERROR(VLOOKUP(D471,Mapa_Similitud!$A$2:$B$2000,2,FALSE()),D471),Hoja1!$A$2:$K$1000,5,FALSE()),0)</f>
        <v>0</v>
      </c>
      <c r="AY471" s="5">
        <f>IFERROR(VLOOKUP(IFERROR(VLOOKUP(D471,Mapa_Similitud!$A$2:$B$2000,2,FALSE()),D471),Hoja1!$A$2:$K$1000,7,FALSE()),0)</f>
        <v>500</v>
      </c>
      <c r="AZ471" s="5">
        <f>IFERROR(VLOOKUP(IFERROR(VLOOKUP(D471,Mapa_Similitud!$A$2:$B$2000,2,FALSE()),D471),Hoja1!$A$2:$K$1000,9,FALSE()),0)</f>
        <v>0</v>
      </c>
      <c r="BA471" s="25">
        <f t="shared" si="203"/>
        <v>1.1627906976744186E-3</v>
      </c>
      <c r="BB471" s="25">
        <f t="shared" si="204"/>
        <v>0</v>
      </c>
      <c r="BC471" s="25">
        <f t="shared" si="205"/>
        <v>0.2131782945736434</v>
      </c>
      <c r="BD471" s="25">
        <f t="shared" si="206"/>
        <v>2.3255813953488372E-3</v>
      </c>
      <c r="BE471" s="25">
        <f t="shared" si="207"/>
        <v>0.1744186046511628</v>
      </c>
      <c r="BF471" s="25">
        <f t="shared" si="208"/>
        <v>0.4</v>
      </c>
      <c r="BG471" s="25">
        <f t="shared" si="209"/>
        <v>1.8333333333333333</v>
      </c>
      <c r="BH471" s="25">
        <f t="shared" si="210"/>
        <v>0.16666666666666669</v>
      </c>
      <c r="BI471" s="25">
        <f t="shared" si="211"/>
        <v>6.0810810810810814E-2</v>
      </c>
      <c r="BJ471" s="25">
        <f t="shared" si="212"/>
        <v>1</v>
      </c>
      <c r="BK471" s="25">
        <f t="shared" si="213"/>
        <v>0</v>
      </c>
      <c r="BL471" s="25">
        <f t="shared" si="214"/>
        <v>1.0465116279069767E-2</v>
      </c>
      <c r="BM471" s="25">
        <f t="shared" si="215"/>
        <v>0.23255813953488372</v>
      </c>
      <c r="BN471" s="18" t="str">
        <f t="shared" si="221"/>
        <v>Baja fuente de proteína</v>
      </c>
      <c r="BO471" s="18" t="str">
        <f t="shared" si="222"/>
        <v>Baja fuente de fibra</v>
      </c>
      <c r="BP471" s="18" t="str">
        <f t="shared" si="223"/>
        <v>Baja fuente de calcio</v>
      </c>
      <c r="BQ471" s="18" t="str">
        <f t="shared" si="224"/>
        <v>Baja fuente de hierro</v>
      </c>
      <c r="BR471" s="18" t="str">
        <f t="shared" si="225"/>
        <v>Bajo en sodio</v>
      </c>
      <c r="BS471" s="6" t="str">
        <f t="shared" si="216"/>
        <v>Proinflamatorio</v>
      </c>
      <c r="BT471" s="6" t="str">
        <f t="shared" si="217"/>
        <v>Bajo en grasas</v>
      </c>
      <c r="BU471" s="18" t="str">
        <f t="shared" si="226"/>
        <v>Equilibrio de líquidos ideal</v>
      </c>
      <c r="BV471" s="18" t="str">
        <f t="shared" si="227"/>
        <v>Media fuente de magnesio</v>
      </c>
      <c r="BW471" s="18" t="str">
        <f t="shared" si="228"/>
        <v>Sin aporte de Omega 3</v>
      </c>
      <c r="BX471" s="18" t="str">
        <f t="shared" si="229"/>
        <v>Libre de grasas trans</v>
      </c>
      <c r="BY471" s="18" t="str">
        <f t="shared" si="230"/>
        <v>Alto poder antioxidante</v>
      </c>
      <c r="BZ471" s="6" t="str">
        <f t="shared" si="218"/>
        <v>Sin probióticos</v>
      </c>
      <c r="CA471" s="18" t="str">
        <f t="shared" si="231"/>
        <v>Antiinflamatorio</v>
      </c>
      <c r="CB471" s="18" t="str">
        <f>IF(ISNUMBER(SEARCH("miel", D471)), "No irritante (Uso condicionado SII)", IF(OR(J471&gt;0, ISNUMBER(SEARCH("cacao", D471)), ISNUMBER(SEARCH("chocolate puro", D471))), "Altamente irritante", IF(OR(AND(O471&gt;15, BI471&gt;1), ISNUMBER(SEARCH("chocolate", D471))), "Moderadamente irritante", "No irritante")))</f>
        <v>No irritante</v>
      </c>
      <c r="CC471" s="6" t="str">
        <f t="shared" si="219"/>
        <v>Balance de omegas favorable</v>
      </c>
    </row>
    <row r="472" spans="1:81" ht="15" customHeight="1" x14ac:dyDescent="0.3">
      <c r="A472" s="2">
        <f t="shared" si="220"/>
        <v>471</v>
      </c>
      <c r="B472" s="3" t="s">
        <v>584</v>
      </c>
      <c r="C472" s="3" t="s">
        <v>585</v>
      </c>
      <c r="D472" s="3" t="s">
        <v>623</v>
      </c>
      <c r="E472" s="3"/>
      <c r="F472" s="4">
        <v>1.5</v>
      </c>
      <c r="G472" s="5">
        <v>1</v>
      </c>
      <c r="H472" s="5">
        <v>4</v>
      </c>
      <c r="I472" s="5">
        <v>99</v>
      </c>
      <c r="J472" s="5">
        <v>0</v>
      </c>
      <c r="K472" s="5">
        <v>0.4</v>
      </c>
      <c r="L472" s="5">
        <v>0.6</v>
      </c>
      <c r="M472" s="5">
        <v>0</v>
      </c>
      <c r="N472" s="5">
        <v>0.6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15</v>
      </c>
      <c r="AL472" s="5">
        <v>32</v>
      </c>
      <c r="AM472" s="5">
        <v>0.5</v>
      </c>
      <c r="AN472" s="5">
        <v>0</v>
      </c>
      <c r="AO472" s="5">
        <v>0.1</v>
      </c>
      <c r="AP472" s="5">
        <v>22</v>
      </c>
      <c r="AQ472" s="5">
        <v>20</v>
      </c>
      <c r="AR472" s="5">
        <v>89</v>
      </c>
      <c r="AS472" s="5">
        <v>0.24</v>
      </c>
      <c r="AT472" s="5">
        <v>0.04</v>
      </c>
      <c r="AU472" s="5">
        <v>1</v>
      </c>
      <c r="AV472" s="5">
        <f>IFERROR(VLOOKUP(IFERROR(VLOOKUP(D472,Mapa_Similitud!$A$2:$B$2000,2,FALSE()),D472),Hoja1!$A$2:$K$1000,2,FALSE()),IFERROR(VLOOKUP(IFERROR(VLOOKUP(D472,Mapa_Similitud!$A$2:$B$2000,2,FALSE()),D472),Omega3_Referencia!$A$2:$E$100,3,FALSE()),0))</f>
        <v>0</v>
      </c>
      <c r="AW472" s="3" t="str">
        <f>IFERROR(VLOOKUP(IFERROR(VLOOKUP(D472,Mapa_Similitud!$A$2:$B$2000,2,FALSE()),D472),Hoja1!$A$2:$K$1000,3,FALSE()),IFERROR(VLOOKUP(IFERROR(VLOOKUP(D472,Mapa_Similitud!$A$2:$B$2000,2,FALSE()),D472),Omega3_Referencia!$A$2:$E$100,4,FALSE()),"N/A"))</f>
        <v>N/A</v>
      </c>
      <c r="AX472" s="5">
        <f>IFERROR(VLOOKUP(IFERROR(VLOOKUP(D472,Mapa_Similitud!$A$2:$B$2000,2,FALSE()),D472),Hoja1!$A$2:$K$1000,5,FALSE()),0)</f>
        <v>0</v>
      </c>
      <c r="AY472" s="5">
        <f>IFERROR(VLOOKUP(IFERROR(VLOOKUP(D472,Mapa_Similitud!$A$2:$B$2000,2,FALSE()),D472),Hoja1!$A$2:$K$1000,7,FALSE()),0)</f>
        <v>20</v>
      </c>
      <c r="AZ472" s="5">
        <f>IFERROR(VLOOKUP(IFERROR(VLOOKUP(D472,Mapa_Similitud!$A$2:$B$2000,2,FALSE()),D472),Hoja1!$A$2:$K$1000,9,FALSE()),0)</f>
        <v>0</v>
      </c>
      <c r="BA472" s="25">
        <f t="shared" si="203"/>
        <v>0.1</v>
      </c>
      <c r="BB472" s="25">
        <f t="shared" si="204"/>
        <v>0</v>
      </c>
      <c r="BC472" s="25">
        <f t="shared" si="205"/>
        <v>3.75</v>
      </c>
      <c r="BD472" s="25">
        <f t="shared" si="206"/>
        <v>0.125</v>
      </c>
      <c r="BE472" s="25">
        <f t="shared" si="207"/>
        <v>5</v>
      </c>
      <c r="BF472" s="25">
        <f t="shared" si="208"/>
        <v>0</v>
      </c>
      <c r="BG472" s="25">
        <f t="shared" si="209"/>
        <v>0.46875</v>
      </c>
      <c r="BH472" s="25">
        <f t="shared" si="210"/>
        <v>0</v>
      </c>
      <c r="BI472" s="25">
        <f t="shared" si="211"/>
        <v>0.2247191011235955</v>
      </c>
      <c r="BJ472" s="25">
        <f t="shared" si="212"/>
        <v>1</v>
      </c>
      <c r="BK472" s="25">
        <f t="shared" si="213"/>
        <v>0</v>
      </c>
      <c r="BL472" s="25">
        <f t="shared" si="214"/>
        <v>0</v>
      </c>
      <c r="BM472" s="25">
        <f t="shared" si="215"/>
        <v>5.5</v>
      </c>
      <c r="BN472" s="18" t="str">
        <f t="shared" si="221"/>
        <v>Baja fuente de proteína</v>
      </c>
      <c r="BO472" s="18" t="str">
        <f t="shared" si="222"/>
        <v>Baja fuente de fibra</v>
      </c>
      <c r="BP472" s="18" t="str">
        <f t="shared" si="223"/>
        <v>Alta fuente de calcio</v>
      </c>
      <c r="BQ472" s="18" t="str">
        <f t="shared" si="224"/>
        <v>Alta fuente de hierro</v>
      </c>
      <c r="BR472" s="18" t="str">
        <f t="shared" si="225"/>
        <v>Muy alto en sodio</v>
      </c>
      <c r="BS472" s="6" t="str">
        <f t="shared" si="216"/>
        <v>Proinflamatorio</v>
      </c>
      <c r="BT472" s="6" t="str">
        <f t="shared" si="217"/>
        <v>Bajo en grasas</v>
      </c>
      <c r="BU472" s="18" t="str">
        <f t="shared" si="226"/>
        <v>Equilibrio de líquidos ideal</v>
      </c>
      <c r="BV472" s="18" t="str">
        <f t="shared" si="227"/>
        <v>Alta fuente de magnesio</v>
      </c>
      <c r="BW472" s="18" t="str">
        <f t="shared" si="228"/>
        <v>Sin aporte de Omega 3</v>
      </c>
      <c r="BX472" s="18" t="str">
        <f t="shared" si="229"/>
        <v>Libre de grasas trans</v>
      </c>
      <c r="BY472" s="18" t="str">
        <f t="shared" si="230"/>
        <v>Medio poder antioxidante</v>
      </c>
      <c r="BZ472" s="6" t="str">
        <f t="shared" si="218"/>
        <v>Sin probióticos</v>
      </c>
      <c r="CA472" s="18" t="str">
        <f t="shared" si="231"/>
        <v>Poco inflamatorio</v>
      </c>
      <c r="CB472" s="18" t="str">
        <f>IF(ISNUMBER(SEARCH("miel", D472)), "No irritante (Uso condicionado SII)", IF(OR(J472&gt;0, ISNUMBER(SEARCH("cacao", D472)), ISNUMBER(SEARCH("chocolate puro", D472))), "Altamente irritante", IF(OR(AND(O472&gt;15, BI472&gt;1), ISNUMBER(SEARCH("chocolate", D472))), "Moderadamente irritante", "No irritante")))</f>
        <v>No irritante</v>
      </c>
      <c r="CC472" s="6" t="str">
        <f t="shared" si="219"/>
        <v>Sin Omega 3 para evaluar</v>
      </c>
    </row>
    <row r="473" spans="1:81" ht="15" customHeight="1" x14ac:dyDescent="0.3">
      <c r="A473" s="2">
        <f t="shared" si="220"/>
        <v>472</v>
      </c>
      <c r="B473" s="3" t="s">
        <v>584</v>
      </c>
      <c r="C473" s="3" t="s">
        <v>585</v>
      </c>
      <c r="D473" s="3" t="s">
        <v>624</v>
      </c>
      <c r="E473" s="3"/>
      <c r="F473" s="4">
        <v>1.5</v>
      </c>
      <c r="G473" s="5">
        <v>1</v>
      </c>
      <c r="H473" s="5">
        <v>70</v>
      </c>
      <c r="I473" s="5">
        <v>76.5</v>
      </c>
      <c r="J473" s="5">
        <v>0</v>
      </c>
      <c r="K473" s="5">
        <v>0.49</v>
      </c>
      <c r="L473" s="5">
        <v>17</v>
      </c>
      <c r="M473" s="5">
        <v>3</v>
      </c>
      <c r="N473" s="5">
        <v>15</v>
      </c>
      <c r="O473" s="5">
        <v>14.4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27</v>
      </c>
      <c r="AL473" s="5">
        <v>19</v>
      </c>
      <c r="AM473" s="5">
        <v>0.72</v>
      </c>
      <c r="AN473" s="5">
        <v>0</v>
      </c>
      <c r="AO473" s="5">
        <v>0.08</v>
      </c>
      <c r="AP473" s="5">
        <v>12</v>
      </c>
      <c r="AQ473" s="5">
        <v>23</v>
      </c>
      <c r="AR473" s="5">
        <v>112</v>
      </c>
      <c r="AS473" s="5">
        <v>0</v>
      </c>
      <c r="AT473" s="5">
        <v>0</v>
      </c>
      <c r="AU473" s="5">
        <v>0</v>
      </c>
      <c r="AV473" s="5">
        <f>IFERROR(VLOOKUP(IFERROR(VLOOKUP(D473,Mapa_Similitud!$A$2:$B$2000,2,FALSE()),D473),Hoja1!$A$2:$K$1000,2,FALSE()),IFERROR(VLOOKUP(IFERROR(VLOOKUP(D473,Mapa_Similitud!$A$2:$B$2000,2,FALSE()),D473),Omega3_Referencia!$A$2:$E$100,3,FALSE()),0))</f>
        <v>0</v>
      </c>
      <c r="AW473" s="3" t="str">
        <f>IFERROR(VLOOKUP(IFERROR(VLOOKUP(D473,Mapa_Similitud!$A$2:$B$2000,2,FALSE()),D473),Hoja1!$A$2:$K$1000,3,FALSE()),IFERROR(VLOOKUP(IFERROR(VLOOKUP(D473,Mapa_Similitud!$A$2:$B$2000,2,FALSE()),D473),Omega3_Referencia!$A$2:$E$100,4,FALSE()),"N/A"))</f>
        <v>N/A</v>
      </c>
      <c r="AX473" s="5">
        <f>IFERROR(VLOOKUP(IFERROR(VLOOKUP(D473,Mapa_Similitud!$A$2:$B$2000,2,FALSE()),D473),Hoja1!$A$2:$K$1000,5,FALSE()),0)</f>
        <v>0</v>
      </c>
      <c r="AY473" s="5">
        <f>IFERROR(VLOOKUP(IFERROR(VLOOKUP(D473,Mapa_Similitud!$A$2:$B$2000,2,FALSE()),D473),Hoja1!$A$2:$K$1000,7,FALSE()),0)</f>
        <v>20</v>
      </c>
      <c r="AZ473" s="5">
        <f>IFERROR(VLOOKUP(IFERROR(VLOOKUP(D473,Mapa_Similitud!$A$2:$B$2000,2,FALSE()),D473),Hoja1!$A$2:$K$1000,9,FALSE()),0)</f>
        <v>0</v>
      </c>
      <c r="BA473" s="25">
        <f t="shared" si="203"/>
        <v>7.0000000000000001E-3</v>
      </c>
      <c r="BB473" s="25">
        <f t="shared" si="204"/>
        <v>0</v>
      </c>
      <c r="BC473" s="25">
        <f t="shared" si="205"/>
        <v>0.38571428571428573</v>
      </c>
      <c r="BD473" s="25">
        <f t="shared" si="206"/>
        <v>1.0285714285714285E-2</v>
      </c>
      <c r="BE473" s="25">
        <f t="shared" si="207"/>
        <v>0.32857142857142857</v>
      </c>
      <c r="BF473" s="25">
        <f t="shared" si="208"/>
        <v>0</v>
      </c>
      <c r="BG473" s="25">
        <f t="shared" si="209"/>
        <v>1.4210526315789473</v>
      </c>
      <c r="BH473" s="25">
        <f t="shared" si="210"/>
        <v>0</v>
      </c>
      <c r="BI473" s="25">
        <f t="shared" si="211"/>
        <v>0.20535714285714285</v>
      </c>
      <c r="BJ473" s="25">
        <f t="shared" si="212"/>
        <v>0.88235294117647056</v>
      </c>
      <c r="BK473" s="25">
        <f t="shared" si="213"/>
        <v>0</v>
      </c>
      <c r="BL473" s="25">
        <f t="shared" si="214"/>
        <v>0</v>
      </c>
      <c r="BM473" s="25">
        <f t="shared" si="215"/>
        <v>0.17142857142857143</v>
      </c>
      <c r="BN473" s="18" t="str">
        <f t="shared" si="221"/>
        <v>Baja fuente de proteína</v>
      </c>
      <c r="BO473" s="18" t="str">
        <f t="shared" si="222"/>
        <v>Baja fuente de fibra</v>
      </c>
      <c r="BP473" s="18" t="str">
        <f t="shared" si="223"/>
        <v>Baja fuente de calcio</v>
      </c>
      <c r="BQ473" s="18" t="str">
        <f t="shared" si="224"/>
        <v>Media fuente de hierro</v>
      </c>
      <c r="BR473" s="18" t="str">
        <f t="shared" si="225"/>
        <v>Bajo en sodio</v>
      </c>
      <c r="BS473" s="6" t="str">
        <f t="shared" si="216"/>
        <v>Proinflamatorio</v>
      </c>
      <c r="BT473" s="6" t="str">
        <f t="shared" si="217"/>
        <v>Bajo en grasas</v>
      </c>
      <c r="BU473" s="18" t="str">
        <f t="shared" si="226"/>
        <v>Equilibrio de líquidos ideal</v>
      </c>
      <c r="BV473" s="18" t="str">
        <f t="shared" si="227"/>
        <v>Baja fuente de magnesio</v>
      </c>
      <c r="BW473" s="18" t="str">
        <f t="shared" si="228"/>
        <v>Sin aporte de Omega 3</v>
      </c>
      <c r="BX473" s="18" t="str">
        <f t="shared" si="229"/>
        <v>Libre de grasas trans</v>
      </c>
      <c r="BY473" s="18" t="str">
        <f t="shared" si="230"/>
        <v>Medio poder antioxidante</v>
      </c>
      <c r="BZ473" s="6" t="str">
        <f t="shared" si="218"/>
        <v>Sin probióticos</v>
      </c>
      <c r="CA473" s="18" t="str">
        <f t="shared" si="231"/>
        <v>Moderadamente inflamatorio</v>
      </c>
      <c r="CB473" s="18" t="str">
        <f>IF(ISNUMBER(SEARCH("miel", D473)), "No irritante (Uso condicionado SII)", IF(OR(J473&gt;0, ISNUMBER(SEARCH("cacao", D473)), ISNUMBER(SEARCH("chocolate puro", D473))), "Altamente irritante", IF(OR(AND(O473&gt;15, BI473&gt;1), ISNUMBER(SEARCH("chocolate", D473))), "Moderadamente irritante", "No irritante")))</f>
        <v>No irritante</v>
      </c>
      <c r="CC473" s="6" t="str">
        <f t="shared" si="219"/>
        <v>Sin Omega 3 para evaluar</v>
      </c>
    </row>
    <row r="474" spans="1:81" ht="15" customHeight="1" x14ac:dyDescent="0.3">
      <c r="A474" s="2">
        <f t="shared" si="220"/>
        <v>473</v>
      </c>
      <c r="B474" s="3" t="s">
        <v>584</v>
      </c>
      <c r="C474" s="3" t="s">
        <v>585</v>
      </c>
      <c r="D474" s="3" t="s">
        <v>625</v>
      </c>
      <c r="E474" s="3"/>
      <c r="F474" s="4">
        <v>1.5</v>
      </c>
      <c r="G474" s="5">
        <v>1</v>
      </c>
      <c r="H474" s="5">
        <v>2.4</v>
      </c>
      <c r="I474" s="5">
        <v>99</v>
      </c>
      <c r="J474" s="5">
        <v>0</v>
      </c>
      <c r="K474" s="5">
        <v>0.4</v>
      </c>
      <c r="L474" s="5">
        <v>0.2</v>
      </c>
      <c r="M474" s="5">
        <v>0</v>
      </c>
      <c r="N474" s="5">
        <v>0.2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15</v>
      </c>
      <c r="AL474" s="5">
        <v>32</v>
      </c>
      <c r="AM474" s="5">
        <v>0.5</v>
      </c>
      <c r="AN474" s="5">
        <v>0</v>
      </c>
      <c r="AO474" s="5">
        <v>0.1</v>
      </c>
      <c r="AP474" s="5">
        <v>22</v>
      </c>
      <c r="AQ474" s="5">
        <v>20</v>
      </c>
      <c r="AR474" s="5">
        <v>89</v>
      </c>
      <c r="AS474" s="5">
        <v>0</v>
      </c>
      <c r="AT474" s="5">
        <v>0</v>
      </c>
      <c r="AU474" s="5">
        <v>1</v>
      </c>
      <c r="AV474" s="5">
        <f>IFERROR(VLOOKUP(IFERROR(VLOOKUP(D474,Mapa_Similitud!$A$2:$B$2000,2,FALSE()),D474),Hoja1!$A$2:$K$1000,2,FALSE()),IFERROR(VLOOKUP(IFERROR(VLOOKUP(D474,Mapa_Similitud!$A$2:$B$2000,2,FALSE()),D474),Omega3_Referencia!$A$2:$E$100,3,FALSE()),0))</f>
        <v>0</v>
      </c>
      <c r="AW474" s="3" t="str">
        <f>IFERROR(VLOOKUP(IFERROR(VLOOKUP(D474,Mapa_Similitud!$A$2:$B$2000,2,FALSE()),D474),Hoja1!$A$2:$K$1000,3,FALSE()),IFERROR(VLOOKUP(IFERROR(VLOOKUP(D474,Mapa_Similitud!$A$2:$B$2000,2,FALSE()),D474),Omega3_Referencia!$A$2:$E$100,4,FALSE()),"N/A"))</f>
        <v>N/A</v>
      </c>
      <c r="AX474" s="5">
        <f>IFERROR(VLOOKUP(IFERROR(VLOOKUP(D474,Mapa_Similitud!$A$2:$B$2000,2,FALSE()),D474),Hoja1!$A$2:$K$1000,5,FALSE()),0)</f>
        <v>0</v>
      </c>
      <c r="AY474" s="5">
        <f>IFERROR(VLOOKUP(IFERROR(VLOOKUP(D474,Mapa_Similitud!$A$2:$B$2000,2,FALSE()),D474),Hoja1!$A$2:$K$1000,7,FALSE()),0)</f>
        <v>0</v>
      </c>
      <c r="AZ474" s="5">
        <f>IFERROR(VLOOKUP(IFERROR(VLOOKUP(D474,Mapa_Similitud!$A$2:$B$2000,2,FALSE()),D474),Hoja1!$A$2:$K$1000,9,FALSE()),0)</f>
        <v>0</v>
      </c>
      <c r="BA474" s="25">
        <f t="shared" si="203"/>
        <v>0.16666666666666669</v>
      </c>
      <c r="BB474" s="25">
        <f t="shared" si="204"/>
        <v>0</v>
      </c>
      <c r="BC474" s="25">
        <f t="shared" si="205"/>
        <v>6.25</v>
      </c>
      <c r="BD474" s="25">
        <f t="shared" si="206"/>
        <v>0.20833333333333334</v>
      </c>
      <c r="BE474" s="25">
        <f t="shared" si="207"/>
        <v>8.3333333333333339</v>
      </c>
      <c r="BF474" s="25">
        <f t="shared" si="208"/>
        <v>0</v>
      </c>
      <c r="BG474" s="25">
        <f t="shared" si="209"/>
        <v>0.46875</v>
      </c>
      <c r="BH474" s="25">
        <f t="shared" si="210"/>
        <v>0</v>
      </c>
      <c r="BI474" s="25">
        <f t="shared" si="211"/>
        <v>0.2247191011235955</v>
      </c>
      <c r="BJ474" s="25">
        <f t="shared" si="212"/>
        <v>1</v>
      </c>
      <c r="BK474" s="25">
        <f t="shared" si="213"/>
        <v>0</v>
      </c>
      <c r="BL474" s="25">
        <f t="shared" si="214"/>
        <v>0</v>
      </c>
      <c r="BM474" s="25">
        <f t="shared" si="215"/>
        <v>9.1666666666666679</v>
      </c>
      <c r="BN474" s="18" t="str">
        <f t="shared" si="221"/>
        <v>Alta fuente de proteína</v>
      </c>
      <c r="BO474" s="18" t="str">
        <f t="shared" si="222"/>
        <v>Baja fuente de fibra</v>
      </c>
      <c r="BP474" s="18" t="str">
        <f t="shared" si="223"/>
        <v>Alta fuente de calcio</v>
      </c>
      <c r="BQ474" s="18" t="str">
        <f t="shared" si="224"/>
        <v>Alta fuente de hierro</v>
      </c>
      <c r="BR474" s="18" t="str">
        <f t="shared" si="225"/>
        <v>Muy alto en sodio</v>
      </c>
      <c r="BS474" s="6" t="str">
        <f t="shared" si="216"/>
        <v>Proinflamatorio</v>
      </c>
      <c r="BT474" s="6" t="str">
        <f t="shared" si="217"/>
        <v>Bajo en grasas</v>
      </c>
      <c r="BU474" s="18" t="str">
        <f t="shared" si="226"/>
        <v>Equilibrio de líquidos ideal</v>
      </c>
      <c r="BV474" s="18" t="str">
        <f t="shared" si="227"/>
        <v>Alta fuente de magnesio</v>
      </c>
      <c r="BW474" s="18" t="str">
        <f t="shared" si="228"/>
        <v>Sin aporte de Omega 3</v>
      </c>
      <c r="BX474" s="18" t="str">
        <f t="shared" si="229"/>
        <v>Libre de grasas trans</v>
      </c>
      <c r="BY474" s="18" t="str">
        <f t="shared" si="230"/>
        <v>Bajo poder antioxidante</v>
      </c>
      <c r="BZ474" s="6" t="str">
        <f t="shared" si="218"/>
        <v>Sin probióticos</v>
      </c>
      <c r="CA474" s="18" t="str">
        <f t="shared" si="231"/>
        <v>Poco inflamatorio</v>
      </c>
      <c r="CB474" s="18" t="str">
        <f>IF(ISNUMBER(SEARCH("miel", D474)), "No irritante (Uso condicionado SII)", IF(OR(J474&gt;0, ISNUMBER(SEARCH("cacao", D474)), ISNUMBER(SEARCH("chocolate puro", D474))), "Altamente irritante", IF(OR(AND(O474&gt;15, BI474&gt;1), ISNUMBER(SEARCH("chocolate", D474))), "Moderadamente irritante", "No irritante")))</f>
        <v>No irritante</v>
      </c>
      <c r="CC474" s="6" t="str">
        <f t="shared" si="219"/>
        <v>Sin Omega 3 para evaluar</v>
      </c>
    </row>
    <row r="475" spans="1:81" ht="15" customHeight="1" x14ac:dyDescent="0.3">
      <c r="A475" s="2">
        <f t="shared" si="220"/>
        <v>474</v>
      </c>
      <c r="B475" s="3" t="s">
        <v>584</v>
      </c>
      <c r="C475" s="3" t="s">
        <v>585</v>
      </c>
      <c r="D475" s="3" t="s">
        <v>626</v>
      </c>
      <c r="E475" s="3"/>
      <c r="F475" s="4">
        <v>1.5</v>
      </c>
      <c r="G475" s="5">
        <v>1</v>
      </c>
      <c r="H475" s="5">
        <v>4</v>
      </c>
      <c r="I475" s="5">
        <v>97</v>
      </c>
      <c r="J475" s="5">
        <v>0</v>
      </c>
      <c r="K475" s="5">
        <v>0.4</v>
      </c>
      <c r="L475" s="5">
        <v>0.6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6</v>
      </c>
      <c r="AL475" s="5">
        <v>8</v>
      </c>
      <c r="AM475" s="5">
        <v>0.45</v>
      </c>
      <c r="AN475" s="5">
        <v>0</v>
      </c>
      <c r="AO475" s="5">
        <v>0.03</v>
      </c>
      <c r="AP475" s="5">
        <v>4</v>
      </c>
      <c r="AQ475" s="5">
        <v>8</v>
      </c>
      <c r="AR475" s="5">
        <v>39</v>
      </c>
      <c r="AS475" s="5">
        <v>0</v>
      </c>
      <c r="AT475" s="5">
        <v>0</v>
      </c>
      <c r="AU475" s="5">
        <v>0</v>
      </c>
      <c r="AV475" s="5">
        <f>IFERROR(VLOOKUP(IFERROR(VLOOKUP(D475,Mapa_Similitud!$A$2:$B$2000,2,FALSE()),D475),Hoja1!$A$2:$K$1000,2,FALSE()),IFERROR(VLOOKUP(IFERROR(VLOOKUP(D475,Mapa_Similitud!$A$2:$B$2000,2,FALSE()),D475),Omega3_Referencia!$A$2:$E$100,3,FALSE()),0))</f>
        <v>0</v>
      </c>
      <c r="AW475" s="3" t="str">
        <f>IFERROR(VLOOKUP(IFERROR(VLOOKUP(D475,Mapa_Similitud!$A$2:$B$2000,2,FALSE()),D475),Hoja1!$A$2:$K$1000,3,FALSE()),IFERROR(VLOOKUP(IFERROR(VLOOKUP(D475,Mapa_Similitud!$A$2:$B$2000,2,FALSE()),D475),Omega3_Referencia!$A$2:$E$100,4,FALSE()),"N/A"))</f>
        <v>N/A</v>
      </c>
      <c r="AX475" s="5">
        <f>IFERROR(VLOOKUP(IFERROR(VLOOKUP(D475,Mapa_Similitud!$A$2:$B$2000,2,FALSE()),D475),Hoja1!$A$2:$K$1000,5,FALSE()),0)</f>
        <v>0</v>
      </c>
      <c r="AY475" s="5">
        <f>IFERROR(VLOOKUP(IFERROR(VLOOKUP(D475,Mapa_Similitud!$A$2:$B$2000,2,FALSE()),D475),Hoja1!$A$2:$K$1000,7,FALSE()),0)</f>
        <v>0</v>
      </c>
      <c r="AZ475" s="5">
        <f>IFERROR(VLOOKUP(IFERROR(VLOOKUP(D475,Mapa_Similitud!$A$2:$B$2000,2,FALSE()),D475),Hoja1!$A$2:$K$1000,9,FALSE()),0)</f>
        <v>0</v>
      </c>
      <c r="BA475" s="25">
        <f t="shared" si="203"/>
        <v>0.1</v>
      </c>
      <c r="BB475" s="25">
        <f t="shared" si="204"/>
        <v>0</v>
      </c>
      <c r="BC475" s="25">
        <f t="shared" si="205"/>
        <v>1.5</v>
      </c>
      <c r="BD475" s="25">
        <f t="shared" si="206"/>
        <v>0.1125</v>
      </c>
      <c r="BE475" s="25">
        <f t="shared" si="207"/>
        <v>2</v>
      </c>
      <c r="BF475" s="25">
        <f t="shared" si="208"/>
        <v>0</v>
      </c>
      <c r="BG475" s="25">
        <f t="shared" si="209"/>
        <v>0.75</v>
      </c>
      <c r="BH475" s="25">
        <f t="shared" si="210"/>
        <v>0</v>
      </c>
      <c r="BI475" s="25">
        <f t="shared" si="211"/>
        <v>0.20512820512820512</v>
      </c>
      <c r="BJ475" s="25">
        <f t="shared" si="212"/>
        <v>0</v>
      </c>
      <c r="BK475" s="25">
        <f t="shared" si="213"/>
        <v>0</v>
      </c>
      <c r="BL475" s="25">
        <f t="shared" si="214"/>
        <v>0</v>
      </c>
      <c r="BM475" s="25">
        <f t="shared" si="215"/>
        <v>1</v>
      </c>
      <c r="BN475" s="18" t="str">
        <f t="shared" si="221"/>
        <v>Baja fuente de proteína</v>
      </c>
      <c r="BO475" s="18" t="str">
        <f t="shared" si="222"/>
        <v>Baja fuente de fibra</v>
      </c>
      <c r="BP475" s="18" t="str">
        <f t="shared" si="223"/>
        <v>Media fuente de calcio</v>
      </c>
      <c r="BQ475" s="18" t="str">
        <f t="shared" si="224"/>
        <v>Alta fuente de hierro</v>
      </c>
      <c r="BR475" s="18" t="str">
        <f t="shared" si="225"/>
        <v>Alto en sodio</v>
      </c>
      <c r="BS475" s="6" t="str">
        <f t="shared" si="216"/>
        <v>Proinflamatorio</v>
      </c>
      <c r="BT475" s="6" t="str">
        <f t="shared" si="217"/>
        <v>Bajo en grasas</v>
      </c>
      <c r="BU475" s="18" t="str">
        <f t="shared" si="226"/>
        <v>Equilibrio de líquidos ideal</v>
      </c>
      <c r="BV475" s="18" t="str">
        <f t="shared" si="227"/>
        <v>Alta fuente de magnesio</v>
      </c>
      <c r="BW475" s="18" t="str">
        <f t="shared" si="228"/>
        <v>Sin aporte de Omega 3</v>
      </c>
      <c r="BX475" s="18" t="str">
        <f t="shared" si="229"/>
        <v>Libre de grasas trans</v>
      </c>
      <c r="BY475" s="18" t="str">
        <f t="shared" si="230"/>
        <v>Bajo poder antioxidante</v>
      </c>
      <c r="BZ475" s="6" t="str">
        <f t="shared" si="218"/>
        <v>Sin probióticos</v>
      </c>
      <c r="CA475" s="18" t="str">
        <f t="shared" si="231"/>
        <v>Poco inflamatorio</v>
      </c>
      <c r="CB475" s="18" t="str">
        <f>IF(ISNUMBER(SEARCH("miel", D475)), "No irritante (Uso condicionado SII)", IF(OR(J475&gt;0, ISNUMBER(SEARCH("cacao", D475)), ISNUMBER(SEARCH("chocolate puro", D475))), "Altamente irritante", IF(OR(AND(O475&gt;15, BI475&gt;1), ISNUMBER(SEARCH("chocolate", D475))), "Moderadamente irritante", "No irritante")))</f>
        <v>No irritante</v>
      </c>
      <c r="CC475" s="6" t="str">
        <f t="shared" si="219"/>
        <v>Sin Omega 3 para evaluar</v>
      </c>
    </row>
    <row r="476" spans="1:81" ht="15" customHeight="1" x14ac:dyDescent="0.3">
      <c r="A476" s="2">
        <f t="shared" si="220"/>
        <v>475</v>
      </c>
      <c r="B476" s="3" t="s">
        <v>584</v>
      </c>
      <c r="C476" s="3" t="s">
        <v>627</v>
      </c>
      <c r="D476" s="3" t="s">
        <v>628</v>
      </c>
      <c r="E476" s="3"/>
      <c r="F476" s="4">
        <v>1.5</v>
      </c>
      <c r="G476" s="5">
        <v>1</v>
      </c>
      <c r="H476" s="5">
        <v>796</v>
      </c>
      <c r="I476" s="5">
        <v>9.6999999999999993</v>
      </c>
      <c r="J476" s="5">
        <v>0</v>
      </c>
      <c r="K476" s="5">
        <v>0.5</v>
      </c>
      <c r="L476" s="5">
        <v>2.8</v>
      </c>
      <c r="M476" s="5">
        <v>2.5</v>
      </c>
      <c r="N476" s="5">
        <v>0.3</v>
      </c>
      <c r="O476" s="5">
        <v>0.3</v>
      </c>
      <c r="P476" s="5">
        <v>0.1</v>
      </c>
      <c r="Q476" s="5">
        <v>86.9</v>
      </c>
      <c r="R476" s="5">
        <v>12.6</v>
      </c>
      <c r="S476" s="5">
        <v>61.7</v>
      </c>
      <c r="T476" s="5">
        <v>8.6999999999999993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10.5</v>
      </c>
      <c r="AA476" s="5">
        <v>80.3</v>
      </c>
      <c r="AB476" s="5">
        <v>0.02</v>
      </c>
      <c r="AC476" s="5">
        <v>0</v>
      </c>
      <c r="AD476" s="5">
        <v>0.03</v>
      </c>
      <c r="AE476" s="5">
        <v>0.04</v>
      </c>
      <c r="AF476" s="5">
        <v>1</v>
      </c>
      <c r="AG476" s="5">
        <v>0</v>
      </c>
      <c r="AH476" s="5">
        <v>0.5</v>
      </c>
      <c r="AI476" s="5">
        <v>0</v>
      </c>
      <c r="AJ476" s="5">
        <v>0</v>
      </c>
      <c r="AK476" s="5">
        <v>2</v>
      </c>
      <c r="AL476" s="5">
        <v>16</v>
      </c>
      <c r="AM476" s="5">
        <v>0.1</v>
      </c>
      <c r="AN476" s="5">
        <v>32</v>
      </c>
      <c r="AO476" s="5">
        <v>0.1</v>
      </c>
      <c r="AP476" s="5">
        <v>7</v>
      </c>
      <c r="AQ476" s="5">
        <v>565</v>
      </c>
      <c r="AR476" s="5">
        <v>52</v>
      </c>
      <c r="AS476" s="5">
        <v>4.5999999999999999E-2</v>
      </c>
      <c r="AT476" s="5">
        <v>0.33</v>
      </c>
      <c r="AU476" s="5">
        <v>0.2</v>
      </c>
      <c r="AV476" s="5">
        <f>IFERROR(VLOOKUP(IFERROR(VLOOKUP(D476,Mapa_Similitud!$A$2:$B$2000,2,FALSE()),D476),Hoja1!$A$2:$K$1000,2,FALSE()),IFERROR(VLOOKUP(IFERROR(VLOOKUP(D476,Mapa_Similitud!$A$2:$B$2000,2,FALSE()),D476),Omega3_Referencia!$A$2:$E$100,3,FALSE()),0))</f>
        <v>0.5</v>
      </c>
      <c r="AW476" s="3" t="str">
        <f>IFERROR(VLOOKUP(IFERROR(VLOOKUP(D476,Mapa_Similitud!$A$2:$B$2000,2,FALSE()),D476),Hoja1!$A$2:$K$1000,3,FALSE()),IFERROR(VLOOKUP(IFERROR(VLOOKUP(D476,Mapa_Similitud!$A$2:$B$2000,2,FALSE()),D476),Omega3_Referencia!$A$2:$E$100,4,FALSE()),"N/A"))</f>
        <v>ALA</v>
      </c>
      <c r="AX476" s="5">
        <f>IFERROR(VLOOKUP(IFERROR(VLOOKUP(D476,Mapa_Similitud!$A$2:$B$2000,2,FALSE()),D476),Hoja1!$A$2:$K$1000,5,FALSE()),0)</f>
        <v>0.1</v>
      </c>
      <c r="AY476" s="5">
        <f>IFERROR(VLOOKUP(IFERROR(VLOOKUP(D476,Mapa_Similitud!$A$2:$B$2000,2,FALSE()),D476),Hoja1!$A$2:$K$1000,7,FALSE()),0)</f>
        <v>0</v>
      </c>
      <c r="AZ476" s="5">
        <f>IFERROR(VLOOKUP(IFERROR(VLOOKUP(D476,Mapa_Similitud!$A$2:$B$2000,2,FALSE()),D476),Hoja1!$A$2:$K$1000,9,FALSE()),0)</f>
        <v>0</v>
      </c>
      <c r="BA476" s="25">
        <f t="shared" si="203"/>
        <v>6.2814070351758795E-4</v>
      </c>
      <c r="BB476" s="25">
        <f t="shared" si="204"/>
        <v>1.256281407035176E-4</v>
      </c>
      <c r="BC476" s="25">
        <f t="shared" si="205"/>
        <v>2.5125628140703518E-3</v>
      </c>
      <c r="BD476" s="25">
        <f t="shared" si="206"/>
        <v>1.256281407035176E-4</v>
      </c>
      <c r="BE476" s="25">
        <f t="shared" si="207"/>
        <v>0.70979899497487442</v>
      </c>
      <c r="BF476" s="25">
        <f t="shared" si="208"/>
        <v>0.69047619047619047</v>
      </c>
      <c r="BG476" s="25">
        <f t="shared" si="209"/>
        <v>0.125</v>
      </c>
      <c r="BH476" s="25">
        <f t="shared" si="210"/>
        <v>0.14499424626006904</v>
      </c>
      <c r="BI476" s="25">
        <f t="shared" si="211"/>
        <v>10.865384615384615</v>
      </c>
      <c r="BJ476" s="25">
        <f t="shared" si="212"/>
        <v>0.10714285714285715</v>
      </c>
      <c r="BK476" s="25">
        <f t="shared" si="213"/>
        <v>3.5714285714285719E-2</v>
      </c>
      <c r="BL476" s="25">
        <f t="shared" si="214"/>
        <v>0.98253768844221112</v>
      </c>
      <c r="BM476" s="25">
        <f t="shared" si="215"/>
        <v>8.7939698492462311E-3</v>
      </c>
      <c r="BN476" s="18" t="str">
        <f t="shared" si="221"/>
        <v>Baja fuente de proteína</v>
      </c>
      <c r="BO476" s="18" t="str">
        <f t="shared" si="222"/>
        <v>Baja fuente de fibra</v>
      </c>
      <c r="BP476" s="18" t="str">
        <f t="shared" si="223"/>
        <v>Baja fuente de calcio</v>
      </c>
      <c r="BQ476" s="18" t="str">
        <f t="shared" si="224"/>
        <v>Baja fuente de hierro</v>
      </c>
      <c r="BR476" s="18" t="str">
        <f t="shared" si="225"/>
        <v>Moderado en sodio</v>
      </c>
      <c r="BS476" s="6" t="str">
        <f t="shared" si="216"/>
        <v>Neutro</v>
      </c>
      <c r="BT476" s="6" t="str">
        <f t="shared" si="217"/>
        <v>Muy alto en grasas</v>
      </c>
      <c r="BU476" s="18" t="str">
        <f t="shared" si="226"/>
        <v>Alto riesgo de retención de líquidos</v>
      </c>
      <c r="BV476" s="18" t="str">
        <f t="shared" si="227"/>
        <v>Baja fuente de magnesio</v>
      </c>
      <c r="BW476" s="18" t="str">
        <f t="shared" si="228"/>
        <v>Alta fuente de Omega 3</v>
      </c>
      <c r="BX476" s="18" t="str">
        <f t="shared" si="229"/>
        <v>Contiene grasas trans</v>
      </c>
      <c r="BY476" s="18" t="str">
        <f t="shared" si="230"/>
        <v>Bajo poder antioxidante</v>
      </c>
      <c r="BZ476" s="6" t="str">
        <f t="shared" si="218"/>
        <v>Sin probióticos</v>
      </c>
      <c r="CA476" s="18" t="str">
        <f t="shared" si="231"/>
        <v>Antiinflamatorio</v>
      </c>
      <c r="CB476" s="18" t="str">
        <f>IF(ISNUMBER(SEARCH("miel", D476)), "No irritante (Uso condicionado SII)", IF(OR(J476&gt;0, ISNUMBER(SEARCH("cacao", D476)), ISNUMBER(SEARCH("chocolate puro", D476))), "Altamente irritante", IF(OR(AND(O476&gt;15, BI476&gt;1), ISNUMBER(SEARCH("chocolate", D476))), "Moderadamente irritante", "No irritante")))</f>
        <v>No irritante</v>
      </c>
      <c r="CC476" s="6" t="str">
        <f t="shared" si="219"/>
        <v>Exceso relativo de Omega 6</v>
      </c>
    </row>
    <row r="477" spans="1:81" ht="15" customHeight="1" x14ac:dyDescent="0.3">
      <c r="A477" s="2">
        <f t="shared" si="220"/>
        <v>476</v>
      </c>
      <c r="B477" s="3" t="s">
        <v>584</v>
      </c>
      <c r="C477" s="3" t="s">
        <v>627</v>
      </c>
      <c r="D477" s="3" t="s">
        <v>629</v>
      </c>
      <c r="E477" s="3"/>
      <c r="F477" s="4">
        <v>1.5</v>
      </c>
      <c r="G477" s="5">
        <v>1</v>
      </c>
      <c r="H477" s="5">
        <v>338</v>
      </c>
      <c r="I477" s="5">
        <v>15.6</v>
      </c>
      <c r="J477" s="5">
        <v>0</v>
      </c>
      <c r="K477" s="5">
        <v>84.4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0.1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11</v>
      </c>
      <c r="AL477" s="5">
        <v>0</v>
      </c>
      <c r="AM477" s="5">
        <v>0</v>
      </c>
      <c r="AN477" s="5">
        <v>6</v>
      </c>
      <c r="AO477" s="5">
        <v>0.2</v>
      </c>
      <c r="AP477" s="5">
        <v>11</v>
      </c>
      <c r="AQ477" s="5">
        <v>32</v>
      </c>
      <c r="AR477" s="5">
        <v>22</v>
      </c>
      <c r="AS477" s="5">
        <v>0</v>
      </c>
      <c r="AT477" s="5">
        <v>0.05</v>
      </c>
      <c r="AU477" s="5">
        <v>0</v>
      </c>
      <c r="AV477" s="5">
        <f>IFERROR(VLOOKUP(IFERROR(VLOOKUP(D477,Mapa_Similitud!$A$2:$B$2000,2,FALSE()),D477),Hoja1!$A$2:$K$1000,2,FALSE()),IFERROR(VLOOKUP(IFERROR(VLOOKUP(D477,Mapa_Similitud!$A$2:$B$2000,2,FALSE()),D477),Omega3_Referencia!$A$2:$E$100,3,FALSE()),0))</f>
        <v>0</v>
      </c>
      <c r="AW477" s="3" t="str">
        <f>IFERROR(VLOOKUP(IFERROR(VLOOKUP(D477,Mapa_Similitud!$A$2:$B$2000,2,FALSE()),D477),Hoja1!$A$2:$K$1000,3,FALSE()),IFERROR(VLOOKUP(IFERROR(VLOOKUP(D477,Mapa_Similitud!$A$2:$B$2000,2,FALSE()),D477),Omega3_Referencia!$A$2:$E$100,4,FALSE()),"N/A"))</f>
        <v>N/A</v>
      </c>
      <c r="AX477" s="5">
        <f>IFERROR(VLOOKUP(IFERROR(VLOOKUP(D477,Mapa_Similitud!$A$2:$B$2000,2,FALSE()),D477),Hoja1!$A$2:$K$1000,5,FALSE()),0)</f>
        <v>0</v>
      </c>
      <c r="AY477" s="5">
        <f>IFERROR(VLOOKUP(IFERROR(VLOOKUP(D477,Mapa_Similitud!$A$2:$B$2000,2,FALSE()),D477),Hoja1!$A$2:$K$1000,7,FALSE()),0)</f>
        <v>0</v>
      </c>
      <c r="AZ477" s="5">
        <f>IFERROR(VLOOKUP(IFERROR(VLOOKUP(D477,Mapa_Similitud!$A$2:$B$2000,2,FALSE()),D477),Hoja1!$A$2:$K$1000,9,FALSE()),0)</f>
        <v>0</v>
      </c>
      <c r="BA477" s="25">
        <f t="shared" si="203"/>
        <v>0.24970414201183433</v>
      </c>
      <c r="BB477" s="25">
        <f t="shared" si="204"/>
        <v>0</v>
      </c>
      <c r="BC477" s="25">
        <f t="shared" si="205"/>
        <v>3.2544378698224852E-2</v>
      </c>
      <c r="BD477" s="25">
        <f t="shared" si="206"/>
        <v>0</v>
      </c>
      <c r="BE477" s="25">
        <f t="shared" si="207"/>
        <v>9.4674556213017749E-2</v>
      </c>
      <c r="BF477" s="25">
        <f t="shared" si="208"/>
        <v>0</v>
      </c>
      <c r="BG477" s="25">
        <f t="shared" si="209"/>
        <v>0</v>
      </c>
      <c r="BH477" s="25">
        <f t="shared" si="210"/>
        <v>0</v>
      </c>
      <c r="BI477" s="25">
        <f t="shared" si="211"/>
        <v>1.4545454545454546</v>
      </c>
      <c r="BJ477" s="25">
        <f t="shared" si="212"/>
        <v>0</v>
      </c>
      <c r="BK477" s="25">
        <f t="shared" si="213"/>
        <v>0</v>
      </c>
      <c r="BL477" s="25">
        <f t="shared" si="214"/>
        <v>0</v>
      </c>
      <c r="BM477" s="25">
        <f t="shared" si="215"/>
        <v>3.2544378698224852E-2</v>
      </c>
      <c r="BN477" s="18" t="str">
        <f t="shared" si="221"/>
        <v>Muy alta fuente de proteína</v>
      </c>
      <c r="BO477" s="18" t="str">
        <f t="shared" si="222"/>
        <v>Baja fuente de fibra</v>
      </c>
      <c r="BP477" s="18" t="str">
        <f t="shared" si="223"/>
        <v>Baja fuente de calcio</v>
      </c>
      <c r="BQ477" s="18" t="str">
        <f t="shared" si="224"/>
        <v>Baja fuente de hierro</v>
      </c>
      <c r="BR477" s="18" t="str">
        <f t="shared" si="225"/>
        <v>Bajo en sodio</v>
      </c>
      <c r="BS477" s="6" t="str">
        <f t="shared" si="216"/>
        <v>Proinflamatorio</v>
      </c>
      <c r="BT477" s="6" t="str">
        <f t="shared" si="217"/>
        <v>Bajo en grasas</v>
      </c>
      <c r="BU477" s="18" t="str">
        <f t="shared" si="226"/>
        <v>Alto riesgo de retención de líquidos</v>
      </c>
      <c r="BV477" s="18" t="str">
        <f t="shared" si="227"/>
        <v>Baja fuente de magnesio</v>
      </c>
      <c r="BW477" s="18" t="str">
        <f t="shared" si="228"/>
        <v>Sin aporte de Omega 3</v>
      </c>
      <c r="BX477" s="18" t="str">
        <f t="shared" si="229"/>
        <v>Libre de grasas trans</v>
      </c>
      <c r="BY477" s="18" t="str">
        <f t="shared" si="230"/>
        <v>Bajo poder antioxidante</v>
      </c>
      <c r="BZ477" s="6" t="str">
        <f t="shared" si="218"/>
        <v>Sin probióticos</v>
      </c>
      <c r="CA477" s="18" t="str">
        <f t="shared" si="231"/>
        <v>Poco inflamatorio</v>
      </c>
      <c r="CB477" s="18" t="str">
        <f>IF(ISNUMBER(SEARCH("miel", D477)), "No irritante (Uso condicionado SII)", IF(OR(J477&gt;0, ISNUMBER(SEARCH("cacao", D477)), ISNUMBER(SEARCH("chocolate puro", D477))), "Altamente irritante", IF(OR(AND(O477&gt;15, BI477&gt;1), ISNUMBER(SEARCH("chocolate", D477))), "Moderadamente irritante", "No irritante")))</f>
        <v>No irritante</v>
      </c>
      <c r="CC477" s="6" t="str">
        <f t="shared" si="219"/>
        <v>Sin Omega 3 para evaluar</v>
      </c>
    </row>
    <row r="478" spans="1:81" ht="15" customHeight="1" x14ac:dyDescent="0.3">
      <c r="A478" s="2">
        <f t="shared" si="220"/>
        <v>477</v>
      </c>
      <c r="B478" s="3" t="s">
        <v>584</v>
      </c>
      <c r="C478" s="3" t="s">
        <v>627</v>
      </c>
      <c r="D478" s="3" t="s">
        <v>630</v>
      </c>
      <c r="E478" s="3"/>
      <c r="F478" s="4">
        <v>1.5</v>
      </c>
      <c r="G478" s="5">
        <v>1</v>
      </c>
      <c r="H478" s="5">
        <v>117</v>
      </c>
      <c r="I478" s="5">
        <v>66.400000000000006</v>
      </c>
      <c r="J478" s="5">
        <v>0</v>
      </c>
      <c r="K478" s="5">
        <v>2</v>
      </c>
      <c r="L478" s="5">
        <v>26</v>
      </c>
      <c r="M478" s="5">
        <v>1.2</v>
      </c>
      <c r="N478" s="5">
        <v>24.8</v>
      </c>
      <c r="O478" s="5">
        <v>21.1</v>
      </c>
      <c r="P478" s="5">
        <v>0.9</v>
      </c>
      <c r="Q478" s="5">
        <v>0.4</v>
      </c>
      <c r="R478" s="5">
        <v>6.0999999999999999E-2</v>
      </c>
      <c r="S478" s="5">
        <v>7.1999999999999995E-2</v>
      </c>
      <c r="T478" s="5">
        <v>0.18</v>
      </c>
      <c r="U478" s="5">
        <v>0</v>
      </c>
      <c r="V478" s="5">
        <v>52.7</v>
      </c>
      <c r="W478" s="5">
        <v>0</v>
      </c>
      <c r="X478" s="5">
        <v>316</v>
      </c>
      <c r="Y478" s="5">
        <v>0</v>
      </c>
      <c r="Z478" s="5">
        <v>1.5</v>
      </c>
      <c r="AA478" s="5">
        <v>0</v>
      </c>
      <c r="AB478" s="5">
        <v>0.06</v>
      </c>
      <c r="AC478" s="5">
        <v>0.06</v>
      </c>
      <c r="AD478" s="5">
        <v>1.2</v>
      </c>
      <c r="AE478" s="5">
        <v>0.16</v>
      </c>
      <c r="AF478" s="5">
        <v>10</v>
      </c>
      <c r="AG478" s="5">
        <v>0</v>
      </c>
      <c r="AH478" s="5">
        <v>0.2</v>
      </c>
      <c r="AI478" s="5">
        <v>0</v>
      </c>
      <c r="AJ478" s="5">
        <v>15</v>
      </c>
      <c r="AK478" s="5">
        <v>19</v>
      </c>
      <c r="AL478" s="5">
        <v>40</v>
      </c>
      <c r="AM478" s="5">
        <v>0.9</v>
      </c>
      <c r="AN478" s="5">
        <v>0</v>
      </c>
      <c r="AO478" s="5">
        <v>0.1</v>
      </c>
      <c r="AP478" s="5">
        <v>19</v>
      </c>
      <c r="AQ478" s="5">
        <v>952</v>
      </c>
      <c r="AR478" s="5">
        <v>480</v>
      </c>
      <c r="AS478" s="5">
        <v>0.13</v>
      </c>
      <c r="AT478" s="5">
        <v>0.2</v>
      </c>
      <c r="AU478" s="5">
        <v>0.8</v>
      </c>
      <c r="AV478" s="5">
        <f>IFERROR(VLOOKUP(IFERROR(VLOOKUP(D478,Mapa_Similitud!$A$2:$B$2000,2,FALSE()),D478),Hoja1!$A$2:$K$1000,2,FALSE()),IFERROR(VLOOKUP(IFERROR(VLOOKUP(D478,Mapa_Similitud!$A$2:$B$2000,2,FALSE()),D478),Omega3_Referencia!$A$2:$E$100,3,FALSE()),0))</f>
        <v>0.1</v>
      </c>
      <c r="AW478" s="3" t="str">
        <f>IFERROR(VLOOKUP(IFERROR(VLOOKUP(D478,Mapa_Similitud!$A$2:$B$2000,2,FALSE()),D478),Hoja1!$A$2:$K$1000,3,FALSE()),IFERROR(VLOOKUP(IFERROR(VLOOKUP(D478,Mapa_Similitud!$A$2:$B$2000,2,FALSE()),D478),Omega3_Referencia!$A$2:$E$100,4,FALSE()),"N/A"))</f>
        <v>ALA</v>
      </c>
      <c r="AX478" s="5">
        <f>IFERROR(VLOOKUP(IFERROR(VLOOKUP(D478,Mapa_Similitud!$A$2:$B$2000,2,FALSE()),D478),Hoja1!$A$2:$K$1000,5,FALSE()),0)</f>
        <v>0</v>
      </c>
      <c r="AY478" s="5">
        <f>IFERROR(VLOOKUP(IFERROR(VLOOKUP(D478,Mapa_Similitud!$A$2:$B$2000,2,FALSE()),D478),Hoja1!$A$2:$K$1000,7,FALSE()),0)</f>
        <v>15</v>
      </c>
      <c r="AZ478" s="5">
        <f>IFERROR(VLOOKUP(IFERROR(VLOOKUP(D478,Mapa_Similitud!$A$2:$B$2000,2,FALSE()),D478),Hoja1!$A$2:$K$1000,9,FALSE()),0)</f>
        <v>0</v>
      </c>
      <c r="BA478" s="25">
        <f t="shared" si="203"/>
        <v>1.7094017094017096E-2</v>
      </c>
      <c r="BB478" s="25">
        <f t="shared" si="204"/>
        <v>7.6923076923076927E-3</v>
      </c>
      <c r="BC478" s="25">
        <f t="shared" si="205"/>
        <v>0.1623931623931624</v>
      </c>
      <c r="BD478" s="25">
        <f t="shared" si="206"/>
        <v>7.6923076923076927E-3</v>
      </c>
      <c r="BE478" s="25">
        <f t="shared" si="207"/>
        <v>8.1367521367521363</v>
      </c>
      <c r="BF478" s="25">
        <f t="shared" si="208"/>
        <v>2.9508196721311477</v>
      </c>
      <c r="BG478" s="25">
        <f t="shared" si="209"/>
        <v>0.47499999999999998</v>
      </c>
      <c r="BH478" s="25">
        <f t="shared" si="210"/>
        <v>0.1525</v>
      </c>
      <c r="BI478" s="25">
        <f t="shared" si="211"/>
        <v>1.9833333333333334</v>
      </c>
      <c r="BJ478" s="25">
        <f t="shared" si="212"/>
        <v>0.9538461538461539</v>
      </c>
      <c r="BK478" s="25">
        <f t="shared" si="213"/>
        <v>3.4615384615384617E-2</v>
      </c>
      <c r="BL478" s="25">
        <f t="shared" si="214"/>
        <v>3.0769230769230771E-2</v>
      </c>
      <c r="BM478" s="25">
        <f t="shared" si="215"/>
        <v>0.1623931623931624</v>
      </c>
      <c r="BN478" s="18" t="str">
        <f t="shared" si="221"/>
        <v>Baja fuente de proteína</v>
      </c>
      <c r="BO478" s="18" t="str">
        <f t="shared" si="222"/>
        <v>Baja fuente de fibra</v>
      </c>
      <c r="BP478" s="18" t="str">
        <f t="shared" si="223"/>
        <v>Baja fuente de calcio</v>
      </c>
      <c r="BQ478" s="18" t="str">
        <f t="shared" si="224"/>
        <v>Baja fuente de hierro</v>
      </c>
      <c r="BR478" s="18" t="str">
        <f t="shared" si="225"/>
        <v>Muy alto en sodio</v>
      </c>
      <c r="BS478" s="6" t="str">
        <f t="shared" si="216"/>
        <v>Altamente antiinflamatorio</v>
      </c>
      <c r="BT478" s="6" t="str">
        <f t="shared" si="217"/>
        <v>Bajo en grasas</v>
      </c>
      <c r="BU478" s="18" t="str">
        <f t="shared" si="226"/>
        <v>Alto riesgo de retención de líquidos</v>
      </c>
      <c r="BV478" s="18" t="str">
        <f t="shared" si="227"/>
        <v>Baja fuente de magnesio</v>
      </c>
      <c r="BW478" s="18" t="str">
        <f t="shared" si="228"/>
        <v>Sin aporte de Omega 3</v>
      </c>
      <c r="BX478" s="18" t="str">
        <f t="shared" si="229"/>
        <v>Libre de grasas trans</v>
      </c>
      <c r="BY478" s="18" t="str">
        <f t="shared" si="230"/>
        <v>Medio poder antioxidante</v>
      </c>
      <c r="BZ478" s="6" t="str">
        <f t="shared" si="218"/>
        <v>Sin probióticos</v>
      </c>
      <c r="CA478" s="18" t="str">
        <f t="shared" si="231"/>
        <v>Altamente inflamatorio</v>
      </c>
      <c r="CB478" s="18" t="str">
        <f>IF(ISNUMBER(SEARCH("miel", D478)), "No irritante (Uso condicionado SII)", IF(OR(J478&gt;0, ISNUMBER(SEARCH("cacao", D478)), ISNUMBER(SEARCH("chocolate puro", D478))), "Altamente irritante", IF(OR(AND(O478&gt;15, BI478&gt;1), ISNUMBER(SEARCH("chocolate", D478))), "Moderadamente irritante", "No irritante")))</f>
        <v>Moderadamente irritante</v>
      </c>
      <c r="CC478" s="6" t="str">
        <f t="shared" si="219"/>
        <v>Balance de omegas favorable</v>
      </c>
    </row>
    <row r="479" spans="1:81" ht="15" customHeight="1" x14ac:dyDescent="0.3">
      <c r="A479" s="2">
        <f t="shared" si="220"/>
        <v>478</v>
      </c>
      <c r="B479" s="3" t="s">
        <v>584</v>
      </c>
      <c r="C479" s="3" t="s">
        <v>627</v>
      </c>
      <c r="D479" s="3" t="s">
        <v>631</v>
      </c>
      <c r="E479" s="3"/>
      <c r="F479" s="4">
        <v>1.5</v>
      </c>
      <c r="G479" s="5">
        <v>1</v>
      </c>
      <c r="H479" s="5">
        <v>709</v>
      </c>
      <c r="I479" s="5">
        <v>16.3</v>
      </c>
      <c r="J479" s="5">
        <v>0</v>
      </c>
      <c r="K479" s="5">
        <v>1.3</v>
      </c>
      <c r="L479" s="5">
        <v>5.8</v>
      </c>
      <c r="M479" s="5">
        <v>3</v>
      </c>
      <c r="N479" s="5">
        <v>2.7</v>
      </c>
      <c r="O479" s="5">
        <v>1.5</v>
      </c>
      <c r="P479" s="5">
        <v>0</v>
      </c>
      <c r="Q479" s="5">
        <v>75.599999999999994</v>
      </c>
      <c r="R479" s="5">
        <v>11.4</v>
      </c>
      <c r="S479" s="5">
        <v>18.2</v>
      </c>
      <c r="T479" s="5">
        <v>42.4</v>
      </c>
      <c r="U479" s="5">
        <v>100</v>
      </c>
      <c r="V479" s="5">
        <v>6.3</v>
      </c>
      <c r="W479" s="5">
        <v>5</v>
      </c>
      <c r="X479" s="5">
        <v>8</v>
      </c>
      <c r="Y479" s="5">
        <v>0.25</v>
      </c>
      <c r="Z479" s="5">
        <v>15.5</v>
      </c>
      <c r="AA479" s="5">
        <v>81</v>
      </c>
      <c r="AB479" s="5">
        <v>0.02</v>
      </c>
      <c r="AC479" s="5">
        <v>0.05</v>
      </c>
      <c r="AD479" s="5">
        <v>1</v>
      </c>
      <c r="AE479" s="5">
        <v>0.1</v>
      </c>
      <c r="AF479" s="5">
        <v>10</v>
      </c>
      <c r="AG479" s="5">
        <v>0.48</v>
      </c>
      <c r="AH479" s="5">
        <v>0.46</v>
      </c>
      <c r="AI479" s="5">
        <v>0</v>
      </c>
      <c r="AJ479" s="5">
        <v>0</v>
      </c>
      <c r="AK479" s="5">
        <v>12</v>
      </c>
      <c r="AL479" s="5">
        <v>48</v>
      </c>
      <c r="AM479" s="5">
        <v>0.4</v>
      </c>
      <c r="AN479" s="5">
        <v>35</v>
      </c>
      <c r="AO479" s="5">
        <v>0.1</v>
      </c>
      <c r="AP479" s="5">
        <v>4</v>
      </c>
      <c r="AQ479" s="5">
        <v>364</v>
      </c>
      <c r="AR479" s="5">
        <v>18</v>
      </c>
      <c r="AS479" s="5">
        <v>0</v>
      </c>
      <c r="AT479" s="5">
        <v>0.02</v>
      </c>
      <c r="AU479" s="5">
        <v>0</v>
      </c>
      <c r="AV479" s="5">
        <f>IFERROR(VLOOKUP(IFERROR(VLOOKUP(D479,Mapa_Similitud!$A$2:$B$2000,2,FALSE()),D479),Hoja1!$A$2:$K$1000,2,FALSE()),IFERROR(VLOOKUP(IFERROR(VLOOKUP(D479,Mapa_Similitud!$A$2:$B$2000,2,FALSE()),D479),Omega3_Referencia!$A$2:$E$100,3,FALSE()),0))</f>
        <v>0</v>
      </c>
      <c r="AW479" s="3" t="str">
        <f>IFERROR(VLOOKUP(IFERROR(VLOOKUP(D479,Mapa_Similitud!$A$2:$B$2000,2,FALSE()),D479),Hoja1!$A$2:$K$1000,3,FALSE()),IFERROR(VLOOKUP(IFERROR(VLOOKUP(D479,Mapa_Similitud!$A$2:$B$2000,2,FALSE()),D479),Omega3_Referencia!$A$2:$E$100,4,FALSE()),"N/A"))</f>
        <v>N/A</v>
      </c>
      <c r="AX479" s="5">
        <f>IFERROR(VLOOKUP(IFERROR(VLOOKUP(D479,Mapa_Similitud!$A$2:$B$2000,2,FALSE()),D479),Hoja1!$A$2:$K$1000,5,FALSE()),0)</f>
        <v>0</v>
      </c>
      <c r="AY479" s="5">
        <f>IFERROR(VLOOKUP(IFERROR(VLOOKUP(D479,Mapa_Similitud!$A$2:$B$2000,2,FALSE()),D479),Hoja1!$A$2:$K$1000,7,FALSE()),0)</f>
        <v>0</v>
      </c>
      <c r="AZ479" s="5">
        <f>IFERROR(VLOOKUP(IFERROR(VLOOKUP(D479,Mapa_Similitud!$A$2:$B$2000,2,FALSE()),D479),Hoja1!$A$2:$K$1000,9,FALSE()),0)</f>
        <v>0</v>
      </c>
      <c r="BA479" s="25">
        <f t="shared" si="203"/>
        <v>1.833568406205924E-3</v>
      </c>
      <c r="BB479" s="25">
        <f t="shared" si="204"/>
        <v>0</v>
      </c>
      <c r="BC479" s="25">
        <f t="shared" si="205"/>
        <v>1.6925246826516221E-2</v>
      </c>
      <c r="BD479" s="25">
        <f t="shared" si="206"/>
        <v>5.6417489421720741E-4</v>
      </c>
      <c r="BE479" s="25">
        <f t="shared" si="207"/>
        <v>0.51339915373765865</v>
      </c>
      <c r="BF479" s="25">
        <f t="shared" si="208"/>
        <v>3.7192982456140347</v>
      </c>
      <c r="BG479" s="25">
        <f t="shared" si="209"/>
        <v>0.25</v>
      </c>
      <c r="BH479" s="25">
        <f t="shared" si="210"/>
        <v>0.15079365079365081</v>
      </c>
      <c r="BI479" s="25">
        <f t="shared" si="211"/>
        <v>20.222222222222221</v>
      </c>
      <c r="BJ479" s="25">
        <f t="shared" si="212"/>
        <v>0.46551724137931039</v>
      </c>
      <c r="BK479" s="25">
        <f t="shared" si="213"/>
        <v>0</v>
      </c>
      <c r="BL479" s="25">
        <f t="shared" si="214"/>
        <v>0.95966149506346965</v>
      </c>
      <c r="BM479" s="25">
        <f t="shared" si="215"/>
        <v>5.6417489421720732E-3</v>
      </c>
      <c r="BN479" s="18" t="str">
        <f t="shared" si="221"/>
        <v>Baja fuente de proteína</v>
      </c>
      <c r="BO479" s="18" t="str">
        <f t="shared" si="222"/>
        <v>Baja fuente de fibra</v>
      </c>
      <c r="BP479" s="18" t="str">
        <f t="shared" si="223"/>
        <v>Baja fuente de calcio</v>
      </c>
      <c r="BQ479" s="18" t="str">
        <f t="shared" si="224"/>
        <v>Baja fuente de hierro</v>
      </c>
      <c r="BR479" s="18" t="str">
        <f t="shared" si="225"/>
        <v>Moderado en sodio</v>
      </c>
      <c r="BS479" s="6" t="str">
        <f t="shared" si="216"/>
        <v>Altamente antiinflamatorio</v>
      </c>
      <c r="BT479" s="6" t="str">
        <f t="shared" si="217"/>
        <v>Muy alto en grasas</v>
      </c>
      <c r="BU479" s="18" t="str">
        <f t="shared" si="226"/>
        <v>Alto riesgo de retención de líquidos</v>
      </c>
      <c r="BV479" s="18" t="str">
        <f t="shared" si="227"/>
        <v>Baja fuente de magnesio</v>
      </c>
      <c r="BW479" s="18" t="str">
        <f t="shared" si="228"/>
        <v>Sin aporte de Omega 3</v>
      </c>
      <c r="BX479" s="18" t="str">
        <f t="shared" si="229"/>
        <v>Libre de grasas trans</v>
      </c>
      <c r="BY479" s="18" t="str">
        <f t="shared" si="230"/>
        <v>Bajo poder antioxidante</v>
      </c>
      <c r="BZ479" s="6" t="str">
        <f t="shared" si="218"/>
        <v>Sin probióticos</v>
      </c>
      <c r="CA479" s="18" t="str">
        <f t="shared" si="231"/>
        <v>Poco inflamatorio</v>
      </c>
      <c r="CB479" s="18" t="str">
        <f>IF(ISNUMBER(SEARCH("miel", D479)), "No irritante (Uso condicionado SII)", IF(OR(J479&gt;0, ISNUMBER(SEARCH("cacao", D479)), ISNUMBER(SEARCH("chocolate puro", D479))), "Altamente irritante", IF(OR(AND(O479&gt;15, BI479&gt;1), ISNUMBER(SEARCH("chocolate", D479))), "Moderadamente irritante", "No irritante")))</f>
        <v>No irritante</v>
      </c>
      <c r="CC479" s="6" t="str">
        <f t="shared" si="219"/>
        <v>Sin Omega 3 para evaluar</v>
      </c>
    </row>
    <row r="480" spans="1:81" ht="15" customHeight="1" x14ac:dyDescent="0.3">
      <c r="A480" s="2">
        <f t="shared" si="220"/>
        <v>479</v>
      </c>
      <c r="B480" s="3" t="s">
        <v>584</v>
      </c>
      <c r="C480" s="3" t="s">
        <v>627</v>
      </c>
      <c r="D480" s="3" t="s">
        <v>632</v>
      </c>
      <c r="E480" s="3"/>
      <c r="F480" s="4">
        <v>1.5</v>
      </c>
      <c r="G480" s="5">
        <v>1</v>
      </c>
      <c r="H480" s="5">
        <v>272</v>
      </c>
      <c r="I480" s="5">
        <v>64.5</v>
      </c>
      <c r="J480" s="5">
        <v>0</v>
      </c>
      <c r="K480" s="5">
        <v>0.7</v>
      </c>
      <c r="L480" s="5">
        <v>8.8000000000000007</v>
      </c>
      <c r="M480" s="5">
        <v>6.5</v>
      </c>
      <c r="N480" s="5">
        <v>2.2999999999999998</v>
      </c>
      <c r="O480" s="5">
        <v>1.3</v>
      </c>
      <c r="P480" s="5">
        <v>0</v>
      </c>
      <c r="Q480" s="5">
        <v>26</v>
      </c>
      <c r="R480" s="5">
        <v>4.3</v>
      </c>
      <c r="S480" s="5">
        <v>6.9</v>
      </c>
      <c r="T480" s="5">
        <v>15.7</v>
      </c>
      <c r="U480" s="5">
        <v>50</v>
      </c>
      <c r="V480" s="5">
        <v>8</v>
      </c>
      <c r="W480" s="5">
        <v>5</v>
      </c>
      <c r="X480" s="5">
        <v>0</v>
      </c>
      <c r="Y480" s="5">
        <v>0</v>
      </c>
      <c r="Z480" s="5">
        <v>14</v>
      </c>
      <c r="AA480" s="5">
        <v>81</v>
      </c>
      <c r="AB480" s="5">
        <v>0.02</v>
      </c>
      <c r="AC480" s="5">
        <v>0.05</v>
      </c>
      <c r="AD480" s="5">
        <v>0.24</v>
      </c>
      <c r="AE480" s="5">
        <v>0.1</v>
      </c>
      <c r="AF480" s="5">
        <v>10</v>
      </c>
      <c r="AG480" s="5">
        <v>0.48</v>
      </c>
      <c r="AH480" s="5">
        <v>0.46</v>
      </c>
      <c r="AI480" s="5">
        <v>0</v>
      </c>
      <c r="AJ480" s="5">
        <v>0</v>
      </c>
      <c r="AK480" s="5">
        <v>10</v>
      </c>
      <c r="AL480" s="5">
        <v>1</v>
      </c>
      <c r="AM480" s="5">
        <v>0.3</v>
      </c>
      <c r="AN480" s="5">
        <v>35</v>
      </c>
      <c r="AO480" s="5">
        <v>0.1</v>
      </c>
      <c r="AP480" s="5">
        <v>10</v>
      </c>
      <c r="AQ480" s="5">
        <v>0</v>
      </c>
      <c r="AR480" s="5">
        <v>10</v>
      </c>
      <c r="AS480" s="5">
        <v>0</v>
      </c>
      <c r="AT480" s="5">
        <v>0.02</v>
      </c>
      <c r="AU480" s="5">
        <v>0</v>
      </c>
      <c r="AV480" s="5">
        <f>IFERROR(VLOOKUP(IFERROR(VLOOKUP(D480,Mapa_Similitud!$A$2:$B$2000,2,FALSE()),D480),Hoja1!$A$2:$K$1000,2,FALSE()),IFERROR(VLOOKUP(IFERROR(VLOOKUP(D480,Mapa_Similitud!$A$2:$B$2000,2,FALSE()),D480),Omega3_Referencia!$A$2:$E$100,3,FALSE()),0))</f>
        <v>0</v>
      </c>
      <c r="AW480" s="3" t="str">
        <f>IFERROR(VLOOKUP(IFERROR(VLOOKUP(D480,Mapa_Similitud!$A$2:$B$2000,2,FALSE()),D480),Hoja1!$A$2:$K$1000,3,FALSE()),IFERROR(VLOOKUP(IFERROR(VLOOKUP(D480,Mapa_Similitud!$A$2:$B$2000,2,FALSE()),D480),Omega3_Referencia!$A$2:$E$100,4,FALSE()),"N/A"))</f>
        <v>N/A</v>
      </c>
      <c r="AX480" s="5">
        <f>IFERROR(VLOOKUP(IFERROR(VLOOKUP(D480,Mapa_Similitud!$A$2:$B$2000,2,FALSE()),D480),Hoja1!$A$2:$K$1000,5,FALSE()),0)</f>
        <v>0</v>
      </c>
      <c r="AY480" s="5">
        <f>IFERROR(VLOOKUP(IFERROR(VLOOKUP(D480,Mapa_Similitud!$A$2:$B$2000,2,FALSE()),D480),Hoja1!$A$2:$K$1000,7,FALSE()),0)</f>
        <v>0</v>
      </c>
      <c r="AZ480" s="5">
        <f>IFERROR(VLOOKUP(IFERROR(VLOOKUP(D480,Mapa_Similitud!$A$2:$B$2000,2,FALSE()),D480),Hoja1!$A$2:$K$1000,9,FALSE()),0)</f>
        <v>0</v>
      </c>
      <c r="BA480" s="25">
        <f t="shared" si="203"/>
        <v>2.5735294117647058E-3</v>
      </c>
      <c r="BB480" s="25">
        <f t="shared" si="204"/>
        <v>0</v>
      </c>
      <c r="BC480" s="25">
        <f t="shared" si="205"/>
        <v>3.6764705882352942E-2</v>
      </c>
      <c r="BD480" s="25">
        <f t="shared" si="206"/>
        <v>1.1029411764705882E-3</v>
      </c>
      <c r="BE480" s="25">
        <f t="shared" si="207"/>
        <v>0</v>
      </c>
      <c r="BF480" s="25">
        <f t="shared" si="208"/>
        <v>3.6511627906976742</v>
      </c>
      <c r="BG480" s="25">
        <f t="shared" si="209"/>
        <v>10</v>
      </c>
      <c r="BH480" s="25">
        <f t="shared" si="210"/>
        <v>0.16538461538461538</v>
      </c>
      <c r="BI480" s="25">
        <f t="shared" si="211"/>
        <v>0</v>
      </c>
      <c r="BJ480" s="25">
        <f t="shared" si="212"/>
        <v>0.2613636363636363</v>
      </c>
      <c r="BK480" s="25">
        <f t="shared" si="213"/>
        <v>0</v>
      </c>
      <c r="BL480" s="25">
        <f t="shared" si="214"/>
        <v>0.86029411764705888</v>
      </c>
      <c r="BM480" s="25">
        <f t="shared" si="215"/>
        <v>3.6764705882352942E-2</v>
      </c>
      <c r="BN480" s="18" t="str">
        <f t="shared" si="221"/>
        <v>Baja fuente de proteína</v>
      </c>
      <c r="BO480" s="18" t="str">
        <f t="shared" si="222"/>
        <v>Baja fuente de fibra</v>
      </c>
      <c r="BP480" s="18" t="str">
        <f t="shared" si="223"/>
        <v>Baja fuente de calcio</v>
      </c>
      <c r="BQ480" s="18" t="str">
        <f t="shared" si="224"/>
        <v>Baja fuente de hierro</v>
      </c>
      <c r="BR480" s="18" t="str">
        <f t="shared" si="225"/>
        <v>Bajo en sodio</v>
      </c>
      <c r="BS480" s="6" t="str">
        <f t="shared" si="216"/>
        <v>Altamente antiinflamatorio</v>
      </c>
      <c r="BT480" s="6" t="str">
        <f t="shared" si="217"/>
        <v>Muy alto en grasas</v>
      </c>
      <c r="BU480" s="18" t="str">
        <f t="shared" si="226"/>
        <v>Equilibrio de líquidos ideal</v>
      </c>
      <c r="BV480" s="18" t="str">
        <f t="shared" si="227"/>
        <v>Baja fuente de magnesio</v>
      </c>
      <c r="BW480" s="18" t="str">
        <f t="shared" si="228"/>
        <v>Sin aporte de Omega 3</v>
      </c>
      <c r="BX480" s="18" t="str">
        <f t="shared" si="229"/>
        <v>Libre de grasas trans</v>
      </c>
      <c r="BY480" s="18" t="str">
        <f t="shared" si="230"/>
        <v>Bajo poder antioxidante</v>
      </c>
      <c r="BZ480" s="6" t="str">
        <f t="shared" si="218"/>
        <v>Sin probióticos</v>
      </c>
      <c r="CA480" s="18" t="str">
        <f t="shared" si="231"/>
        <v>Poco inflamatorio</v>
      </c>
      <c r="CB480" s="18" t="str">
        <f>IF(ISNUMBER(SEARCH("miel", D480)), "No irritante (Uso condicionado SII)", IF(OR(J480&gt;0, ISNUMBER(SEARCH("cacao", D480)), ISNUMBER(SEARCH("chocolate puro", D480))), "Altamente irritante", IF(OR(AND(O480&gt;15, BI480&gt;1), ISNUMBER(SEARCH("chocolate", D480))), "Moderadamente irritante", "No irritante")))</f>
        <v>No irritante</v>
      </c>
      <c r="CC480" s="6" t="str">
        <f t="shared" si="219"/>
        <v>Sin Omega 3 para evaluar</v>
      </c>
    </row>
    <row r="481" spans="1:81" ht="15" customHeight="1" x14ac:dyDescent="0.3">
      <c r="A481" s="2">
        <f t="shared" si="220"/>
        <v>480</v>
      </c>
      <c r="B481" s="3" t="s">
        <v>584</v>
      </c>
      <c r="C481" s="3" t="s">
        <v>627</v>
      </c>
      <c r="D481" s="3" t="s">
        <v>633</v>
      </c>
      <c r="E481" s="3"/>
      <c r="F481" s="4">
        <v>1.5</v>
      </c>
      <c r="G481" s="5">
        <v>1</v>
      </c>
      <c r="H481" s="5">
        <v>125</v>
      </c>
      <c r="I481" s="5">
        <v>74.900000000000006</v>
      </c>
      <c r="J481" s="5">
        <v>0</v>
      </c>
      <c r="K481" s="5">
        <v>7.1</v>
      </c>
      <c r="L481" s="5">
        <v>5</v>
      </c>
      <c r="M481" s="5">
        <v>2.5</v>
      </c>
      <c r="N481" s="5">
        <v>2.5</v>
      </c>
      <c r="O481" s="5">
        <v>2.5</v>
      </c>
      <c r="P481" s="5">
        <v>1.3</v>
      </c>
      <c r="Q481" s="5">
        <v>8.1999999999999993</v>
      </c>
      <c r="R481" s="5">
        <v>0.5</v>
      </c>
      <c r="S481" s="5">
        <v>5.8</v>
      </c>
      <c r="T481" s="5">
        <v>1.6</v>
      </c>
      <c r="U481" s="5">
        <v>0</v>
      </c>
      <c r="V481" s="5">
        <v>10.8</v>
      </c>
      <c r="W481" s="5">
        <v>0</v>
      </c>
      <c r="X481" s="5">
        <v>65</v>
      </c>
      <c r="Y481" s="5">
        <v>0</v>
      </c>
      <c r="Z481" s="5">
        <v>0.01</v>
      </c>
      <c r="AA481" s="5">
        <v>0</v>
      </c>
      <c r="AB481" s="5">
        <v>5.0999999999999997E-2</v>
      </c>
      <c r="AC481" s="5">
        <v>2.5000000000000001E-2</v>
      </c>
      <c r="AD481" s="5">
        <v>2.9</v>
      </c>
      <c r="AE481" s="5">
        <v>0.01</v>
      </c>
      <c r="AF481" s="5">
        <v>18</v>
      </c>
      <c r="AG481" s="5">
        <v>0</v>
      </c>
      <c r="AH481" s="5">
        <v>0.34</v>
      </c>
      <c r="AI481" s="5">
        <v>0</v>
      </c>
      <c r="AJ481" s="5">
        <v>52.5</v>
      </c>
      <c r="AK481" s="5">
        <v>70</v>
      </c>
      <c r="AL481" s="5">
        <v>190</v>
      </c>
      <c r="AM481" s="5">
        <v>2.9</v>
      </c>
      <c r="AN481" s="5">
        <v>0</v>
      </c>
      <c r="AO481" s="5">
        <v>1</v>
      </c>
      <c r="AP481" s="5">
        <v>82</v>
      </c>
      <c r="AQ481" s="5">
        <v>2950</v>
      </c>
      <c r="AR481" s="5">
        <v>200</v>
      </c>
      <c r="AS481" s="5">
        <v>0.7</v>
      </c>
      <c r="AT481" s="5">
        <v>0.19</v>
      </c>
      <c r="AU481" s="5">
        <v>36</v>
      </c>
      <c r="AV481" s="5">
        <f>IFERROR(VLOOKUP(IFERROR(VLOOKUP(D481,Mapa_Similitud!$A$2:$B$2000,2,FALSE()),D481),Hoja1!$A$2:$K$1000,2,FALSE()),IFERROR(VLOOKUP(IFERROR(VLOOKUP(D481,Mapa_Similitud!$A$2:$B$2000,2,FALSE()),D481),Omega3_Referencia!$A$2:$E$100,3,FALSE()),0))</f>
        <v>0.1</v>
      </c>
      <c r="AW481" s="3" t="str">
        <f>IFERROR(VLOOKUP(IFERROR(VLOOKUP(D481,Mapa_Similitud!$A$2:$B$2000,2,FALSE()),D481),Hoja1!$A$2:$K$1000,3,FALSE()),IFERROR(VLOOKUP(IFERROR(VLOOKUP(D481,Mapa_Similitud!$A$2:$B$2000,2,FALSE()),D481),Omega3_Referencia!$A$2:$E$100,4,FALSE()),"N/A"))</f>
        <v>ALA</v>
      </c>
      <c r="AX481" s="5">
        <f>IFERROR(VLOOKUP(IFERROR(VLOOKUP(D481,Mapa_Similitud!$A$2:$B$2000,2,FALSE()),D481),Hoja1!$A$2:$K$1000,5,FALSE()),0)</f>
        <v>0</v>
      </c>
      <c r="AY481" s="5">
        <f>IFERROR(VLOOKUP(IFERROR(VLOOKUP(D481,Mapa_Similitud!$A$2:$B$2000,2,FALSE()),D481),Hoja1!$A$2:$K$1000,7,FALSE()),0)</f>
        <v>15</v>
      </c>
      <c r="AZ481" s="5">
        <f>IFERROR(VLOOKUP(IFERROR(VLOOKUP(D481,Mapa_Similitud!$A$2:$B$2000,2,FALSE()),D481),Hoja1!$A$2:$K$1000,9,FALSE()),0)</f>
        <v>0</v>
      </c>
      <c r="BA481" s="25">
        <f t="shared" si="203"/>
        <v>5.6799999999999996E-2</v>
      </c>
      <c r="BB481" s="25">
        <f t="shared" si="204"/>
        <v>1.04E-2</v>
      </c>
      <c r="BC481" s="25">
        <f t="shared" si="205"/>
        <v>0.56000000000000005</v>
      </c>
      <c r="BD481" s="25">
        <f t="shared" si="206"/>
        <v>2.3199999999999998E-2</v>
      </c>
      <c r="BE481" s="25">
        <f t="shared" si="207"/>
        <v>23.6</v>
      </c>
      <c r="BF481" s="25">
        <f t="shared" si="208"/>
        <v>3.2</v>
      </c>
      <c r="BG481" s="25">
        <f t="shared" si="209"/>
        <v>0.36842105263157893</v>
      </c>
      <c r="BH481" s="25">
        <f t="shared" si="210"/>
        <v>6.0975609756097567E-2</v>
      </c>
      <c r="BI481" s="25">
        <f t="shared" si="211"/>
        <v>14.75</v>
      </c>
      <c r="BJ481" s="25">
        <f t="shared" si="212"/>
        <v>0.5</v>
      </c>
      <c r="BK481" s="25">
        <f t="shared" si="213"/>
        <v>0.26</v>
      </c>
      <c r="BL481" s="25">
        <f t="shared" si="214"/>
        <v>0.59039999999999992</v>
      </c>
      <c r="BM481" s="25">
        <f t="shared" si="215"/>
        <v>0.65600000000000003</v>
      </c>
      <c r="BN481" s="18" t="str">
        <f t="shared" si="221"/>
        <v>Baja fuente de proteína</v>
      </c>
      <c r="BO481" s="18" t="str">
        <f t="shared" si="222"/>
        <v>Baja fuente de fibra</v>
      </c>
      <c r="BP481" s="18" t="str">
        <f t="shared" si="223"/>
        <v>Baja fuente de calcio</v>
      </c>
      <c r="BQ481" s="18" t="str">
        <f t="shared" si="224"/>
        <v>Alta fuente de hierro</v>
      </c>
      <c r="BR481" s="18" t="str">
        <f t="shared" si="225"/>
        <v>Muy alto en sodio</v>
      </c>
      <c r="BS481" s="6" t="str">
        <f t="shared" si="216"/>
        <v>Altamente antiinflamatorio</v>
      </c>
      <c r="BT481" s="6" t="str">
        <f t="shared" si="217"/>
        <v>Muy alto en grasas</v>
      </c>
      <c r="BU481" s="18" t="str">
        <f t="shared" si="226"/>
        <v>Alto riesgo de retención de líquidos</v>
      </c>
      <c r="BV481" s="18" t="str">
        <f t="shared" si="227"/>
        <v>Alta fuente de magnesio</v>
      </c>
      <c r="BW481" s="18" t="str">
        <f t="shared" si="228"/>
        <v>Sin aporte de Omega 3</v>
      </c>
      <c r="BX481" s="18" t="str">
        <f t="shared" si="229"/>
        <v>Libre de grasas trans</v>
      </c>
      <c r="BY481" s="18" t="str">
        <f t="shared" si="230"/>
        <v>Medio poder antioxidante</v>
      </c>
      <c r="BZ481" s="6" t="str">
        <f t="shared" si="218"/>
        <v>Sin probióticos</v>
      </c>
      <c r="CA481" s="18" t="str">
        <f t="shared" si="231"/>
        <v>Poco inflamatorio</v>
      </c>
      <c r="CB481" s="18" t="str">
        <f>IF(ISNUMBER(SEARCH("miel", D481)), "No irritante (Uso condicionado SII)", IF(OR(J481&gt;0, ISNUMBER(SEARCH("cacao", D481)), ISNUMBER(SEARCH("chocolate puro", D481))), "Altamente irritante", IF(OR(AND(O481&gt;15, BI481&gt;1), ISNUMBER(SEARCH("chocolate", D481))), "Moderadamente irritante", "No irritante")))</f>
        <v>No irritante</v>
      </c>
      <c r="CC481" s="6" t="str">
        <f t="shared" si="219"/>
        <v>Exceso relativo de Omega 6</v>
      </c>
    </row>
    <row r="482" spans="1:81" ht="15" customHeight="1" x14ac:dyDescent="0.3">
      <c r="A482" s="2">
        <f t="shared" si="220"/>
        <v>481</v>
      </c>
      <c r="B482" s="3" t="s">
        <v>584</v>
      </c>
      <c r="C482" s="3" t="s">
        <v>627</v>
      </c>
      <c r="D482" s="3" t="s">
        <v>634</v>
      </c>
      <c r="E482" s="3"/>
      <c r="F482" s="4">
        <v>1.5</v>
      </c>
      <c r="G482" s="5">
        <v>1</v>
      </c>
      <c r="H482" s="5">
        <v>121</v>
      </c>
      <c r="I482" s="5">
        <v>71.2</v>
      </c>
      <c r="J482" s="5">
        <v>0</v>
      </c>
      <c r="K482" s="5">
        <v>0.48</v>
      </c>
      <c r="L482" s="5">
        <v>24</v>
      </c>
      <c r="M482" s="5">
        <v>3.2</v>
      </c>
      <c r="N482" s="5">
        <v>20.8</v>
      </c>
      <c r="O482" s="5">
        <v>20.8</v>
      </c>
      <c r="P482" s="5">
        <v>0.8</v>
      </c>
      <c r="Q482" s="5">
        <v>2.4</v>
      </c>
      <c r="R482" s="5">
        <v>0.37</v>
      </c>
      <c r="S482" s="5">
        <v>0.7</v>
      </c>
      <c r="T482" s="5">
        <v>1.2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2.7E-2</v>
      </c>
      <c r="AC482" s="5">
        <v>1.4999999999999999E-2</v>
      </c>
      <c r="AD482" s="5">
        <v>0.2</v>
      </c>
      <c r="AE482" s="5">
        <v>4.3999999999999997E-2</v>
      </c>
      <c r="AF482" s="5">
        <v>2</v>
      </c>
      <c r="AG482" s="5">
        <v>0</v>
      </c>
      <c r="AH482" s="5">
        <v>5.0999999999999997E-2</v>
      </c>
      <c r="AI482" s="5">
        <v>0</v>
      </c>
      <c r="AJ482" s="5">
        <v>0</v>
      </c>
      <c r="AK482" s="5">
        <v>18</v>
      </c>
      <c r="AL482" s="5">
        <v>9</v>
      </c>
      <c r="AM482" s="5">
        <v>0.85</v>
      </c>
      <c r="AN482" s="5">
        <v>0.53</v>
      </c>
      <c r="AO482" s="5">
        <v>0.08</v>
      </c>
      <c r="AP482" s="5">
        <v>7</v>
      </c>
      <c r="AQ482" s="5">
        <v>353</v>
      </c>
      <c r="AR482" s="5">
        <v>66</v>
      </c>
      <c r="AS482" s="5">
        <v>0.28999999999999998</v>
      </c>
      <c r="AT482" s="5">
        <v>4.8000000000000001E-2</v>
      </c>
      <c r="AU482" s="5">
        <v>0</v>
      </c>
      <c r="AV482" s="5">
        <f>IFERROR(VLOOKUP(IFERROR(VLOOKUP(D482,Mapa_Similitud!$A$2:$B$2000,2,FALSE()),D482),Hoja1!$A$2:$K$1000,2,FALSE()),IFERROR(VLOOKUP(IFERROR(VLOOKUP(D482,Mapa_Similitud!$A$2:$B$2000,2,FALSE()),D482),Omega3_Referencia!$A$2:$E$100,3,FALSE()),0))</f>
        <v>0</v>
      </c>
      <c r="AW482" s="3" t="str">
        <f>IFERROR(VLOOKUP(IFERROR(VLOOKUP(D482,Mapa_Similitud!$A$2:$B$2000,2,FALSE()),D482),Hoja1!$A$2:$K$1000,3,FALSE()),IFERROR(VLOOKUP(IFERROR(VLOOKUP(D482,Mapa_Similitud!$A$2:$B$2000,2,FALSE()),D482),Omega3_Referencia!$A$2:$E$100,4,FALSE()),"N/A"))</f>
        <v>N/A</v>
      </c>
      <c r="AX482" s="5">
        <f>IFERROR(VLOOKUP(IFERROR(VLOOKUP(D482,Mapa_Similitud!$A$2:$B$2000,2,FALSE()),D482),Hoja1!$A$2:$K$1000,5,FALSE()),0)</f>
        <v>0</v>
      </c>
      <c r="AY482" s="5">
        <f>IFERROR(VLOOKUP(IFERROR(VLOOKUP(D482,Mapa_Similitud!$A$2:$B$2000,2,FALSE()),D482),Hoja1!$A$2:$K$1000,7,FALSE()),0)</f>
        <v>0</v>
      </c>
      <c r="AZ482" s="5">
        <f>IFERROR(VLOOKUP(IFERROR(VLOOKUP(D482,Mapa_Similitud!$A$2:$B$2000,2,FALSE()),D482),Hoja1!$A$2:$K$1000,9,FALSE()),0)</f>
        <v>0</v>
      </c>
      <c r="BA482" s="25">
        <f t="shared" si="203"/>
        <v>3.9669421487603307E-3</v>
      </c>
      <c r="BB482" s="25">
        <f t="shared" si="204"/>
        <v>6.611570247933885E-3</v>
      </c>
      <c r="BC482" s="25">
        <f t="shared" si="205"/>
        <v>0.1487603305785124</v>
      </c>
      <c r="BD482" s="25">
        <f t="shared" si="206"/>
        <v>7.0247933884297516E-3</v>
      </c>
      <c r="BE482" s="25">
        <f t="shared" si="207"/>
        <v>2.9173553719008263</v>
      </c>
      <c r="BF482" s="25">
        <f t="shared" si="208"/>
        <v>3.243243243243243</v>
      </c>
      <c r="BG482" s="25">
        <f t="shared" si="209"/>
        <v>2</v>
      </c>
      <c r="BH482" s="25">
        <f t="shared" si="210"/>
        <v>0.15416666666666667</v>
      </c>
      <c r="BI482" s="25">
        <f t="shared" si="211"/>
        <v>5.3484848484848486</v>
      </c>
      <c r="BJ482" s="25">
        <f t="shared" si="212"/>
        <v>0.8666666666666667</v>
      </c>
      <c r="BK482" s="25">
        <f t="shared" si="213"/>
        <v>3.3333333333333333E-2</v>
      </c>
      <c r="BL482" s="25">
        <f t="shared" si="214"/>
        <v>0.17851239669421487</v>
      </c>
      <c r="BM482" s="25">
        <f t="shared" si="215"/>
        <v>5.7851239669421489E-2</v>
      </c>
      <c r="BN482" s="18" t="str">
        <f t="shared" si="221"/>
        <v>Baja fuente de proteína</v>
      </c>
      <c r="BO482" s="18" t="str">
        <f t="shared" si="222"/>
        <v>Baja fuente de fibra</v>
      </c>
      <c r="BP482" s="18" t="str">
        <f t="shared" si="223"/>
        <v>Baja fuente de calcio</v>
      </c>
      <c r="BQ482" s="18" t="str">
        <f t="shared" si="224"/>
        <v>Baja fuente de hierro</v>
      </c>
      <c r="BR482" s="18" t="str">
        <f t="shared" si="225"/>
        <v>Muy alto en sodio</v>
      </c>
      <c r="BS482" s="6" t="str">
        <f t="shared" si="216"/>
        <v>Altamente antiinflamatorio</v>
      </c>
      <c r="BT482" s="6" t="str">
        <f t="shared" si="217"/>
        <v>Bajo en grasas</v>
      </c>
      <c r="BU482" s="18" t="str">
        <f t="shared" si="226"/>
        <v>Alto riesgo de retención de líquidos</v>
      </c>
      <c r="BV482" s="18" t="str">
        <f t="shared" si="227"/>
        <v>Baja fuente de magnesio</v>
      </c>
      <c r="BW482" s="18" t="str">
        <f t="shared" si="228"/>
        <v>Sin aporte de Omega 3</v>
      </c>
      <c r="BX482" s="18" t="str">
        <f t="shared" si="229"/>
        <v>Libre de grasas trans</v>
      </c>
      <c r="BY482" s="18" t="str">
        <f t="shared" si="230"/>
        <v>Bajo poder antioxidante</v>
      </c>
      <c r="BZ482" s="6" t="str">
        <f t="shared" si="218"/>
        <v>Sin probióticos</v>
      </c>
      <c r="CA482" s="18" t="str">
        <f t="shared" si="231"/>
        <v>Altamente inflamatorio</v>
      </c>
      <c r="CB482" s="18" t="str">
        <f>IF(ISNUMBER(SEARCH("miel", D482)), "No irritante (Uso condicionado SII)", IF(OR(J482&gt;0, ISNUMBER(SEARCH("cacao", D482)), ISNUMBER(SEARCH("chocolate puro", D482))), "Altamente irritante", IF(OR(AND(O482&gt;15, BI482&gt;1), ISNUMBER(SEARCH("chocolate", D482))), "Moderadamente irritante", "No irritante")))</f>
        <v>Moderadamente irritante</v>
      </c>
      <c r="CC482" s="6" t="str">
        <f t="shared" si="219"/>
        <v>Sin Omega 3 para evaluar</v>
      </c>
    </row>
    <row r="483" spans="1:81" ht="15" customHeight="1" x14ac:dyDescent="0.3">
      <c r="A483" s="2">
        <f t="shared" si="220"/>
        <v>482</v>
      </c>
      <c r="B483" s="3" t="s">
        <v>584</v>
      </c>
      <c r="C483" s="3" t="s">
        <v>627</v>
      </c>
      <c r="D483" s="3" t="s">
        <v>635</v>
      </c>
      <c r="E483" s="3"/>
      <c r="F483" s="4">
        <v>1.5</v>
      </c>
      <c r="G483" s="5">
        <v>1</v>
      </c>
      <c r="H483" s="5">
        <v>78.2</v>
      </c>
      <c r="I483" s="5">
        <v>86.7</v>
      </c>
      <c r="J483" s="5">
        <v>0</v>
      </c>
      <c r="K483" s="5">
        <v>1.5</v>
      </c>
      <c r="L483" s="5">
        <v>6.8</v>
      </c>
      <c r="M483" s="5">
        <v>3.1</v>
      </c>
      <c r="N483" s="5">
        <v>3.7</v>
      </c>
      <c r="O483" s="5">
        <v>3.7</v>
      </c>
      <c r="P483" s="5">
        <v>0</v>
      </c>
      <c r="Q483" s="5">
        <v>5</v>
      </c>
      <c r="R483" s="5">
        <v>1.5</v>
      </c>
      <c r="S483" s="5">
        <v>2.4</v>
      </c>
      <c r="T483" s="5">
        <v>0.98</v>
      </c>
      <c r="U483" s="5">
        <v>0</v>
      </c>
      <c r="V483" s="5">
        <v>29.8</v>
      </c>
      <c r="W483" s="5">
        <v>0</v>
      </c>
      <c r="X483" s="5">
        <v>179</v>
      </c>
      <c r="Y483" s="5">
        <v>0</v>
      </c>
      <c r="Z483" s="5">
        <v>0</v>
      </c>
      <c r="AA483" s="5">
        <v>0</v>
      </c>
      <c r="AB483" s="5">
        <v>0</v>
      </c>
      <c r="AC483" s="5">
        <v>0.03</v>
      </c>
      <c r="AD483" s="5">
        <v>0.3</v>
      </c>
      <c r="AE483" s="5">
        <v>0.02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30</v>
      </c>
      <c r="AL483" s="5">
        <v>31</v>
      </c>
      <c r="AM483" s="5">
        <v>1.1000000000000001</v>
      </c>
      <c r="AN483" s="5">
        <v>0</v>
      </c>
      <c r="AO483" s="5">
        <v>0.2</v>
      </c>
      <c r="AP483" s="5">
        <v>18</v>
      </c>
      <c r="AQ483" s="5">
        <v>980</v>
      </c>
      <c r="AR483" s="5">
        <v>180</v>
      </c>
      <c r="AS483" s="5">
        <v>0.2</v>
      </c>
      <c r="AT483" s="5">
        <v>0.05</v>
      </c>
      <c r="AU483" s="5">
        <v>0</v>
      </c>
      <c r="AV483" s="5">
        <f>IFERROR(VLOOKUP(IFERROR(VLOOKUP(D483,Mapa_Similitud!$A$2:$B$2000,2,FALSE()),D483),Hoja1!$A$2:$K$1000,2,FALSE()),IFERROR(VLOOKUP(IFERROR(VLOOKUP(D483,Mapa_Similitud!$A$2:$B$2000,2,FALSE()),D483),Omega3_Referencia!$A$2:$E$100,3,FALSE()),0))</f>
        <v>0</v>
      </c>
      <c r="AW483" s="3" t="str">
        <f>IFERROR(VLOOKUP(IFERROR(VLOOKUP(D483,Mapa_Similitud!$A$2:$B$2000,2,FALSE()),D483),Hoja1!$A$2:$K$1000,3,FALSE()),IFERROR(VLOOKUP(IFERROR(VLOOKUP(D483,Mapa_Similitud!$A$2:$B$2000,2,FALSE()),D483),Omega3_Referencia!$A$2:$E$100,4,FALSE()),"N/A"))</f>
        <v>N/A</v>
      </c>
      <c r="AX483" s="5">
        <f>IFERROR(VLOOKUP(IFERROR(VLOOKUP(D483,Mapa_Similitud!$A$2:$B$2000,2,FALSE()),D483),Hoja1!$A$2:$K$1000,5,FALSE()),0)</f>
        <v>0</v>
      </c>
      <c r="AY483" s="5">
        <f>IFERROR(VLOOKUP(IFERROR(VLOOKUP(D483,Mapa_Similitud!$A$2:$B$2000,2,FALSE()),D483),Hoja1!$A$2:$K$1000,7,FALSE()),0)</f>
        <v>0</v>
      </c>
      <c r="AZ483" s="5">
        <f>IFERROR(VLOOKUP(IFERROR(VLOOKUP(D483,Mapa_Similitud!$A$2:$B$2000,2,FALSE()),D483),Hoja1!$A$2:$K$1000,9,FALSE()),0)</f>
        <v>0</v>
      </c>
      <c r="BA483" s="25">
        <f t="shared" si="203"/>
        <v>1.9181585677749361E-2</v>
      </c>
      <c r="BB483" s="25">
        <f t="shared" si="204"/>
        <v>0</v>
      </c>
      <c r="BC483" s="25">
        <f t="shared" si="205"/>
        <v>0.38363171355498721</v>
      </c>
      <c r="BD483" s="25">
        <f t="shared" si="206"/>
        <v>1.4066496163682865E-2</v>
      </c>
      <c r="BE483" s="25">
        <f t="shared" si="207"/>
        <v>12.531969309462916</v>
      </c>
      <c r="BF483" s="25">
        <f t="shared" si="208"/>
        <v>0.65333333333333332</v>
      </c>
      <c r="BG483" s="25">
        <f t="shared" si="209"/>
        <v>0.967741935483871</v>
      </c>
      <c r="BH483" s="25">
        <f t="shared" si="210"/>
        <v>0.3</v>
      </c>
      <c r="BI483" s="25">
        <f t="shared" si="211"/>
        <v>5.4444444444444446</v>
      </c>
      <c r="BJ483" s="25">
        <f t="shared" si="212"/>
        <v>0.54411764705882359</v>
      </c>
      <c r="BK483" s="25">
        <f t="shared" si="213"/>
        <v>0</v>
      </c>
      <c r="BL483" s="25">
        <f t="shared" si="214"/>
        <v>0.57544757033248084</v>
      </c>
      <c r="BM483" s="25">
        <f t="shared" si="215"/>
        <v>0.23017902813299232</v>
      </c>
      <c r="BN483" s="18" t="str">
        <f t="shared" si="221"/>
        <v>Baja fuente de proteína</v>
      </c>
      <c r="BO483" s="18" t="str">
        <f t="shared" si="222"/>
        <v>Baja fuente de fibra</v>
      </c>
      <c r="BP483" s="18" t="str">
        <f t="shared" si="223"/>
        <v>Baja fuente de calcio</v>
      </c>
      <c r="BQ483" s="18" t="str">
        <f t="shared" si="224"/>
        <v>Media fuente de hierro</v>
      </c>
      <c r="BR483" s="18" t="str">
        <f t="shared" si="225"/>
        <v>Muy alto en sodio</v>
      </c>
      <c r="BS483" s="6" t="str">
        <f t="shared" si="216"/>
        <v>Neutro</v>
      </c>
      <c r="BT483" s="6" t="str">
        <f t="shared" si="217"/>
        <v>Muy alto en grasas</v>
      </c>
      <c r="BU483" s="18" t="str">
        <f t="shared" si="226"/>
        <v>Alto riesgo de retención de líquidos</v>
      </c>
      <c r="BV483" s="18" t="str">
        <f t="shared" si="227"/>
        <v>Media fuente de magnesio</v>
      </c>
      <c r="BW483" s="18" t="str">
        <f t="shared" si="228"/>
        <v>Sin aporte de Omega 3</v>
      </c>
      <c r="BX483" s="18" t="str">
        <f t="shared" si="229"/>
        <v>Libre de grasas trans</v>
      </c>
      <c r="BY483" s="18" t="str">
        <f t="shared" si="230"/>
        <v>Bajo poder antioxidante</v>
      </c>
      <c r="BZ483" s="6" t="str">
        <f t="shared" si="218"/>
        <v>Sin probióticos</v>
      </c>
      <c r="CA483" s="18" t="str">
        <f t="shared" si="231"/>
        <v>Poco inflamatorio</v>
      </c>
      <c r="CB483" s="18" t="str">
        <f>IF(ISNUMBER(SEARCH("miel", D483)), "No irritante (Uso condicionado SII)", IF(OR(J483&gt;0, ISNUMBER(SEARCH("cacao", D483)), ISNUMBER(SEARCH("chocolate puro", D483))), "Altamente irritante", IF(OR(AND(O483&gt;15, BI483&gt;1), ISNUMBER(SEARCH("chocolate", D483))), "Moderadamente irritante", "No irritante")))</f>
        <v>No irritante</v>
      </c>
      <c r="CC483" s="6" t="str">
        <f t="shared" si="219"/>
        <v>Sin Omega 3 para evaluar</v>
      </c>
    </row>
    <row r="484" spans="1:81" ht="15" customHeight="1" x14ac:dyDescent="0.3">
      <c r="A484" s="2">
        <f t="shared" si="220"/>
        <v>483</v>
      </c>
      <c r="B484" s="3" t="s">
        <v>584</v>
      </c>
      <c r="C484" s="3" t="s">
        <v>627</v>
      </c>
      <c r="D484" s="3" t="s">
        <v>636</v>
      </c>
      <c r="E484" s="3"/>
      <c r="F484" s="4">
        <v>1.5</v>
      </c>
      <c r="G484" s="5">
        <v>1</v>
      </c>
      <c r="H484" s="5">
        <v>71</v>
      </c>
      <c r="I484" s="5">
        <v>81.5</v>
      </c>
      <c r="J484" s="5">
        <v>0</v>
      </c>
      <c r="K484" s="5">
        <v>1.8</v>
      </c>
      <c r="L484" s="5">
        <v>11.6</v>
      </c>
      <c r="M484" s="5">
        <v>3.3</v>
      </c>
      <c r="N484" s="5">
        <v>8.3000000000000007</v>
      </c>
      <c r="O484" s="5">
        <v>6.3</v>
      </c>
      <c r="P484" s="5">
        <v>0.6</v>
      </c>
      <c r="Q484" s="5">
        <v>1.8</v>
      </c>
      <c r="R484" s="5">
        <v>0</v>
      </c>
      <c r="S484" s="5">
        <v>0.46</v>
      </c>
      <c r="T484" s="5">
        <v>1.1000000000000001</v>
      </c>
      <c r="U484" s="5">
        <v>0</v>
      </c>
      <c r="V484" s="5">
        <v>86.7</v>
      </c>
      <c r="W484" s="5">
        <v>0</v>
      </c>
      <c r="X484" s="5">
        <v>520</v>
      </c>
      <c r="Y484" s="5">
        <v>0</v>
      </c>
      <c r="Z484" s="5">
        <v>6.6</v>
      </c>
      <c r="AA484" s="5">
        <v>0.1</v>
      </c>
      <c r="AB484" s="5">
        <v>0.03</v>
      </c>
      <c r="AC484" s="5">
        <v>0.02</v>
      </c>
      <c r="AD484" s="5">
        <v>1.2</v>
      </c>
      <c r="AE484" s="5">
        <v>0.08</v>
      </c>
      <c r="AF484" s="5">
        <v>3</v>
      </c>
      <c r="AG484" s="5">
        <v>0</v>
      </c>
      <c r="AH484" s="5">
        <v>0.3</v>
      </c>
      <c r="AI484" s="5">
        <v>0</v>
      </c>
      <c r="AJ484" s="5">
        <v>7</v>
      </c>
      <c r="AK484" s="5">
        <v>19</v>
      </c>
      <c r="AL484" s="5">
        <v>20</v>
      </c>
      <c r="AM484" s="5">
        <v>0.9</v>
      </c>
      <c r="AN484" s="5">
        <v>0</v>
      </c>
      <c r="AO484" s="5">
        <v>0.2</v>
      </c>
      <c r="AP484" s="5">
        <v>19</v>
      </c>
      <c r="AQ484" s="5">
        <v>810</v>
      </c>
      <c r="AR484" s="5">
        <v>170</v>
      </c>
      <c r="AS484" s="5">
        <v>0.3</v>
      </c>
      <c r="AT484" s="5">
        <v>0.2</v>
      </c>
      <c r="AU484" s="5">
        <v>1.3</v>
      </c>
      <c r="AV484" s="5">
        <f>IFERROR(VLOOKUP(IFERROR(VLOOKUP(D484,Mapa_Similitud!$A$2:$B$2000,2,FALSE()),D484),Hoja1!$A$2:$K$1000,2,FALSE()),IFERROR(VLOOKUP(IFERROR(VLOOKUP(D484,Mapa_Similitud!$A$2:$B$2000,2,FALSE()),D484),Omega3_Referencia!$A$2:$E$100,3,FALSE()),0))</f>
        <v>0</v>
      </c>
      <c r="AW484" s="3" t="str">
        <f>IFERROR(VLOOKUP(IFERROR(VLOOKUP(D484,Mapa_Similitud!$A$2:$B$2000,2,FALSE()),D484),Hoja1!$A$2:$K$1000,3,FALSE()),IFERROR(VLOOKUP(IFERROR(VLOOKUP(D484,Mapa_Similitud!$A$2:$B$2000,2,FALSE()),D484),Omega3_Referencia!$A$2:$E$100,4,FALSE()),"N/A"))</f>
        <v>N/A</v>
      </c>
      <c r="AX484" s="5">
        <f>IFERROR(VLOOKUP(IFERROR(VLOOKUP(D484,Mapa_Similitud!$A$2:$B$2000,2,FALSE()),D484),Hoja1!$A$2:$K$1000,5,FALSE()),0)</f>
        <v>0</v>
      </c>
      <c r="AY484" s="5">
        <f>IFERROR(VLOOKUP(IFERROR(VLOOKUP(D484,Mapa_Similitud!$A$2:$B$2000,2,FALSE()),D484),Hoja1!$A$2:$K$1000,7,FALSE()),0)</f>
        <v>0</v>
      </c>
      <c r="AZ484" s="5">
        <f>IFERROR(VLOOKUP(IFERROR(VLOOKUP(D484,Mapa_Similitud!$A$2:$B$2000,2,FALSE()),D484),Hoja1!$A$2:$K$1000,9,FALSE()),0)</f>
        <v>0</v>
      </c>
      <c r="BA484" s="25">
        <f t="shared" si="203"/>
        <v>2.5352112676056339E-2</v>
      </c>
      <c r="BB484" s="25">
        <f t="shared" si="204"/>
        <v>8.4507042253521118E-3</v>
      </c>
      <c r="BC484" s="25">
        <f t="shared" si="205"/>
        <v>0.26760563380281688</v>
      </c>
      <c r="BD484" s="25">
        <f t="shared" si="206"/>
        <v>1.2676056338028169E-2</v>
      </c>
      <c r="BE484" s="25">
        <f t="shared" si="207"/>
        <v>11.408450704225352</v>
      </c>
      <c r="BF484" s="25">
        <f t="shared" si="208"/>
        <v>0</v>
      </c>
      <c r="BG484" s="25">
        <f t="shared" si="209"/>
        <v>0.95</v>
      </c>
      <c r="BH484" s="25">
        <f t="shared" si="210"/>
        <v>0</v>
      </c>
      <c r="BI484" s="25">
        <f t="shared" si="211"/>
        <v>4.7647058823529411</v>
      </c>
      <c r="BJ484" s="25">
        <f t="shared" si="212"/>
        <v>0.71551724137931039</v>
      </c>
      <c r="BK484" s="25">
        <f t="shared" si="213"/>
        <v>5.1724137931034482E-2</v>
      </c>
      <c r="BL484" s="25">
        <f t="shared" si="214"/>
        <v>0.22816901408450704</v>
      </c>
      <c r="BM484" s="25">
        <f t="shared" si="215"/>
        <v>0.26760563380281688</v>
      </c>
      <c r="BN484" s="18" t="str">
        <f t="shared" si="221"/>
        <v>Baja fuente de proteína</v>
      </c>
      <c r="BO484" s="18" t="str">
        <f t="shared" si="222"/>
        <v>Baja fuente de fibra</v>
      </c>
      <c r="BP484" s="18" t="str">
        <f t="shared" si="223"/>
        <v>Baja fuente de calcio</v>
      </c>
      <c r="BQ484" s="18" t="str">
        <f t="shared" si="224"/>
        <v>Media fuente de hierro</v>
      </c>
      <c r="BR484" s="18" t="str">
        <f t="shared" si="225"/>
        <v>Muy alto en sodio</v>
      </c>
      <c r="BS484" s="6" t="str">
        <f t="shared" si="216"/>
        <v>Proinflamatorio</v>
      </c>
      <c r="BT484" s="6" t="str">
        <f t="shared" si="217"/>
        <v>Moderado en grasas</v>
      </c>
      <c r="BU484" s="18" t="str">
        <f t="shared" si="226"/>
        <v>Alto riesgo de retención de líquidos</v>
      </c>
      <c r="BV484" s="18" t="str">
        <f t="shared" si="227"/>
        <v>Media fuente de magnesio</v>
      </c>
      <c r="BW484" s="18" t="str">
        <f t="shared" si="228"/>
        <v>Sin aporte de Omega 3</v>
      </c>
      <c r="BX484" s="18" t="str">
        <f t="shared" si="229"/>
        <v>Libre de grasas trans</v>
      </c>
      <c r="BY484" s="18" t="str">
        <f t="shared" si="230"/>
        <v>Bajo poder antioxidante</v>
      </c>
      <c r="BZ484" s="6" t="str">
        <f t="shared" si="218"/>
        <v>Sin probióticos</v>
      </c>
      <c r="CA484" s="18" t="str">
        <f t="shared" si="231"/>
        <v>Moderadamente inflamatorio</v>
      </c>
      <c r="CB484" s="18" t="str">
        <f>IF(ISNUMBER(SEARCH("miel", D484)), "No irritante (Uso condicionado SII)", IF(OR(J484&gt;0, ISNUMBER(SEARCH("cacao", D484)), ISNUMBER(SEARCH("chocolate puro", D484))), "Altamente irritante", IF(OR(AND(O484&gt;15, BI484&gt;1), ISNUMBER(SEARCH("chocolate", D484))), "Moderadamente irritante", "No irritante")))</f>
        <v>No irritante</v>
      </c>
      <c r="CC484" s="6" t="str">
        <f t="shared" si="219"/>
        <v>Sin Omega 3 para evaluar</v>
      </c>
    </row>
    <row r="485" spans="1:81" ht="15" customHeight="1" x14ac:dyDescent="0.3">
      <c r="A485" s="2">
        <f t="shared" si="220"/>
        <v>484</v>
      </c>
      <c r="B485" s="3" t="s">
        <v>584</v>
      </c>
      <c r="C485" s="3" t="s">
        <v>627</v>
      </c>
      <c r="D485" s="3" t="s">
        <v>637</v>
      </c>
      <c r="E485" s="3"/>
      <c r="F485" s="4">
        <v>1.5</v>
      </c>
      <c r="G485" s="5">
        <v>1</v>
      </c>
      <c r="H485" s="5">
        <v>153</v>
      </c>
      <c r="I485" s="5">
        <v>74.5</v>
      </c>
      <c r="J485" s="5">
        <v>0</v>
      </c>
      <c r="K485" s="5">
        <v>4.0999999999999996</v>
      </c>
      <c r="L485" s="5">
        <v>10.8</v>
      </c>
      <c r="M485" s="5">
        <v>6.4</v>
      </c>
      <c r="N485" s="5">
        <v>4.4000000000000004</v>
      </c>
      <c r="O485" s="5">
        <v>0</v>
      </c>
      <c r="P485" s="5">
        <v>0.3</v>
      </c>
      <c r="Q485" s="5">
        <v>10.3</v>
      </c>
      <c r="R485" s="5">
        <v>4.4000000000000004</v>
      </c>
      <c r="S485" s="5">
        <v>3.5</v>
      </c>
      <c r="T485" s="5">
        <v>1.8</v>
      </c>
      <c r="U485" s="5">
        <v>26</v>
      </c>
      <c r="V485" s="5">
        <v>128</v>
      </c>
      <c r="W485" s="5">
        <v>115</v>
      </c>
      <c r="X485" s="5">
        <v>77</v>
      </c>
      <c r="Y485" s="5">
        <v>0.62</v>
      </c>
      <c r="Z485" s="5">
        <v>0.71</v>
      </c>
      <c r="AA485" s="5">
        <v>0.77</v>
      </c>
      <c r="AB485" s="5">
        <v>0.05</v>
      </c>
      <c r="AC485" s="5">
        <v>0.18</v>
      </c>
      <c r="AD485" s="5">
        <v>0.96</v>
      </c>
      <c r="AE485" s="5">
        <v>0.06</v>
      </c>
      <c r="AF485" s="5">
        <v>4</v>
      </c>
      <c r="AG485" s="5">
        <v>0.4</v>
      </c>
      <c r="AH485" s="5">
        <v>0.32</v>
      </c>
      <c r="AI485" s="5">
        <v>2.1</v>
      </c>
      <c r="AJ485" s="5">
        <v>0</v>
      </c>
      <c r="AK485" s="5">
        <v>130</v>
      </c>
      <c r="AL485" s="5">
        <v>110</v>
      </c>
      <c r="AM485" s="5">
        <v>0.2</v>
      </c>
      <c r="AN485" s="5">
        <v>19</v>
      </c>
      <c r="AO485" s="5">
        <v>0.4</v>
      </c>
      <c r="AP485" s="5">
        <v>15</v>
      </c>
      <c r="AQ485" s="5">
        <v>400</v>
      </c>
      <c r="AR485" s="5">
        <v>160</v>
      </c>
      <c r="AS485" s="5">
        <v>0</v>
      </c>
      <c r="AT485" s="5">
        <v>0.01</v>
      </c>
      <c r="AU485" s="5">
        <v>1</v>
      </c>
      <c r="AV485" s="5">
        <f>IFERROR(VLOOKUP(IFERROR(VLOOKUP(D485,Mapa_Similitud!$A$2:$B$2000,2,FALSE()),D485),Hoja1!$A$2:$K$1000,2,FALSE()),IFERROR(VLOOKUP(IFERROR(VLOOKUP(D485,Mapa_Similitud!$A$2:$B$2000,2,FALSE()),D485),Omega3_Referencia!$A$2:$E$100,3,FALSE()),0))</f>
        <v>0</v>
      </c>
      <c r="AW485" s="3" t="str">
        <f>IFERROR(VLOOKUP(IFERROR(VLOOKUP(D485,Mapa_Similitud!$A$2:$B$2000,2,FALSE()),D485),Hoja1!$A$2:$K$1000,3,FALSE()),IFERROR(VLOOKUP(IFERROR(VLOOKUP(D485,Mapa_Similitud!$A$2:$B$2000,2,FALSE()),D485),Omega3_Referencia!$A$2:$E$100,4,FALSE()),"N/A"))</f>
        <v>N/A</v>
      </c>
      <c r="AX485" s="5">
        <f>IFERROR(VLOOKUP(IFERROR(VLOOKUP(D485,Mapa_Similitud!$A$2:$B$2000,2,FALSE()),D485),Hoja1!$A$2:$K$1000,5,FALSE()),0)</f>
        <v>0</v>
      </c>
      <c r="AY485" s="5">
        <f>IFERROR(VLOOKUP(IFERROR(VLOOKUP(D485,Mapa_Similitud!$A$2:$B$2000,2,FALSE()),D485),Hoja1!$A$2:$K$1000,7,FALSE()),0)</f>
        <v>0</v>
      </c>
      <c r="AZ485" s="5">
        <f>IFERROR(VLOOKUP(IFERROR(VLOOKUP(D485,Mapa_Similitud!$A$2:$B$2000,2,FALSE()),D485),Hoja1!$A$2:$K$1000,9,FALSE()),0)</f>
        <v>0</v>
      </c>
      <c r="BA485" s="25">
        <f t="shared" si="203"/>
        <v>2.6797385620915031E-2</v>
      </c>
      <c r="BB485" s="25">
        <f t="shared" si="204"/>
        <v>1.9607843137254902E-3</v>
      </c>
      <c r="BC485" s="25">
        <f t="shared" si="205"/>
        <v>0.84967320261437906</v>
      </c>
      <c r="BD485" s="25">
        <f t="shared" si="206"/>
        <v>1.3071895424836603E-3</v>
      </c>
      <c r="BE485" s="25">
        <f t="shared" si="207"/>
        <v>2.6143790849673203</v>
      </c>
      <c r="BF485" s="25">
        <f t="shared" si="208"/>
        <v>0.40909090909090906</v>
      </c>
      <c r="BG485" s="25">
        <f t="shared" si="209"/>
        <v>1.1818181818181819</v>
      </c>
      <c r="BH485" s="25">
        <f t="shared" si="210"/>
        <v>0.42718446601941751</v>
      </c>
      <c r="BI485" s="25">
        <f t="shared" si="211"/>
        <v>2.5</v>
      </c>
      <c r="BJ485" s="25">
        <f t="shared" si="212"/>
        <v>0.40740740740740744</v>
      </c>
      <c r="BK485" s="25">
        <f t="shared" si="213"/>
        <v>2.7777777777777776E-2</v>
      </c>
      <c r="BL485" s="25">
        <f t="shared" si="214"/>
        <v>0.60588235294117654</v>
      </c>
      <c r="BM485" s="25">
        <f t="shared" si="215"/>
        <v>9.8039215686274508E-2</v>
      </c>
      <c r="BN485" s="18" t="str">
        <f t="shared" si="221"/>
        <v>Baja fuente de proteína</v>
      </c>
      <c r="BO485" s="18" t="str">
        <f t="shared" si="222"/>
        <v>Baja fuente de fibra</v>
      </c>
      <c r="BP485" s="18" t="str">
        <f t="shared" si="223"/>
        <v>Media fuente de calcio</v>
      </c>
      <c r="BQ485" s="18" t="str">
        <f t="shared" si="224"/>
        <v>Baja fuente de hierro</v>
      </c>
      <c r="BR485" s="18" t="str">
        <f t="shared" si="225"/>
        <v>Muy alto en sodio</v>
      </c>
      <c r="BS485" s="6" t="str">
        <f t="shared" si="216"/>
        <v>Proinflamatorio</v>
      </c>
      <c r="BT485" s="6" t="str">
        <f t="shared" si="217"/>
        <v>Muy alto en grasas</v>
      </c>
      <c r="BU485" s="18" t="str">
        <f t="shared" si="226"/>
        <v>Alto riesgo de retención de líquidos</v>
      </c>
      <c r="BV485" s="18" t="str">
        <f t="shared" si="227"/>
        <v>Baja fuente de magnesio</v>
      </c>
      <c r="BW485" s="18" t="str">
        <f t="shared" si="228"/>
        <v>Sin aporte de Omega 3</v>
      </c>
      <c r="BX485" s="18" t="str">
        <f t="shared" si="229"/>
        <v>Libre de grasas trans</v>
      </c>
      <c r="BY485" s="18" t="str">
        <f t="shared" si="230"/>
        <v>Bajo poder antioxidante</v>
      </c>
      <c r="BZ485" s="6" t="str">
        <f t="shared" si="218"/>
        <v>Sin probióticos</v>
      </c>
      <c r="CA485" s="18" t="str">
        <f t="shared" si="231"/>
        <v>Poco inflamatorio</v>
      </c>
      <c r="CB485" s="18" t="str">
        <f>IF(ISNUMBER(SEARCH("miel", D485)), "No irritante (Uso condicionado SII)", IF(OR(J485&gt;0, ISNUMBER(SEARCH("cacao", D485)), ISNUMBER(SEARCH("chocolate puro", D485))), "Altamente irritante", IF(OR(AND(O485&gt;15, BI485&gt;1), ISNUMBER(SEARCH("chocolate", D485))), "Moderadamente irritante", "No irritante")))</f>
        <v>No irritante</v>
      </c>
      <c r="CC485" s="6" t="str">
        <f t="shared" si="219"/>
        <v>Sin Omega 3 para evaluar</v>
      </c>
    </row>
    <row r="486" spans="1:81" ht="15" customHeight="1" x14ac:dyDescent="0.3">
      <c r="A486" s="2">
        <f t="shared" si="220"/>
        <v>485</v>
      </c>
      <c r="B486" s="3" t="s">
        <v>584</v>
      </c>
      <c r="C486" s="3" t="s">
        <v>627</v>
      </c>
      <c r="D486" s="3" t="s">
        <v>638</v>
      </c>
      <c r="E486" s="3"/>
      <c r="F486" s="4">
        <v>1.5</v>
      </c>
      <c r="G486" s="5">
        <v>1</v>
      </c>
      <c r="H486" s="5">
        <v>163</v>
      </c>
      <c r="I486" s="5">
        <v>72.599999999999994</v>
      </c>
      <c r="J486" s="5">
        <v>0</v>
      </c>
      <c r="K486" s="5">
        <v>8</v>
      </c>
      <c r="L486" s="5">
        <v>7.2</v>
      </c>
      <c r="M486" s="5">
        <v>2.6</v>
      </c>
      <c r="N486" s="5">
        <v>4.5999999999999996</v>
      </c>
      <c r="O486" s="5">
        <v>3.7</v>
      </c>
      <c r="P486" s="5">
        <v>1.1000000000000001</v>
      </c>
      <c r="Q486" s="5">
        <v>11.1</v>
      </c>
      <c r="R486" s="5">
        <v>3.1</v>
      </c>
      <c r="S486" s="5">
        <v>4.7</v>
      </c>
      <c r="T486" s="5">
        <v>2.6</v>
      </c>
      <c r="U486" s="5">
        <v>25</v>
      </c>
      <c r="V486" s="5">
        <v>213</v>
      </c>
      <c r="W486" s="5">
        <v>0</v>
      </c>
      <c r="X486" s="5">
        <v>1275</v>
      </c>
      <c r="Y486" s="5">
        <v>0</v>
      </c>
      <c r="Z486" s="5">
        <v>1.9</v>
      </c>
      <c r="AA486" s="5">
        <v>5.5</v>
      </c>
      <c r="AB486" s="5">
        <v>7.0000000000000007E-2</v>
      </c>
      <c r="AC486" s="5">
        <v>0.11</v>
      </c>
      <c r="AD486" s="5">
        <v>3.2</v>
      </c>
      <c r="AE486" s="5">
        <v>0.16</v>
      </c>
      <c r="AF486" s="5">
        <v>7</v>
      </c>
      <c r="AG486" s="5">
        <v>0.8</v>
      </c>
      <c r="AH486" s="5">
        <v>0.33</v>
      </c>
      <c r="AI486" s="5">
        <v>1</v>
      </c>
      <c r="AJ486" s="5">
        <v>4</v>
      </c>
      <c r="AK486" s="5">
        <v>23</v>
      </c>
      <c r="AL486" s="5">
        <v>79</v>
      </c>
      <c r="AM486" s="5">
        <v>1.4</v>
      </c>
      <c r="AN486" s="5">
        <v>4</v>
      </c>
      <c r="AO486" s="5">
        <v>1.7</v>
      </c>
      <c r="AP486" s="5">
        <v>14</v>
      </c>
      <c r="AQ486" s="5">
        <v>430</v>
      </c>
      <c r="AR486" s="5">
        <v>310</v>
      </c>
      <c r="AS486" s="5">
        <v>0.1</v>
      </c>
      <c r="AT486" s="5">
        <v>0.11</v>
      </c>
      <c r="AU486" s="5">
        <v>2</v>
      </c>
      <c r="AV486" s="5">
        <f>IFERROR(VLOOKUP(IFERROR(VLOOKUP(D486,Mapa_Similitud!$A$2:$B$2000,2,FALSE()),D486),Hoja1!$A$2:$K$1000,2,FALSE()),IFERROR(VLOOKUP(IFERROR(VLOOKUP(D486,Mapa_Similitud!$A$2:$B$2000,2,FALSE()),D486),Omega3_Referencia!$A$2:$E$100,3,FALSE()),0))</f>
        <v>0</v>
      </c>
      <c r="AW486" s="3" t="str">
        <f>IFERROR(VLOOKUP(IFERROR(VLOOKUP(D486,Mapa_Similitud!$A$2:$B$2000,2,FALSE()),D486),Hoja1!$A$2:$K$1000,3,FALSE()),IFERROR(VLOOKUP(IFERROR(VLOOKUP(D486,Mapa_Similitud!$A$2:$B$2000,2,FALSE()),D486),Omega3_Referencia!$A$2:$E$100,4,FALSE()),"N/A"))</f>
        <v>N/A</v>
      </c>
      <c r="AX486" s="5">
        <f>IFERROR(VLOOKUP(IFERROR(VLOOKUP(D486,Mapa_Similitud!$A$2:$B$2000,2,FALSE()),D486),Hoja1!$A$2:$K$1000,5,FALSE()),0)</f>
        <v>0</v>
      </c>
      <c r="AY486" s="5">
        <f>IFERROR(VLOOKUP(IFERROR(VLOOKUP(D486,Mapa_Similitud!$A$2:$B$2000,2,FALSE()),D486),Hoja1!$A$2:$K$1000,7,FALSE()),0)</f>
        <v>0</v>
      </c>
      <c r="AZ486" s="5">
        <f>IFERROR(VLOOKUP(IFERROR(VLOOKUP(D486,Mapa_Similitud!$A$2:$B$2000,2,FALSE()),D486),Hoja1!$A$2:$K$1000,9,FALSE()),0)</f>
        <v>0</v>
      </c>
      <c r="BA486" s="25">
        <f t="shared" si="203"/>
        <v>4.9079754601226995E-2</v>
      </c>
      <c r="BB486" s="25">
        <f t="shared" si="204"/>
        <v>6.7484662576687126E-3</v>
      </c>
      <c r="BC486" s="25">
        <f t="shared" si="205"/>
        <v>0.1411042944785276</v>
      </c>
      <c r="BD486" s="25">
        <f t="shared" si="206"/>
        <v>8.5889570552147229E-3</v>
      </c>
      <c r="BE486" s="25">
        <f t="shared" si="207"/>
        <v>2.6380368098159508</v>
      </c>
      <c r="BF486" s="25">
        <f t="shared" si="208"/>
        <v>0.83870967741935487</v>
      </c>
      <c r="BG486" s="25">
        <f t="shared" si="209"/>
        <v>0.29113924050632911</v>
      </c>
      <c r="BH486" s="25">
        <f t="shared" si="210"/>
        <v>0.27927927927927931</v>
      </c>
      <c r="BI486" s="25">
        <f t="shared" si="211"/>
        <v>1.3870967741935485</v>
      </c>
      <c r="BJ486" s="25">
        <f t="shared" si="212"/>
        <v>0.63888888888888884</v>
      </c>
      <c r="BK486" s="25">
        <f t="shared" si="213"/>
        <v>0.15277777777777779</v>
      </c>
      <c r="BL486" s="25">
        <f t="shared" si="214"/>
        <v>0.61288343558282199</v>
      </c>
      <c r="BM486" s="25">
        <f t="shared" si="215"/>
        <v>8.5889570552147243E-2</v>
      </c>
      <c r="BN486" s="18" t="str">
        <f t="shared" si="221"/>
        <v>Baja fuente de proteína</v>
      </c>
      <c r="BO486" s="18" t="str">
        <f t="shared" si="222"/>
        <v>Baja fuente de fibra</v>
      </c>
      <c r="BP486" s="18" t="str">
        <f t="shared" si="223"/>
        <v>Baja fuente de calcio</v>
      </c>
      <c r="BQ486" s="18" t="str">
        <f t="shared" si="224"/>
        <v>Media fuente de hierro</v>
      </c>
      <c r="BR486" s="18" t="str">
        <f t="shared" si="225"/>
        <v>Muy alto en sodio</v>
      </c>
      <c r="BS486" s="6" t="str">
        <f t="shared" si="216"/>
        <v>Neutro</v>
      </c>
      <c r="BT486" s="6" t="str">
        <f t="shared" si="217"/>
        <v>Muy alto en grasas</v>
      </c>
      <c r="BU486" s="18" t="str">
        <f t="shared" si="226"/>
        <v>Alto riesgo de retención de líquidos</v>
      </c>
      <c r="BV486" s="18" t="str">
        <f t="shared" si="227"/>
        <v>Baja fuente de magnesio</v>
      </c>
      <c r="BW486" s="18" t="str">
        <f t="shared" si="228"/>
        <v>Sin aporte de Omega 3</v>
      </c>
      <c r="BX486" s="18" t="str">
        <f t="shared" si="229"/>
        <v>Libre de grasas trans</v>
      </c>
      <c r="BY486" s="18" t="str">
        <f t="shared" si="230"/>
        <v>Bajo poder antioxidante</v>
      </c>
      <c r="BZ486" s="6" t="str">
        <f t="shared" si="218"/>
        <v>Sin probióticos</v>
      </c>
      <c r="CA486" s="18" t="str">
        <f t="shared" si="231"/>
        <v>Poco inflamatorio</v>
      </c>
      <c r="CB486" s="18" t="str">
        <f>IF(ISNUMBER(SEARCH("miel", D486)), "No irritante (Uso condicionado SII)", IF(OR(J486&gt;0, ISNUMBER(SEARCH("cacao", D486)), ISNUMBER(SEARCH("chocolate puro", D486))), "Altamente irritante", IF(OR(AND(O486&gt;15, BI486&gt;1), ISNUMBER(SEARCH("chocolate", D486))), "Moderadamente irritante", "No irritante")))</f>
        <v>No irritante</v>
      </c>
      <c r="CC486" s="6" t="str">
        <f t="shared" si="219"/>
        <v>Sin Omega 3 para evaluar</v>
      </c>
    </row>
    <row r="487" spans="1:81" ht="15" customHeight="1" x14ac:dyDescent="0.3">
      <c r="A487" s="2">
        <f t="shared" si="220"/>
        <v>486</v>
      </c>
      <c r="B487" s="3" t="s">
        <v>584</v>
      </c>
      <c r="C487" s="3" t="s">
        <v>627</v>
      </c>
      <c r="D487" s="3" t="s">
        <v>639</v>
      </c>
      <c r="E487" s="3"/>
      <c r="F487" s="4">
        <v>1.5</v>
      </c>
      <c r="G487" s="5">
        <v>1</v>
      </c>
      <c r="H487" s="5">
        <v>186</v>
      </c>
      <c r="I487" s="5">
        <v>70.099999999999994</v>
      </c>
      <c r="J487" s="5">
        <v>0</v>
      </c>
      <c r="K487" s="5">
        <v>2</v>
      </c>
      <c r="L487" s="5">
        <v>12.3</v>
      </c>
      <c r="M487" s="5">
        <v>3.3</v>
      </c>
      <c r="N487" s="5">
        <v>9</v>
      </c>
      <c r="O487" s="5">
        <v>7.7</v>
      </c>
      <c r="P487" s="5">
        <v>1.3</v>
      </c>
      <c r="Q487" s="5">
        <v>14.3</v>
      </c>
      <c r="R487" s="5">
        <v>1.7</v>
      </c>
      <c r="S487" s="5">
        <v>0</v>
      </c>
      <c r="T487" s="5">
        <v>0</v>
      </c>
      <c r="U487" s="5">
        <v>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4.4000000000000004</v>
      </c>
      <c r="AK487" s="5">
        <v>47</v>
      </c>
      <c r="AL487" s="5">
        <v>0</v>
      </c>
      <c r="AM487" s="5">
        <v>1.6</v>
      </c>
      <c r="AN487" s="5">
        <v>0</v>
      </c>
      <c r="AO487" s="5">
        <v>0</v>
      </c>
      <c r="AP487" s="5">
        <v>0</v>
      </c>
      <c r="AQ487" s="5">
        <v>628</v>
      </c>
      <c r="AR487" s="5">
        <v>0</v>
      </c>
      <c r="AS487" s="5">
        <v>0</v>
      </c>
      <c r="AT487" s="5">
        <v>0</v>
      </c>
      <c r="AU487" s="5">
        <v>0</v>
      </c>
      <c r="AV487" s="5">
        <f>IFERROR(VLOOKUP(IFERROR(VLOOKUP(D487,Mapa_Similitud!$A$2:$B$2000,2,FALSE()),D487),Hoja1!$A$2:$K$1000,2,FALSE()),IFERROR(VLOOKUP(IFERROR(VLOOKUP(D487,Mapa_Similitud!$A$2:$B$2000,2,FALSE()),D487),Omega3_Referencia!$A$2:$E$100,3,FALSE()),0))</f>
        <v>0</v>
      </c>
      <c r="AW487" s="3" t="str">
        <f>IFERROR(VLOOKUP(IFERROR(VLOOKUP(D487,Mapa_Similitud!$A$2:$B$2000,2,FALSE()),D487),Hoja1!$A$2:$K$1000,3,FALSE()),IFERROR(VLOOKUP(IFERROR(VLOOKUP(D487,Mapa_Similitud!$A$2:$B$2000,2,FALSE()),D487),Omega3_Referencia!$A$2:$E$100,4,FALSE()),"N/A"))</f>
        <v>N/A</v>
      </c>
      <c r="AX487" s="5">
        <f>IFERROR(VLOOKUP(IFERROR(VLOOKUP(D487,Mapa_Similitud!$A$2:$B$2000,2,FALSE()),D487),Hoja1!$A$2:$K$1000,5,FALSE()),0)</f>
        <v>0</v>
      </c>
      <c r="AY487" s="5">
        <f>IFERROR(VLOOKUP(IFERROR(VLOOKUP(D487,Mapa_Similitud!$A$2:$B$2000,2,FALSE()),D487),Hoja1!$A$2:$K$1000,7,FALSE()),0)</f>
        <v>0</v>
      </c>
      <c r="AZ487" s="5">
        <f>IFERROR(VLOOKUP(IFERROR(VLOOKUP(D487,Mapa_Similitud!$A$2:$B$2000,2,FALSE()),D487),Hoja1!$A$2:$K$1000,9,FALSE()),0)</f>
        <v>0</v>
      </c>
      <c r="BA487" s="25">
        <f t="shared" si="203"/>
        <v>1.0752688172043012E-2</v>
      </c>
      <c r="BB487" s="25">
        <f t="shared" si="204"/>
        <v>6.9892473118279572E-3</v>
      </c>
      <c r="BC487" s="25">
        <f t="shared" si="205"/>
        <v>0.25268817204301075</v>
      </c>
      <c r="BD487" s="25">
        <f t="shared" si="206"/>
        <v>8.6021505376344086E-3</v>
      </c>
      <c r="BE487" s="25">
        <f t="shared" si="207"/>
        <v>3.3763440860215055</v>
      </c>
      <c r="BF487" s="25">
        <f t="shared" si="208"/>
        <v>0</v>
      </c>
      <c r="BG487" s="25">
        <f t="shared" si="209"/>
        <v>0</v>
      </c>
      <c r="BH487" s="25">
        <f t="shared" si="210"/>
        <v>0.11888111888111887</v>
      </c>
      <c r="BI487" s="25">
        <f t="shared" si="211"/>
        <v>0</v>
      </c>
      <c r="BJ487" s="25">
        <f t="shared" si="212"/>
        <v>0.73170731707317072</v>
      </c>
      <c r="BK487" s="25">
        <f t="shared" si="213"/>
        <v>0.1056910569105691</v>
      </c>
      <c r="BL487" s="25">
        <f t="shared" si="214"/>
        <v>0.69193548387096782</v>
      </c>
      <c r="BM487" s="25">
        <f t="shared" si="215"/>
        <v>0</v>
      </c>
      <c r="BN487" s="18" t="str">
        <f t="shared" si="221"/>
        <v>Baja fuente de proteína</v>
      </c>
      <c r="BO487" s="18" t="str">
        <f t="shared" si="222"/>
        <v>Baja fuente de fibra</v>
      </c>
      <c r="BP487" s="18" t="str">
        <f t="shared" si="223"/>
        <v>Baja fuente de calcio</v>
      </c>
      <c r="BQ487" s="18" t="str">
        <f t="shared" si="224"/>
        <v>Media fuente de hierro</v>
      </c>
      <c r="BR487" s="18" t="str">
        <f t="shared" si="225"/>
        <v>Muy alto en sodio</v>
      </c>
      <c r="BS487" s="6" t="str">
        <f t="shared" si="216"/>
        <v>Proinflamatorio</v>
      </c>
      <c r="BT487" s="6" t="str">
        <f t="shared" si="217"/>
        <v>Muy alto en grasas</v>
      </c>
      <c r="BU487" s="18" t="str">
        <f t="shared" si="226"/>
        <v>Equilibrio de líquidos ideal</v>
      </c>
      <c r="BV487" s="18" t="str">
        <f t="shared" si="227"/>
        <v>Baja fuente de magnesio</v>
      </c>
      <c r="BW487" s="18" t="str">
        <f t="shared" si="228"/>
        <v>Sin aporte de Omega 3</v>
      </c>
      <c r="BX487" s="18" t="str">
        <f t="shared" si="229"/>
        <v>Libre de grasas trans</v>
      </c>
      <c r="BY487" s="18" t="str">
        <f t="shared" si="230"/>
        <v>Bajo poder antioxidante</v>
      </c>
      <c r="BZ487" s="6" t="str">
        <f t="shared" si="218"/>
        <v>Sin probióticos</v>
      </c>
      <c r="CA487" s="18" t="str">
        <f t="shared" si="231"/>
        <v>Moderadamente inflamatorio</v>
      </c>
      <c r="CB487" s="18" t="str">
        <f>IF(ISNUMBER(SEARCH("miel", D487)), "No irritante (Uso condicionado SII)", IF(OR(J487&gt;0, ISNUMBER(SEARCH("cacao", D487)), ISNUMBER(SEARCH("chocolate puro", D487))), "Altamente irritante", IF(OR(AND(O487&gt;15, BI487&gt;1), ISNUMBER(SEARCH("chocolate", D487))), "Moderadamente irritante", "No irritante")))</f>
        <v>No irritante</v>
      </c>
      <c r="CC487" s="6" t="str">
        <f t="shared" si="219"/>
        <v>Sin Omega 3 para evaluar</v>
      </c>
    </row>
    <row r="488" spans="1:81" ht="15" customHeight="1" x14ac:dyDescent="0.3">
      <c r="A488" s="2">
        <f t="shared" si="220"/>
        <v>487</v>
      </c>
      <c r="B488" s="3" t="s">
        <v>584</v>
      </c>
      <c r="C488" s="3" t="s">
        <v>627</v>
      </c>
      <c r="D488" s="3" t="s">
        <v>640</v>
      </c>
      <c r="E488" s="3"/>
      <c r="F488" s="4">
        <v>1.5</v>
      </c>
      <c r="G488" s="5">
        <v>1</v>
      </c>
      <c r="H488" s="5">
        <v>307</v>
      </c>
      <c r="I488" s="5">
        <v>60.6</v>
      </c>
      <c r="J488" s="5">
        <v>0</v>
      </c>
      <c r="K488" s="5">
        <v>7.5</v>
      </c>
      <c r="L488" s="5">
        <v>2</v>
      </c>
      <c r="M488" s="5">
        <v>0</v>
      </c>
      <c r="N488" s="5">
        <v>2</v>
      </c>
      <c r="O488" s="5">
        <v>2</v>
      </c>
      <c r="P488" s="5">
        <v>0</v>
      </c>
      <c r="Q488" s="5">
        <v>29.9</v>
      </c>
      <c r="R488" s="5">
        <v>17.600000000000001</v>
      </c>
      <c r="S488" s="5">
        <v>9.9</v>
      </c>
      <c r="T488" s="5">
        <v>1.2</v>
      </c>
      <c r="U488" s="5">
        <v>97</v>
      </c>
      <c r="V488" s="5">
        <v>190</v>
      </c>
      <c r="W488" s="5">
        <v>168</v>
      </c>
      <c r="X488" s="5">
        <v>134</v>
      </c>
      <c r="Y488" s="5">
        <v>0.33</v>
      </c>
      <c r="Z488" s="5">
        <v>0.5</v>
      </c>
      <c r="AA488" s="5">
        <v>21.6</v>
      </c>
      <c r="AB488" s="5">
        <v>0.17</v>
      </c>
      <c r="AC488" s="5">
        <v>0.13</v>
      </c>
      <c r="AD488" s="5">
        <v>0.96</v>
      </c>
      <c r="AE488" s="5">
        <v>0.09</v>
      </c>
      <c r="AF488" s="5">
        <v>1</v>
      </c>
      <c r="AG488" s="5">
        <v>0.3</v>
      </c>
      <c r="AH488" s="5">
        <v>0</v>
      </c>
      <c r="AI488" s="5">
        <v>0</v>
      </c>
      <c r="AJ488" s="5">
        <v>0</v>
      </c>
      <c r="AK488" s="5">
        <v>35</v>
      </c>
      <c r="AL488" s="5">
        <v>78</v>
      </c>
      <c r="AM488" s="5">
        <v>0.3</v>
      </c>
      <c r="AN488" s="5">
        <v>5.3</v>
      </c>
      <c r="AO488" s="5">
        <v>0.7</v>
      </c>
      <c r="AP488" s="5">
        <v>9</v>
      </c>
      <c r="AQ488" s="5">
        <v>185</v>
      </c>
      <c r="AR488" s="5">
        <v>133</v>
      </c>
      <c r="AS488" s="5">
        <v>0.1</v>
      </c>
      <c r="AT488" s="5">
        <v>0.1</v>
      </c>
      <c r="AU488" s="5">
        <v>3</v>
      </c>
      <c r="AV488" s="5">
        <f>IFERROR(VLOOKUP(IFERROR(VLOOKUP(D488,Mapa_Similitud!$A$2:$B$2000,2,FALSE()),D488),Hoja1!$A$2:$K$1000,2,FALSE()),IFERROR(VLOOKUP(IFERROR(VLOOKUP(D488,Mapa_Similitud!$A$2:$B$2000,2,FALSE()),D488),Omega3_Referencia!$A$2:$E$100,3,FALSE()),0))</f>
        <v>0</v>
      </c>
      <c r="AW488" s="3" t="str">
        <f>IFERROR(VLOOKUP(IFERROR(VLOOKUP(D488,Mapa_Similitud!$A$2:$B$2000,2,FALSE()),D488),Hoja1!$A$2:$K$1000,3,FALSE()),IFERROR(VLOOKUP(IFERROR(VLOOKUP(D488,Mapa_Similitud!$A$2:$B$2000,2,FALSE()),D488),Omega3_Referencia!$A$2:$E$100,4,FALSE()),"N/A"))</f>
        <v>N/A</v>
      </c>
      <c r="AX488" s="5">
        <f>IFERROR(VLOOKUP(IFERROR(VLOOKUP(D488,Mapa_Similitud!$A$2:$B$2000,2,FALSE()),D488),Hoja1!$A$2:$K$1000,5,FALSE()),0)</f>
        <v>0</v>
      </c>
      <c r="AY488" s="5">
        <f>IFERROR(VLOOKUP(IFERROR(VLOOKUP(D488,Mapa_Similitud!$A$2:$B$2000,2,FALSE()),D488),Hoja1!$A$2:$K$1000,7,FALSE()),0)</f>
        <v>0</v>
      </c>
      <c r="AZ488" s="5">
        <f>IFERROR(VLOOKUP(IFERROR(VLOOKUP(D488,Mapa_Similitud!$A$2:$B$2000,2,FALSE()),D488),Hoja1!$A$2:$K$1000,9,FALSE()),0)</f>
        <v>0</v>
      </c>
      <c r="BA488" s="25">
        <f t="shared" si="203"/>
        <v>2.4429967426710098E-2</v>
      </c>
      <c r="BB488" s="25">
        <f t="shared" si="204"/>
        <v>0</v>
      </c>
      <c r="BC488" s="25">
        <f t="shared" si="205"/>
        <v>0.11400651465798045</v>
      </c>
      <c r="BD488" s="25">
        <f t="shared" si="206"/>
        <v>9.7719869706840395E-4</v>
      </c>
      <c r="BE488" s="25">
        <f t="shared" si="207"/>
        <v>0.60260586319218246</v>
      </c>
      <c r="BF488" s="25">
        <f t="shared" si="208"/>
        <v>6.8181818181818177E-2</v>
      </c>
      <c r="BG488" s="25">
        <f t="shared" si="209"/>
        <v>0.44871794871794873</v>
      </c>
      <c r="BH488" s="25">
        <f t="shared" si="210"/>
        <v>0.58862876254180607</v>
      </c>
      <c r="BI488" s="25">
        <f t="shared" si="211"/>
        <v>1.3909774436090225</v>
      </c>
      <c r="BJ488" s="25">
        <f t="shared" si="212"/>
        <v>1</v>
      </c>
      <c r="BK488" s="25">
        <f t="shared" si="213"/>
        <v>0</v>
      </c>
      <c r="BL488" s="25">
        <f t="shared" si="214"/>
        <v>0.87654723127035816</v>
      </c>
      <c r="BM488" s="25">
        <f t="shared" si="215"/>
        <v>2.9315960912052116E-2</v>
      </c>
      <c r="BN488" s="18" t="str">
        <f t="shared" si="221"/>
        <v>Baja fuente de proteína</v>
      </c>
      <c r="BO488" s="18" t="str">
        <f t="shared" si="222"/>
        <v>Baja fuente de fibra</v>
      </c>
      <c r="BP488" s="18" t="str">
        <f t="shared" si="223"/>
        <v>Baja fuente de calcio</v>
      </c>
      <c r="BQ488" s="18" t="str">
        <f t="shared" si="224"/>
        <v>Baja fuente de hierro</v>
      </c>
      <c r="BR488" s="18" t="str">
        <f t="shared" si="225"/>
        <v>Moderado en sodio</v>
      </c>
      <c r="BS488" s="6" t="str">
        <f t="shared" si="216"/>
        <v>Proinflamatorio</v>
      </c>
      <c r="BT488" s="6" t="str">
        <f t="shared" si="217"/>
        <v>Muy alto en grasas</v>
      </c>
      <c r="BU488" s="18" t="str">
        <f t="shared" si="226"/>
        <v>Alto riesgo de retención de líquidos</v>
      </c>
      <c r="BV488" s="18" t="str">
        <f t="shared" si="227"/>
        <v>Baja fuente de magnesio</v>
      </c>
      <c r="BW488" s="18" t="str">
        <f t="shared" si="228"/>
        <v>Sin aporte de Omega 3</v>
      </c>
      <c r="BX488" s="18" t="str">
        <f t="shared" si="229"/>
        <v>Libre de grasas trans</v>
      </c>
      <c r="BY488" s="18" t="str">
        <f t="shared" si="230"/>
        <v>Bajo poder antioxidante</v>
      </c>
      <c r="BZ488" s="6" t="str">
        <f t="shared" si="218"/>
        <v>Sin probióticos</v>
      </c>
      <c r="CA488" s="18" t="str">
        <f t="shared" si="231"/>
        <v>Poco inflamatorio</v>
      </c>
      <c r="CB488" s="18" t="str">
        <f>IF(ISNUMBER(SEARCH("miel", D488)), "No irritante (Uso condicionado SII)", IF(OR(J488&gt;0, ISNUMBER(SEARCH("cacao", D488)), ISNUMBER(SEARCH("chocolate puro", D488))), "Altamente irritante", IF(OR(AND(O488&gt;15, BI488&gt;1), ISNUMBER(SEARCH("chocolate", D488))), "Moderadamente irritante", "No irritante")))</f>
        <v>No irritante</v>
      </c>
      <c r="CC488" s="6" t="str">
        <f t="shared" si="219"/>
        <v>Sin Omega 3 para evaluar</v>
      </c>
    </row>
    <row r="489" spans="1:81" ht="15" customHeight="1" x14ac:dyDescent="0.3">
      <c r="A489" s="2">
        <f t="shared" si="220"/>
        <v>488</v>
      </c>
      <c r="B489" s="3" t="s">
        <v>584</v>
      </c>
      <c r="C489" s="3" t="s">
        <v>627</v>
      </c>
      <c r="D489" s="3" t="s">
        <v>641</v>
      </c>
      <c r="E489" s="3"/>
      <c r="F489" s="4">
        <v>1.5</v>
      </c>
      <c r="G489" s="5">
        <v>1</v>
      </c>
      <c r="H489" s="5">
        <v>543</v>
      </c>
      <c r="I489" s="5">
        <v>34.299999999999997</v>
      </c>
      <c r="J489" s="5">
        <v>0</v>
      </c>
      <c r="K489" s="5">
        <v>2.2000000000000002</v>
      </c>
      <c r="L489" s="5">
        <v>3.3</v>
      </c>
      <c r="M489" s="5">
        <v>0.5</v>
      </c>
      <c r="N489" s="5">
        <v>2.8</v>
      </c>
      <c r="O489" s="5">
        <v>2.7</v>
      </c>
      <c r="P489" s="5">
        <v>0</v>
      </c>
      <c r="Q489" s="5">
        <v>57.9</v>
      </c>
      <c r="R489" s="5">
        <v>8.8000000000000007</v>
      </c>
      <c r="S489" s="5">
        <v>13.5</v>
      </c>
      <c r="T489" s="5">
        <v>32.9</v>
      </c>
      <c r="U489" s="5">
        <v>39</v>
      </c>
      <c r="V489" s="5">
        <v>9</v>
      </c>
      <c r="W489" s="5">
        <v>9</v>
      </c>
      <c r="X489" s="5">
        <v>2</v>
      </c>
      <c r="Y489" s="5">
        <v>0.1</v>
      </c>
      <c r="Z489" s="5">
        <v>4.7</v>
      </c>
      <c r="AA489" s="5">
        <v>0</v>
      </c>
      <c r="AB489" s="5">
        <v>0.01</v>
      </c>
      <c r="AC489" s="5">
        <v>0.01</v>
      </c>
      <c r="AD489" s="5">
        <v>0.04</v>
      </c>
      <c r="AE489" s="5">
        <v>2.5000000000000001E-2</v>
      </c>
      <c r="AF489" s="5">
        <v>2</v>
      </c>
      <c r="AG489" s="5">
        <v>0.03</v>
      </c>
      <c r="AH489" s="5">
        <v>0</v>
      </c>
      <c r="AI489" s="5">
        <v>0</v>
      </c>
      <c r="AJ489" s="5">
        <v>0.3</v>
      </c>
      <c r="AK489" s="5">
        <v>48</v>
      </c>
      <c r="AL489" s="5">
        <v>19</v>
      </c>
      <c r="AM489" s="5">
        <v>1.1000000000000001</v>
      </c>
      <c r="AN489" s="5">
        <v>0</v>
      </c>
      <c r="AO489" s="5">
        <v>0.11</v>
      </c>
      <c r="AP489" s="5">
        <v>2</v>
      </c>
      <c r="AQ489" s="5">
        <v>1209</v>
      </c>
      <c r="AR489" s="5">
        <v>29</v>
      </c>
      <c r="AS489" s="5">
        <v>0</v>
      </c>
      <c r="AT489" s="5">
        <v>0</v>
      </c>
      <c r="AU489" s="5">
        <v>1.6</v>
      </c>
      <c r="AV489" s="5">
        <f>IFERROR(VLOOKUP(IFERROR(VLOOKUP(D489,Mapa_Similitud!$A$2:$B$2000,2,FALSE()),D489),Hoja1!$A$2:$K$1000,2,FALSE()),IFERROR(VLOOKUP(IFERROR(VLOOKUP(D489,Mapa_Similitud!$A$2:$B$2000,2,FALSE()),D489),Omega3_Referencia!$A$2:$E$100,3,FALSE()),0))</f>
        <v>0</v>
      </c>
      <c r="AW489" s="3" t="str">
        <f>IFERROR(VLOOKUP(IFERROR(VLOOKUP(D489,Mapa_Similitud!$A$2:$B$2000,2,FALSE()),D489),Hoja1!$A$2:$K$1000,3,FALSE()),IFERROR(VLOOKUP(IFERROR(VLOOKUP(D489,Mapa_Similitud!$A$2:$B$2000,2,FALSE()),D489),Omega3_Referencia!$A$2:$E$100,4,FALSE()),"N/A"))</f>
        <v>N/A</v>
      </c>
      <c r="AX489" s="5">
        <f>IFERROR(VLOOKUP(IFERROR(VLOOKUP(D489,Mapa_Similitud!$A$2:$B$2000,2,FALSE()),D489),Hoja1!$A$2:$K$1000,5,FALSE()),0)</f>
        <v>0</v>
      </c>
      <c r="AY489" s="5">
        <f>IFERROR(VLOOKUP(IFERROR(VLOOKUP(D489,Mapa_Similitud!$A$2:$B$2000,2,FALSE()),D489),Hoja1!$A$2:$K$1000,7,FALSE()),0)</f>
        <v>0</v>
      </c>
      <c r="AZ489" s="5">
        <f>IFERROR(VLOOKUP(IFERROR(VLOOKUP(D489,Mapa_Similitud!$A$2:$B$2000,2,FALSE()),D489),Hoja1!$A$2:$K$1000,9,FALSE()),0)</f>
        <v>0</v>
      </c>
      <c r="BA489" s="25">
        <f t="shared" si="203"/>
        <v>4.0515653775322286E-3</v>
      </c>
      <c r="BB489" s="25">
        <f t="shared" si="204"/>
        <v>0</v>
      </c>
      <c r="BC489" s="25">
        <f t="shared" si="205"/>
        <v>8.8397790055248615E-2</v>
      </c>
      <c r="BD489" s="25">
        <f t="shared" si="206"/>
        <v>2.0257826887661143E-3</v>
      </c>
      <c r="BE489" s="25">
        <f t="shared" si="207"/>
        <v>2.2265193370165748</v>
      </c>
      <c r="BF489" s="25">
        <f t="shared" si="208"/>
        <v>3.7386363636363633</v>
      </c>
      <c r="BG489" s="25">
        <f t="shared" si="209"/>
        <v>2.5263157894736841</v>
      </c>
      <c r="BH489" s="25">
        <f t="shared" si="210"/>
        <v>0.15198618307426598</v>
      </c>
      <c r="BI489" s="25">
        <f t="shared" si="211"/>
        <v>41.689655172413794</v>
      </c>
      <c r="BJ489" s="25">
        <f t="shared" si="212"/>
        <v>0.84848484848484851</v>
      </c>
      <c r="BK489" s="25">
        <f t="shared" si="213"/>
        <v>0</v>
      </c>
      <c r="BL489" s="25">
        <f t="shared" si="214"/>
        <v>0.95966850828729289</v>
      </c>
      <c r="BM489" s="25">
        <f t="shared" si="215"/>
        <v>3.6832412523020259E-3</v>
      </c>
      <c r="BN489" s="18" t="str">
        <f t="shared" si="221"/>
        <v>Baja fuente de proteína</v>
      </c>
      <c r="BO489" s="18" t="str">
        <f t="shared" si="222"/>
        <v>Baja fuente de fibra</v>
      </c>
      <c r="BP489" s="18" t="str">
        <f t="shared" si="223"/>
        <v>Baja fuente de calcio</v>
      </c>
      <c r="BQ489" s="18" t="str">
        <f t="shared" si="224"/>
        <v>Baja fuente de hierro</v>
      </c>
      <c r="BR489" s="18" t="str">
        <f t="shared" si="225"/>
        <v>Muy alto en sodio</v>
      </c>
      <c r="BS489" s="6" t="str">
        <f t="shared" si="216"/>
        <v>Altamente antiinflamatorio</v>
      </c>
      <c r="BT489" s="6" t="str">
        <f t="shared" si="217"/>
        <v>Muy alto en grasas</v>
      </c>
      <c r="BU489" s="18" t="str">
        <f t="shared" si="226"/>
        <v>Alto riesgo de retención de líquidos</v>
      </c>
      <c r="BV489" s="18" t="str">
        <f t="shared" si="227"/>
        <v>Baja fuente de magnesio</v>
      </c>
      <c r="BW489" s="18" t="str">
        <f t="shared" si="228"/>
        <v>Sin aporte de Omega 3</v>
      </c>
      <c r="BX489" s="18" t="str">
        <f t="shared" si="229"/>
        <v>Libre de grasas trans</v>
      </c>
      <c r="BY489" s="18" t="str">
        <f t="shared" si="230"/>
        <v>Bajo poder antioxidante</v>
      </c>
      <c r="BZ489" s="6" t="str">
        <f t="shared" si="218"/>
        <v>Sin probióticos</v>
      </c>
      <c r="CA489" s="18" t="str">
        <f t="shared" si="231"/>
        <v>Poco inflamatorio</v>
      </c>
      <c r="CB489" s="18" t="str">
        <f>IF(ISNUMBER(SEARCH("miel", D489)), "No irritante (Uso condicionado SII)", IF(OR(J489&gt;0, ISNUMBER(SEARCH("cacao", D489)), ISNUMBER(SEARCH("chocolate puro", D489))), "Altamente irritante", IF(OR(AND(O489&gt;15, BI489&gt;1), ISNUMBER(SEARCH("chocolate", D489))), "Moderadamente irritante", "No irritante")))</f>
        <v>No irritante</v>
      </c>
      <c r="CC489" s="6" t="str">
        <f t="shared" si="219"/>
        <v>Sin Omega 3 para evaluar</v>
      </c>
    </row>
    <row r="490" spans="1:81" ht="15" customHeight="1" x14ac:dyDescent="0.3">
      <c r="A490" s="2">
        <f t="shared" si="220"/>
        <v>489</v>
      </c>
      <c r="B490" s="3" t="s">
        <v>584</v>
      </c>
      <c r="C490" s="3" t="s">
        <v>627</v>
      </c>
      <c r="D490" s="3" t="s">
        <v>642</v>
      </c>
      <c r="E490" s="3"/>
      <c r="F490" s="4">
        <v>1.5</v>
      </c>
      <c r="G490" s="5">
        <v>1</v>
      </c>
      <c r="H490" s="5">
        <v>111</v>
      </c>
      <c r="I490" s="5">
        <v>77</v>
      </c>
      <c r="J490" s="5">
        <v>0</v>
      </c>
      <c r="K490" s="5">
        <v>5.3</v>
      </c>
      <c r="L490" s="5">
        <v>8.4</v>
      </c>
      <c r="M490" s="5">
        <v>4</v>
      </c>
      <c r="N490" s="5">
        <v>4.4000000000000004</v>
      </c>
      <c r="O490" s="5">
        <v>4.4000000000000004</v>
      </c>
      <c r="P490" s="5">
        <v>0.5</v>
      </c>
      <c r="Q490" s="5">
        <v>6.1</v>
      </c>
      <c r="R490" s="5">
        <v>2.6</v>
      </c>
      <c r="S490" s="5">
        <v>1.7</v>
      </c>
      <c r="T490" s="5">
        <v>1.2</v>
      </c>
      <c r="U490" s="5">
        <v>29</v>
      </c>
      <c r="V490" s="5">
        <v>67</v>
      </c>
      <c r="W490" s="5">
        <v>60.8</v>
      </c>
      <c r="X490" s="5">
        <v>37</v>
      </c>
      <c r="Y490" s="5">
        <v>0.09</v>
      </c>
      <c r="Z490" s="5">
        <v>0.28999999999999998</v>
      </c>
      <c r="AA490" s="5">
        <v>11.5</v>
      </c>
      <c r="AB490" s="5">
        <v>0.04</v>
      </c>
      <c r="AC490" s="5">
        <v>0.23</v>
      </c>
      <c r="AD490" s="5">
        <v>1.4</v>
      </c>
      <c r="AE490" s="5">
        <v>7.0000000000000007E-2</v>
      </c>
      <c r="AF490" s="5">
        <v>5</v>
      </c>
      <c r="AG490" s="5">
        <v>0.5</v>
      </c>
      <c r="AH490" s="5">
        <v>0.3</v>
      </c>
      <c r="AI490" s="5">
        <v>0</v>
      </c>
      <c r="AJ490" s="5">
        <v>1</v>
      </c>
      <c r="AK490" s="5">
        <v>160</v>
      </c>
      <c r="AL490" s="5">
        <v>170</v>
      </c>
      <c r="AM490" s="5">
        <v>0.1</v>
      </c>
      <c r="AN490" s="5">
        <v>14.8</v>
      </c>
      <c r="AO490" s="5">
        <v>0.6</v>
      </c>
      <c r="AP490" s="5">
        <v>14</v>
      </c>
      <c r="AQ490" s="5">
        <v>460</v>
      </c>
      <c r="AR490" s="5">
        <v>170</v>
      </c>
      <c r="AS490" s="5">
        <v>0.01</v>
      </c>
      <c r="AT490" s="5">
        <v>0</v>
      </c>
      <c r="AU490" s="5">
        <v>3.2</v>
      </c>
      <c r="AV490" s="5">
        <f>IFERROR(VLOOKUP(IFERROR(VLOOKUP(D490,Mapa_Similitud!$A$2:$B$2000,2,FALSE()),D490),Hoja1!$A$2:$K$1000,2,FALSE()),IFERROR(VLOOKUP(IFERROR(VLOOKUP(D490,Mapa_Similitud!$A$2:$B$2000,2,FALSE()),D490),Omega3_Referencia!$A$2:$E$100,3,FALSE()),0))</f>
        <v>0</v>
      </c>
      <c r="AW490" s="3" t="str">
        <f>IFERROR(VLOOKUP(IFERROR(VLOOKUP(D490,Mapa_Similitud!$A$2:$B$2000,2,FALSE()),D490),Hoja1!$A$2:$K$1000,3,FALSE()),IFERROR(VLOOKUP(IFERROR(VLOOKUP(D490,Mapa_Similitud!$A$2:$B$2000,2,FALSE()),D490),Omega3_Referencia!$A$2:$E$100,4,FALSE()),"N/A"))</f>
        <v>N/A</v>
      </c>
      <c r="AX490" s="5">
        <f>IFERROR(VLOOKUP(IFERROR(VLOOKUP(D490,Mapa_Similitud!$A$2:$B$2000,2,FALSE()),D490),Hoja1!$A$2:$K$1000,5,FALSE()),0)</f>
        <v>0</v>
      </c>
      <c r="AY490" s="5">
        <f>IFERROR(VLOOKUP(IFERROR(VLOOKUP(D490,Mapa_Similitud!$A$2:$B$2000,2,FALSE()),D490),Hoja1!$A$2:$K$1000,7,FALSE()),0)</f>
        <v>0</v>
      </c>
      <c r="AZ490" s="5">
        <f>IFERROR(VLOOKUP(IFERROR(VLOOKUP(D490,Mapa_Similitud!$A$2:$B$2000,2,FALSE()),D490),Hoja1!$A$2:$K$1000,9,FALSE()),0)</f>
        <v>0</v>
      </c>
      <c r="BA490" s="25">
        <f t="shared" si="203"/>
        <v>4.7747747747747746E-2</v>
      </c>
      <c r="BB490" s="25">
        <f t="shared" si="204"/>
        <v>4.5045045045045045E-3</v>
      </c>
      <c r="BC490" s="25">
        <f t="shared" si="205"/>
        <v>1.4414414414414414</v>
      </c>
      <c r="BD490" s="25">
        <f t="shared" si="206"/>
        <v>9.0090090090090091E-4</v>
      </c>
      <c r="BE490" s="25">
        <f t="shared" si="207"/>
        <v>4.1441441441441444</v>
      </c>
      <c r="BF490" s="25">
        <f t="shared" si="208"/>
        <v>0.46153846153846151</v>
      </c>
      <c r="BG490" s="25">
        <f t="shared" si="209"/>
        <v>0.94117647058823528</v>
      </c>
      <c r="BH490" s="25">
        <f t="shared" si="210"/>
        <v>0.42622950819672134</v>
      </c>
      <c r="BI490" s="25">
        <f t="shared" si="211"/>
        <v>2.7058823529411766</v>
      </c>
      <c r="BJ490" s="25">
        <f t="shared" si="212"/>
        <v>0.52380952380952384</v>
      </c>
      <c r="BK490" s="25">
        <f t="shared" si="213"/>
        <v>5.9523809523809521E-2</v>
      </c>
      <c r="BL490" s="25">
        <f t="shared" si="214"/>
        <v>0.49459459459459459</v>
      </c>
      <c r="BM490" s="25">
        <f t="shared" si="215"/>
        <v>0.12612612612612611</v>
      </c>
      <c r="BN490" s="18" t="str">
        <f t="shared" si="221"/>
        <v>Baja fuente de proteína</v>
      </c>
      <c r="BO490" s="18" t="str">
        <f t="shared" si="222"/>
        <v>Baja fuente de fibra</v>
      </c>
      <c r="BP490" s="18" t="str">
        <f t="shared" si="223"/>
        <v>Media fuente de calcio</v>
      </c>
      <c r="BQ490" s="18" t="str">
        <f t="shared" si="224"/>
        <v>Baja fuente de hierro</v>
      </c>
      <c r="BR490" s="18" t="str">
        <f t="shared" si="225"/>
        <v>Muy alto en sodio</v>
      </c>
      <c r="BS490" s="6" t="str">
        <f t="shared" si="216"/>
        <v>Proinflamatorio</v>
      </c>
      <c r="BT490" s="6" t="str">
        <f t="shared" si="217"/>
        <v>Muy alto en grasas</v>
      </c>
      <c r="BU490" s="18" t="str">
        <f t="shared" si="226"/>
        <v>Alto riesgo de retención de líquidos</v>
      </c>
      <c r="BV490" s="18" t="str">
        <f t="shared" si="227"/>
        <v>Baja fuente de magnesio</v>
      </c>
      <c r="BW490" s="18" t="str">
        <f t="shared" si="228"/>
        <v>Sin aporte de Omega 3</v>
      </c>
      <c r="BX490" s="18" t="str">
        <f t="shared" si="229"/>
        <v>Libre de grasas trans</v>
      </c>
      <c r="BY490" s="18" t="str">
        <f t="shared" si="230"/>
        <v>Bajo poder antioxidante</v>
      </c>
      <c r="BZ490" s="6" t="str">
        <f t="shared" si="218"/>
        <v>Sin probióticos</v>
      </c>
      <c r="CA490" s="18" t="str">
        <f t="shared" si="231"/>
        <v>Poco inflamatorio</v>
      </c>
      <c r="CB490" s="18" t="str">
        <f>IF(ISNUMBER(SEARCH("miel", D490)), "No irritante (Uso condicionado SII)", IF(OR(J490&gt;0, ISNUMBER(SEARCH("cacao", D490)), ISNUMBER(SEARCH("chocolate puro", D490))), "Altamente irritante", IF(OR(AND(O490&gt;15, BI490&gt;1), ISNUMBER(SEARCH("chocolate", D490))), "Moderadamente irritante", "No irritante")))</f>
        <v>No irritante</v>
      </c>
      <c r="CC490" s="6" t="str">
        <f t="shared" si="219"/>
        <v>Sin Omega 3 para evaluar</v>
      </c>
    </row>
    <row r="491" spans="1:81" ht="15" customHeight="1" x14ac:dyDescent="0.3">
      <c r="A491" s="2">
        <f t="shared" si="220"/>
        <v>490</v>
      </c>
      <c r="B491" s="3" t="s">
        <v>584</v>
      </c>
      <c r="C491" s="3" t="s">
        <v>627</v>
      </c>
      <c r="D491" s="3" t="s">
        <v>643</v>
      </c>
      <c r="E491" s="3"/>
      <c r="F491" s="4">
        <v>1.5</v>
      </c>
      <c r="G491" s="5">
        <v>1</v>
      </c>
      <c r="H491" s="5">
        <v>65.7</v>
      </c>
      <c r="I491" s="5">
        <v>76.599999999999994</v>
      </c>
      <c r="J491" s="5">
        <v>0</v>
      </c>
      <c r="K491" s="5">
        <v>8.6999999999999993</v>
      </c>
      <c r="L491" s="5">
        <v>6.7</v>
      </c>
      <c r="M491" s="5">
        <v>3.8</v>
      </c>
      <c r="N491" s="5">
        <v>2.9</v>
      </c>
      <c r="O491" s="5">
        <v>2.9</v>
      </c>
      <c r="P491" s="5">
        <v>1.6</v>
      </c>
      <c r="Q491" s="5">
        <v>0.1</v>
      </c>
      <c r="R491" s="5">
        <v>1.0999999999999999E-2</v>
      </c>
      <c r="S491" s="5">
        <v>1.7000000000000001E-2</v>
      </c>
      <c r="T491" s="5">
        <v>4.3999999999999997E-2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0.05</v>
      </c>
      <c r="AC491" s="5">
        <v>0.13</v>
      </c>
      <c r="AD491" s="5">
        <v>4.8</v>
      </c>
      <c r="AE491" s="5">
        <v>0.2</v>
      </c>
      <c r="AF491" s="5">
        <v>11</v>
      </c>
      <c r="AG491" s="5">
        <v>0</v>
      </c>
      <c r="AH491" s="5">
        <v>0.32</v>
      </c>
      <c r="AI491" s="5">
        <v>0</v>
      </c>
      <c r="AJ491" s="5">
        <v>0</v>
      </c>
      <c r="AK491" s="5">
        <v>19</v>
      </c>
      <c r="AL491" s="5">
        <v>210</v>
      </c>
      <c r="AM491" s="5">
        <v>2.7</v>
      </c>
      <c r="AN491" s="5">
        <v>0</v>
      </c>
      <c r="AO491" s="5">
        <v>0.2</v>
      </c>
      <c r="AP491" s="5">
        <v>43</v>
      </c>
      <c r="AQ491" s="5">
        <v>5720</v>
      </c>
      <c r="AR491" s="5">
        <v>360</v>
      </c>
      <c r="AS491" s="5">
        <v>0</v>
      </c>
      <c r="AT491" s="5">
        <v>0.1</v>
      </c>
      <c r="AU491" s="5">
        <v>0.8</v>
      </c>
      <c r="AV491" s="5">
        <f>IFERROR(VLOOKUP(IFERROR(VLOOKUP(D491,Mapa_Similitud!$A$2:$B$2000,2,FALSE()),D491),Hoja1!$A$2:$K$1000,2,FALSE()),IFERROR(VLOOKUP(IFERROR(VLOOKUP(D491,Mapa_Similitud!$A$2:$B$2000,2,FALSE()),D491),Omega3_Referencia!$A$2:$E$100,3,FALSE()),0))</f>
        <v>0.01</v>
      </c>
      <c r="AW491" s="3" t="str">
        <f>IFERROR(VLOOKUP(IFERROR(VLOOKUP(D491,Mapa_Similitud!$A$2:$B$2000,2,FALSE()),D491),Hoja1!$A$2:$K$1000,3,FALSE()),IFERROR(VLOOKUP(IFERROR(VLOOKUP(D491,Mapa_Similitud!$A$2:$B$2000,2,FALSE()),D491),Omega3_Referencia!$A$2:$E$100,4,FALSE()),"N/A"))</f>
        <v>ALA</v>
      </c>
      <c r="AX491" s="5">
        <f>IFERROR(VLOOKUP(IFERROR(VLOOKUP(D491,Mapa_Similitud!$A$2:$B$2000,2,FALSE()),D491),Hoja1!$A$2:$K$1000,5,FALSE()),0)</f>
        <v>0</v>
      </c>
      <c r="AY491" s="5">
        <f>IFERROR(VLOOKUP(IFERROR(VLOOKUP(D491,Mapa_Similitud!$A$2:$B$2000,2,FALSE()),D491),Hoja1!$A$2:$K$1000,7,FALSE()),0)</f>
        <v>25</v>
      </c>
      <c r="AZ491" s="5">
        <f>IFERROR(VLOOKUP(IFERROR(VLOOKUP(D491,Mapa_Similitud!$A$2:$B$2000,2,FALSE()),D491),Hoja1!$A$2:$K$1000,9,FALSE()),0)</f>
        <v>0</v>
      </c>
      <c r="BA491" s="25">
        <f t="shared" si="203"/>
        <v>0.13242009132420091</v>
      </c>
      <c r="BB491" s="25">
        <f t="shared" si="204"/>
        <v>2.4353120243531201E-2</v>
      </c>
      <c r="BC491" s="25">
        <f t="shared" si="205"/>
        <v>0.28919330289193301</v>
      </c>
      <c r="BD491" s="25">
        <f t="shared" si="206"/>
        <v>4.1095890410958902E-2</v>
      </c>
      <c r="BE491" s="25">
        <f t="shared" si="207"/>
        <v>87.06240487062405</v>
      </c>
      <c r="BF491" s="25">
        <f t="shared" si="208"/>
        <v>4</v>
      </c>
      <c r="BG491" s="25">
        <f t="shared" si="209"/>
        <v>9.0476190476190474E-2</v>
      </c>
      <c r="BH491" s="25">
        <f t="shared" si="210"/>
        <v>0.10999999999999999</v>
      </c>
      <c r="BI491" s="25">
        <f t="shared" si="211"/>
        <v>15.888888888888889</v>
      </c>
      <c r="BJ491" s="25">
        <f t="shared" si="212"/>
        <v>0.43283582089552236</v>
      </c>
      <c r="BK491" s="25">
        <f t="shared" si="213"/>
        <v>0.23880597014925373</v>
      </c>
      <c r="BL491" s="25">
        <f t="shared" si="214"/>
        <v>1.3698630136986301E-2</v>
      </c>
      <c r="BM491" s="25">
        <f t="shared" si="215"/>
        <v>0.65449010654490103</v>
      </c>
      <c r="BN491" s="18" t="str">
        <f t="shared" si="221"/>
        <v>Media fuente de proteína</v>
      </c>
      <c r="BO491" s="18" t="str">
        <f t="shared" si="222"/>
        <v>Media fuente de fibra</v>
      </c>
      <c r="BP491" s="18" t="str">
        <f t="shared" si="223"/>
        <v>Baja fuente de calcio</v>
      </c>
      <c r="BQ491" s="18" t="str">
        <f t="shared" si="224"/>
        <v>Alta fuente de hierro</v>
      </c>
      <c r="BR491" s="18" t="str">
        <f t="shared" si="225"/>
        <v>Muy alto en sodio</v>
      </c>
      <c r="BS491" s="6" t="str">
        <f t="shared" si="216"/>
        <v>Altamente antiinflamatorio</v>
      </c>
      <c r="BT491" s="6" t="str">
        <f t="shared" si="217"/>
        <v>Bajo en grasas</v>
      </c>
      <c r="BU491" s="18" t="str">
        <f t="shared" si="226"/>
        <v>Alto riesgo de retención de líquidos</v>
      </c>
      <c r="BV491" s="18" t="str">
        <f t="shared" si="227"/>
        <v>Alta fuente de magnesio</v>
      </c>
      <c r="BW491" s="18" t="str">
        <f t="shared" si="228"/>
        <v>Sin aporte de Omega 3</v>
      </c>
      <c r="BX491" s="18" t="str">
        <f t="shared" si="229"/>
        <v>Libre de grasas trans</v>
      </c>
      <c r="BY491" s="18" t="str">
        <f t="shared" si="230"/>
        <v>Medio poder antioxidante</v>
      </c>
      <c r="BZ491" s="6" t="str">
        <f t="shared" si="218"/>
        <v>Sin probióticos</v>
      </c>
      <c r="CA491" s="18" t="str">
        <f t="shared" si="231"/>
        <v>Poco inflamatorio</v>
      </c>
      <c r="CB491" s="18" t="str">
        <f>IF(ISNUMBER(SEARCH("miel", D491)), "No irritante (Uso condicionado SII)", IF(OR(J491&gt;0, ISNUMBER(SEARCH("cacao", D491)), ISNUMBER(SEARCH("chocolate puro", D491))), "Altamente irritante", IF(OR(AND(O491&gt;15, BI491&gt;1), ISNUMBER(SEARCH("chocolate", D491))), "Moderadamente irritante", "No irritante")))</f>
        <v>No irritante</v>
      </c>
      <c r="CC491" s="6" t="str">
        <f t="shared" si="219"/>
        <v>Balance de omegas favorable</v>
      </c>
    </row>
    <row r="492" spans="1:81" ht="15" customHeight="1" x14ac:dyDescent="0.3">
      <c r="A492" s="2">
        <f t="shared" si="220"/>
        <v>491</v>
      </c>
      <c r="B492" s="3" t="s">
        <v>584</v>
      </c>
      <c r="C492" s="3" t="s">
        <v>627</v>
      </c>
      <c r="D492" s="3" t="s">
        <v>644</v>
      </c>
      <c r="E492" s="3"/>
      <c r="F492" s="4">
        <v>1.5</v>
      </c>
      <c r="G492" s="5">
        <v>1</v>
      </c>
      <c r="H492" s="5">
        <v>289</v>
      </c>
      <c r="I492" s="5">
        <v>64.7</v>
      </c>
      <c r="J492" s="5">
        <v>0</v>
      </c>
      <c r="K492" s="5">
        <v>2.7</v>
      </c>
      <c r="L492" s="5">
        <v>0.6</v>
      </c>
      <c r="M492" s="5">
        <v>0</v>
      </c>
      <c r="N492" s="5">
        <v>0.6</v>
      </c>
      <c r="O492" s="5">
        <v>0.6</v>
      </c>
      <c r="P492" s="5">
        <v>0</v>
      </c>
      <c r="Q492" s="5">
        <v>30.6</v>
      </c>
      <c r="R492" s="5">
        <v>19</v>
      </c>
      <c r="S492" s="5">
        <v>9.1999999999999993</v>
      </c>
      <c r="T492" s="5">
        <v>1.2</v>
      </c>
      <c r="U492" s="5">
        <v>200</v>
      </c>
      <c r="V492" s="5">
        <v>602</v>
      </c>
      <c r="W492" s="5">
        <v>510</v>
      </c>
      <c r="X492" s="5">
        <v>550</v>
      </c>
      <c r="Y492" s="5">
        <v>0.86</v>
      </c>
      <c r="Z492" s="5">
        <v>14</v>
      </c>
      <c r="AA492" s="5">
        <v>21.6</v>
      </c>
      <c r="AB492" s="5">
        <v>0.03</v>
      </c>
      <c r="AC492" s="5">
        <v>0.06</v>
      </c>
      <c r="AD492" s="5">
        <v>0.96</v>
      </c>
      <c r="AE492" s="5">
        <v>0</v>
      </c>
      <c r="AF492" s="5">
        <v>64</v>
      </c>
      <c r="AG492" s="5">
        <v>0.89</v>
      </c>
      <c r="AH492" s="5">
        <v>0</v>
      </c>
      <c r="AI492" s="5">
        <v>0</v>
      </c>
      <c r="AJ492" s="5">
        <v>6</v>
      </c>
      <c r="AK492" s="5">
        <v>41</v>
      </c>
      <c r="AL492" s="5">
        <v>99</v>
      </c>
      <c r="AM492" s="5">
        <v>0.7</v>
      </c>
      <c r="AN492" s="5">
        <v>5.3</v>
      </c>
      <c r="AO492" s="5">
        <v>0.8</v>
      </c>
      <c r="AP492" s="5">
        <v>6</v>
      </c>
      <c r="AQ492" s="5">
        <v>400</v>
      </c>
      <c r="AR492" s="5">
        <v>45</v>
      </c>
      <c r="AS492" s="5">
        <v>0.1</v>
      </c>
      <c r="AT492" s="5">
        <v>0.1</v>
      </c>
      <c r="AU492" s="5">
        <v>3</v>
      </c>
      <c r="AV492" s="5">
        <f>IFERROR(VLOOKUP(IFERROR(VLOOKUP(D492,Mapa_Similitud!$A$2:$B$2000,2,FALSE()),D492),Hoja1!$A$2:$K$1000,2,FALSE()),IFERROR(VLOOKUP(IFERROR(VLOOKUP(D492,Mapa_Similitud!$A$2:$B$2000,2,FALSE()),D492),Omega3_Referencia!$A$2:$E$100,3,FALSE()),0))</f>
        <v>0</v>
      </c>
      <c r="AW492" s="3" t="str">
        <f>IFERROR(VLOOKUP(IFERROR(VLOOKUP(D492,Mapa_Similitud!$A$2:$B$2000,2,FALSE()),D492),Hoja1!$A$2:$K$1000,3,FALSE()),IFERROR(VLOOKUP(IFERROR(VLOOKUP(D492,Mapa_Similitud!$A$2:$B$2000,2,FALSE()),D492),Omega3_Referencia!$A$2:$E$100,4,FALSE()),"N/A"))</f>
        <v>N/A</v>
      </c>
      <c r="AX492" s="5">
        <f>IFERROR(VLOOKUP(IFERROR(VLOOKUP(D492,Mapa_Similitud!$A$2:$B$2000,2,FALSE()),D492),Hoja1!$A$2:$K$1000,5,FALSE()),0)</f>
        <v>0</v>
      </c>
      <c r="AY492" s="5">
        <f>IFERROR(VLOOKUP(IFERROR(VLOOKUP(D492,Mapa_Similitud!$A$2:$B$2000,2,FALSE()),D492),Hoja1!$A$2:$K$1000,7,FALSE()),0)</f>
        <v>0</v>
      </c>
      <c r="AZ492" s="5">
        <f>IFERROR(VLOOKUP(IFERROR(VLOOKUP(D492,Mapa_Similitud!$A$2:$B$2000,2,FALSE()),D492),Hoja1!$A$2:$K$1000,9,FALSE()),0)</f>
        <v>0</v>
      </c>
      <c r="BA492" s="25">
        <f t="shared" si="203"/>
        <v>9.3425605536332189E-3</v>
      </c>
      <c r="BB492" s="25">
        <f t="shared" si="204"/>
        <v>0</v>
      </c>
      <c r="BC492" s="25">
        <f t="shared" si="205"/>
        <v>0.14186851211072665</v>
      </c>
      <c r="BD492" s="25">
        <f t="shared" si="206"/>
        <v>2.422145328719723E-3</v>
      </c>
      <c r="BE492" s="25">
        <f t="shared" si="207"/>
        <v>1.3840830449826989</v>
      </c>
      <c r="BF492" s="25">
        <f t="shared" si="208"/>
        <v>6.3157894736842107E-2</v>
      </c>
      <c r="BG492" s="25">
        <f t="shared" si="209"/>
        <v>0.41414141414141414</v>
      </c>
      <c r="BH492" s="25">
        <f t="shared" si="210"/>
        <v>0.62091503267973858</v>
      </c>
      <c r="BI492" s="25">
        <f t="shared" si="211"/>
        <v>8.8888888888888893</v>
      </c>
      <c r="BJ492" s="25">
        <f t="shared" si="212"/>
        <v>1</v>
      </c>
      <c r="BK492" s="25">
        <f t="shared" si="213"/>
        <v>0</v>
      </c>
      <c r="BL492" s="25">
        <f t="shared" si="214"/>
        <v>0.9529411764705884</v>
      </c>
      <c r="BM492" s="25">
        <f t="shared" si="215"/>
        <v>2.0761245674740483E-2</v>
      </c>
      <c r="BN492" s="18" t="str">
        <f t="shared" si="221"/>
        <v>Baja fuente de proteína</v>
      </c>
      <c r="BO492" s="18" t="str">
        <f t="shared" si="222"/>
        <v>Baja fuente de fibra</v>
      </c>
      <c r="BP492" s="18" t="str">
        <f t="shared" si="223"/>
        <v>Baja fuente de calcio</v>
      </c>
      <c r="BQ492" s="18" t="str">
        <f t="shared" si="224"/>
        <v>Baja fuente de hierro</v>
      </c>
      <c r="BR492" s="18" t="str">
        <f t="shared" si="225"/>
        <v>Alto en sodio</v>
      </c>
      <c r="BS492" s="6" t="str">
        <f t="shared" si="216"/>
        <v>Proinflamatorio</v>
      </c>
      <c r="BT492" s="6" t="str">
        <f t="shared" si="217"/>
        <v>Muy alto en grasas</v>
      </c>
      <c r="BU492" s="18" t="str">
        <f t="shared" si="226"/>
        <v>Alto riesgo de retención de líquidos</v>
      </c>
      <c r="BV492" s="18" t="str">
        <f t="shared" si="227"/>
        <v>Baja fuente de magnesio</v>
      </c>
      <c r="BW492" s="18" t="str">
        <f t="shared" si="228"/>
        <v>Sin aporte de Omega 3</v>
      </c>
      <c r="BX492" s="18" t="str">
        <f t="shared" si="229"/>
        <v>Libre de grasas trans</v>
      </c>
      <c r="BY492" s="18" t="str">
        <f t="shared" si="230"/>
        <v>Bajo poder antioxidante</v>
      </c>
      <c r="BZ492" s="6" t="str">
        <f t="shared" si="218"/>
        <v>Sin probióticos</v>
      </c>
      <c r="CA492" s="18" t="str">
        <f t="shared" si="231"/>
        <v>Poco inflamatorio</v>
      </c>
      <c r="CB492" s="18" t="str">
        <f>IF(ISNUMBER(SEARCH("miel", D492)), "No irritante (Uso condicionado SII)", IF(OR(J492&gt;0, ISNUMBER(SEARCH("cacao", D492)), ISNUMBER(SEARCH("chocolate puro", D492))), "Altamente irritante", IF(OR(AND(O492&gt;15, BI492&gt;1), ISNUMBER(SEARCH("chocolate", D492))), "Moderadamente irritante", "No irritante")))</f>
        <v>No irritante</v>
      </c>
      <c r="CC492" s="6" t="str">
        <f t="shared" si="219"/>
        <v>Sin Omega 3 para evaluar</v>
      </c>
    </row>
    <row r="493" spans="1:81" ht="15" customHeight="1" x14ac:dyDescent="0.3">
      <c r="A493" s="2">
        <f t="shared" si="220"/>
        <v>492</v>
      </c>
      <c r="B493" s="3" t="s">
        <v>584</v>
      </c>
      <c r="C493" s="3" t="s">
        <v>627</v>
      </c>
      <c r="D493" s="3" t="s">
        <v>645</v>
      </c>
      <c r="E493" s="3"/>
      <c r="F493" s="4">
        <v>1.5</v>
      </c>
      <c r="G493" s="5">
        <v>1</v>
      </c>
      <c r="H493" s="5">
        <v>78</v>
      </c>
      <c r="I493" s="5">
        <v>78.5</v>
      </c>
      <c r="J493" s="5">
        <v>0</v>
      </c>
      <c r="K493" s="5">
        <v>0</v>
      </c>
      <c r="L493" s="5">
        <v>19.5</v>
      </c>
      <c r="M493" s="5">
        <v>9.4</v>
      </c>
      <c r="N493" s="5">
        <v>10</v>
      </c>
      <c r="O493" s="5">
        <v>10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5</v>
      </c>
      <c r="W493" s="5">
        <v>1</v>
      </c>
      <c r="X493" s="5">
        <v>47</v>
      </c>
      <c r="Y493" s="5">
        <v>0</v>
      </c>
      <c r="Z493" s="5">
        <v>0.08</v>
      </c>
      <c r="AA493" s="5">
        <v>0</v>
      </c>
      <c r="AB493" s="5">
        <v>7.0000000000000007E-2</v>
      </c>
      <c r="AC493" s="5">
        <v>0.13</v>
      </c>
      <c r="AD493" s="5">
        <v>0.7</v>
      </c>
      <c r="AE493" s="5">
        <v>0</v>
      </c>
      <c r="AF493" s="5">
        <v>8</v>
      </c>
      <c r="AG493" s="5">
        <v>0</v>
      </c>
      <c r="AH493" s="5">
        <v>0</v>
      </c>
      <c r="AI493" s="5">
        <v>0</v>
      </c>
      <c r="AJ493" s="5">
        <v>13</v>
      </c>
      <c r="AK493" s="5">
        <v>107</v>
      </c>
      <c r="AL493" s="5">
        <v>60</v>
      </c>
      <c r="AM493" s="5">
        <v>5.3</v>
      </c>
      <c r="AN493" s="5">
        <v>0</v>
      </c>
      <c r="AO493" s="5">
        <v>0.19</v>
      </c>
      <c r="AP493" s="5">
        <v>13</v>
      </c>
      <c r="AQ493" s="5">
        <v>980</v>
      </c>
      <c r="AR493" s="5">
        <v>800</v>
      </c>
      <c r="AS493" s="5">
        <v>0</v>
      </c>
      <c r="AT493" s="5">
        <v>0</v>
      </c>
      <c r="AU493" s="5">
        <v>0.5</v>
      </c>
      <c r="AV493" s="5">
        <f>IFERROR(VLOOKUP(IFERROR(VLOOKUP(D493,Mapa_Similitud!$A$2:$B$2000,2,FALSE()),D493),Hoja1!$A$2:$K$1000,2,FALSE()),IFERROR(VLOOKUP(IFERROR(VLOOKUP(D493,Mapa_Similitud!$A$2:$B$2000,2,FALSE()),D493),Omega3_Referencia!$A$2:$E$100,3,FALSE()),0))</f>
        <v>0.1</v>
      </c>
      <c r="AW493" s="3" t="str">
        <f>IFERROR(VLOOKUP(IFERROR(VLOOKUP(D493,Mapa_Similitud!$A$2:$B$2000,2,FALSE()),D493),Hoja1!$A$2:$K$1000,3,FALSE()),IFERROR(VLOOKUP(IFERROR(VLOOKUP(D493,Mapa_Similitud!$A$2:$B$2000,2,FALSE()),D493),Omega3_Referencia!$A$2:$E$100,4,FALSE()),"N/A"))</f>
        <v>ALA</v>
      </c>
      <c r="AX493" s="5">
        <f>IFERROR(VLOOKUP(IFERROR(VLOOKUP(D493,Mapa_Similitud!$A$2:$B$2000,2,FALSE()),D493),Hoja1!$A$2:$K$1000,5,FALSE()),0)</f>
        <v>0</v>
      </c>
      <c r="AY493" s="5">
        <f>IFERROR(VLOOKUP(IFERROR(VLOOKUP(D493,Mapa_Similitud!$A$2:$B$2000,2,FALSE()),D493),Hoja1!$A$2:$K$1000,7,FALSE()),0)</f>
        <v>15</v>
      </c>
      <c r="AZ493" s="5">
        <f>IFERROR(VLOOKUP(IFERROR(VLOOKUP(D493,Mapa_Similitud!$A$2:$B$2000,2,FALSE()),D493),Hoja1!$A$2:$K$1000,9,FALSE()),0)</f>
        <v>0</v>
      </c>
      <c r="BA493" s="25">
        <f t="shared" si="203"/>
        <v>0</v>
      </c>
      <c r="BB493" s="25">
        <f t="shared" si="204"/>
        <v>0</v>
      </c>
      <c r="BC493" s="25">
        <f t="shared" si="205"/>
        <v>1.3717948717948718</v>
      </c>
      <c r="BD493" s="25">
        <f t="shared" si="206"/>
        <v>6.7948717948717943E-2</v>
      </c>
      <c r="BE493" s="25">
        <f t="shared" si="207"/>
        <v>12.564102564102564</v>
      </c>
      <c r="BF493" s="25">
        <f t="shared" si="208"/>
        <v>0</v>
      </c>
      <c r="BG493" s="25">
        <f t="shared" si="209"/>
        <v>1.7833333333333334</v>
      </c>
      <c r="BH493" s="25">
        <f t="shared" si="210"/>
        <v>0</v>
      </c>
      <c r="BI493" s="25">
        <f t="shared" si="211"/>
        <v>1.2250000000000001</v>
      </c>
      <c r="BJ493" s="25">
        <f t="shared" si="212"/>
        <v>0.51282051282051277</v>
      </c>
      <c r="BK493" s="25">
        <f t="shared" si="213"/>
        <v>0</v>
      </c>
      <c r="BL493" s="25">
        <f t="shared" si="214"/>
        <v>0</v>
      </c>
      <c r="BM493" s="25">
        <f t="shared" si="215"/>
        <v>0.16666666666666666</v>
      </c>
      <c r="BN493" s="18" t="str">
        <f t="shared" si="221"/>
        <v>Baja fuente de proteína</v>
      </c>
      <c r="BO493" s="18" t="str">
        <f t="shared" si="222"/>
        <v>Baja fuente de fibra</v>
      </c>
      <c r="BP493" s="18" t="str">
        <f t="shared" si="223"/>
        <v>Media fuente de calcio</v>
      </c>
      <c r="BQ493" s="18" t="str">
        <f t="shared" si="224"/>
        <v>Alta fuente de hierro</v>
      </c>
      <c r="BR493" s="18" t="str">
        <f t="shared" si="225"/>
        <v>Muy alto en sodio</v>
      </c>
      <c r="BS493" s="6" t="str">
        <f t="shared" si="216"/>
        <v>Proinflamatorio</v>
      </c>
      <c r="BT493" s="6" t="str">
        <f t="shared" si="217"/>
        <v>Bajo en grasas</v>
      </c>
      <c r="BU493" s="18" t="str">
        <f t="shared" si="226"/>
        <v>Alto riesgo de retención de líquidos</v>
      </c>
      <c r="BV493" s="18" t="str">
        <f t="shared" si="227"/>
        <v>Baja fuente de magnesio</v>
      </c>
      <c r="BW493" s="18" t="str">
        <f t="shared" si="228"/>
        <v>Sin aporte de Omega 3</v>
      </c>
      <c r="BX493" s="18" t="str">
        <f t="shared" si="229"/>
        <v>Libre de grasas trans</v>
      </c>
      <c r="BY493" s="18" t="str">
        <f t="shared" si="230"/>
        <v>Medio poder antioxidante</v>
      </c>
      <c r="BZ493" s="6" t="str">
        <f t="shared" si="218"/>
        <v>Sin probióticos</v>
      </c>
      <c r="CA493" s="18" t="str">
        <f t="shared" si="231"/>
        <v>Moderadamente inflamatorio</v>
      </c>
      <c r="CB493" s="18" t="str">
        <f>IF(ISNUMBER(SEARCH("miel", D493)), "No irritante (Uso condicionado SII)", IF(OR(J493&gt;0, ISNUMBER(SEARCH("cacao", D493)), ISNUMBER(SEARCH("chocolate puro", D493))), "Altamente irritante", IF(OR(AND(O493&gt;15, BI493&gt;1), ISNUMBER(SEARCH("chocolate", D493))), "Moderadamente irritante", "No irritante")))</f>
        <v>No irritante</v>
      </c>
      <c r="CC493" s="6" t="str">
        <f t="shared" si="219"/>
        <v>Balance de omegas favorable</v>
      </c>
    </row>
    <row r="494" spans="1:81" ht="15" customHeight="1" x14ac:dyDescent="0.3">
      <c r="A494" s="2">
        <f t="shared" si="220"/>
        <v>493</v>
      </c>
      <c r="B494" s="3" t="s">
        <v>646</v>
      </c>
      <c r="C494" s="3" t="s">
        <v>647</v>
      </c>
      <c r="D494" s="3" t="s">
        <v>648</v>
      </c>
      <c r="E494" s="3"/>
      <c r="F494" s="4">
        <v>0.5</v>
      </c>
      <c r="G494" s="5">
        <v>1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0.6</v>
      </c>
      <c r="R494" s="5">
        <v>0.3</v>
      </c>
      <c r="S494" s="5">
        <v>0.28999999999999998</v>
      </c>
      <c r="T494" s="5">
        <v>0</v>
      </c>
      <c r="U494" s="5">
        <v>0.1</v>
      </c>
      <c r="V494" s="5">
        <v>0.2</v>
      </c>
      <c r="W494" s="5">
        <v>0.3</v>
      </c>
      <c r="X494" s="5">
        <v>2.2000000000000002</v>
      </c>
      <c r="Y494" s="5">
        <v>0.01</v>
      </c>
      <c r="Z494" s="5">
        <v>4.2999999999999997E-2</v>
      </c>
      <c r="AA494" s="5">
        <v>0.6</v>
      </c>
      <c r="AB494" s="5">
        <v>399</v>
      </c>
      <c r="AC494" s="5">
        <v>0.2</v>
      </c>
      <c r="AD494" s="5">
        <v>0</v>
      </c>
      <c r="AE494" s="5">
        <v>0</v>
      </c>
      <c r="AF494" s="5">
        <v>99.8</v>
      </c>
      <c r="AG494" s="5">
        <v>0</v>
      </c>
      <c r="AH494" s="5">
        <v>99.8</v>
      </c>
      <c r="AI494" s="5">
        <v>99.8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f>IFERROR(VLOOKUP(IFERROR(VLOOKUP(D494,Mapa_Similitud!$A$2:$B$2000,2,FALSE()),D494),Hoja1!$A$2:$K$1000,2,FALSE()),IFERROR(VLOOKUP(IFERROR(VLOOKUP(D494,Mapa_Similitud!$A$2:$B$2000,2,FALSE()),D494),Omega3_Referencia!$A$2:$E$100,3,FALSE()),0))</f>
        <v>0</v>
      </c>
      <c r="AW494" s="3" t="str">
        <f>IFERROR(VLOOKUP(IFERROR(VLOOKUP(D494,Mapa_Similitud!$A$2:$B$2000,2,FALSE()),D494),Hoja1!$A$2:$K$1000,3,FALSE()),IFERROR(VLOOKUP(IFERROR(VLOOKUP(D494,Mapa_Similitud!$A$2:$B$2000,2,FALSE()),D494),Omega3_Referencia!$A$2:$E$100,4,FALSE()),"N/A"))</f>
        <v>N/A</v>
      </c>
      <c r="AX494" s="5">
        <f>IFERROR(VLOOKUP(IFERROR(VLOOKUP(D494,Mapa_Similitud!$A$2:$B$2000,2,FALSE()),D494),Hoja1!$A$2:$K$1000,5,FALSE()),0)</f>
        <v>0</v>
      </c>
      <c r="AY494" s="5">
        <f>IFERROR(VLOOKUP(IFERROR(VLOOKUP(D494,Mapa_Similitud!$A$2:$B$2000,2,FALSE()),D494),Hoja1!$A$2:$K$1000,7,FALSE()),0)</f>
        <v>0</v>
      </c>
      <c r="AZ494" s="5">
        <f>IFERROR(VLOOKUP(IFERROR(VLOOKUP(D494,Mapa_Similitud!$A$2:$B$2000,2,FALSE()),D494),Hoja1!$A$2:$K$1000,9,FALSE()),0)</f>
        <v>0</v>
      </c>
      <c r="BA494" s="25">
        <f t="shared" si="203"/>
        <v>0</v>
      </c>
      <c r="BB494" s="25">
        <f t="shared" si="204"/>
        <v>0</v>
      </c>
      <c r="BC494" s="25">
        <f t="shared" si="205"/>
        <v>0</v>
      </c>
      <c r="BD494" s="25">
        <f t="shared" si="206"/>
        <v>0</v>
      </c>
      <c r="BE494" s="25">
        <f t="shared" si="207"/>
        <v>0</v>
      </c>
      <c r="BF494" s="25">
        <f t="shared" si="208"/>
        <v>0</v>
      </c>
      <c r="BG494" s="25">
        <f t="shared" si="209"/>
        <v>0</v>
      </c>
      <c r="BH494" s="25">
        <f t="shared" si="210"/>
        <v>0.5</v>
      </c>
      <c r="BI494" s="25">
        <f t="shared" si="211"/>
        <v>0</v>
      </c>
      <c r="BJ494" s="25">
        <f t="shared" si="212"/>
        <v>0</v>
      </c>
      <c r="BK494" s="25">
        <f t="shared" si="213"/>
        <v>0</v>
      </c>
      <c r="BL494" s="25">
        <f t="shared" si="214"/>
        <v>0</v>
      </c>
      <c r="BM494" s="25">
        <f t="shared" si="215"/>
        <v>0</v>
      </c>
      <c r="BN494" s="18" t="str">
        <f t="shared" si="221"/>
        <v>Baja fuente de proteína</v>
      </c>
      <c r="BO494" s="18" t="str">
        <f t="shared" si="222"/>
        <v>Baja fuente de fibra</v>
      </c>
      <c r="BP494" s="18" t="str">
        <f t="shared" si="223"/>
        <v>Baja fuente de calcio</v>
      </c>
      <c r="BQ494" s="18" t="str">
        <f t="shared" si="224"/>
        <v>Baja fuente de hierro</v>
      </c>
      <c r="BR494" s="18" t="str">
        <f t="shared" si="225"/>
        <v>Bajo en sodio</v>
      </c>
      <c r="BS494" s="6" t="str">
        <f t="shared" si="216"/>
        <v>Proinflamatorio</v>
      </c>
      <c r="BT494" s="6" t="str">
        <f t="shared" si="217"/>
        <v>Bajo en grasas</v>
      </c>
      <c r="BU494" s="18" t="str">
        <f t="shared" si="226"/>
        <v>Equilibrio de líquidos ideal</v>
      </c>
      <c r="BV494" s="18" t="str">
        <f t="shared" si="227"/>
        <v>Baja fuente de magnesio</v>
      </c>
      <c r="BW494" s="18" t="str">
        <f t="shared" si="228"/>
        <v>Sin aporte de Omega 3</v>
      </c>
      <c r="BX494" s="18" t="str">
        <f t="shared" si="229"/>
        <v>Libre de grasas trans</v>
      </c>
      <c r="BY494" s="18" t="str">
        <f t="shared" si="230"/>
        <v>Bajo poder antioxidante</v>
      </c>
      <c r="BZ494" s="6" t="str">
        <f t="shared" si="218"/>
        <v>Sin probióticos</v>
      </c>
      <c r="CA494" s="18" t="str">
        <f t="shared" si="231"/>
        <v>Poco inflamatorio</v>
      </c>
      <c r="CB494" s="18" t="str">
        <f>IF(ISNUMBER(SEARCH("miel", D494)), "No irritante (Uso condicionado SII)", IF(OR(J494&gt;0, ISNUMBER(SEARCH("cacao", D494)), ISNUMBER(SEARCH("chocolate puro", D494))), "Altamente irritante", IF(OR(AND(O494&gt;15, BI494&gt;1), ISNUMBER(SEARCH("chocolate", D494))), "Moderadamente irritante", "No irritante")))</f>
        <v>No irritante</v>
      </c>
      <c r="CC494" s="6" t="str">
        <f t="shared" si="219"/>
        <v>Sin Omega 3 para evaluar</v>
      </c>
    </row>
    <row r="495" spans="1:81" ht="15" customHeight="1" x14ac:dyDescent="0.3">
      <c r="A495" s="2">
        <f t="shared" si="220"/>
        <v>494</v>
      </c>
      <c r="B495" s="3" t="s">
        <v>646</v>
      </c>
      <c r="C495" s="3" t="s">
        <v>647</v>
      </c>
      <c r="D495" s="3" t="s">
        <v>649</v>
      </c>
      <c r="E495" s="3"/>
      <c r="F495" s="4">
        <v>0.6</v>
      </c>
      <c r="G495" s="5">
        <v>1</v>
      </c>
      <c r="H495" s="5">
        <v>8.0000000000000002E-3</v>
      </c>
      <c r="I495" s="5">
        <v>7.0000000000000001E-3</v>
      </c>
      <c r="J495" s="5">
        <v>1</v>
      </c>
      <c r="K495" s="5">
        <v>0.02</v>
      </c>
      <c r="L495" s="5">
        <v>1</v>
      </c>
      <c r="M495" s="5">
        <v>0</v>
      </c>
      <c r="N495" s="5">
        <v>0.11</v>
      </c>
      <c r="O495" s="5">
        <v>0</v>
      </c>
      <c r="P495" s="5">
        <v>0</v>
      </c>
      <c r="Q495" s="5">
        <v>85</v>
      </c>
      <c r="R495" s="5">
        <v>24</v>
      </c>
      <c r="S495" s="5">
        <v>1.9</v>
      </c>
      <c r="T495" s="5">
        <v>0</v>
      </c>
      <c r="U495" s="5">
        <v>0.1</v>
      </c>
      <c r="V495" s="5">
        <v>22</v>
      </c>
      <c r="W495" s="5">
        <v>40</v>
      </c>
      <c r="X495" s="5">
        <v>320</v>
      </c>
      <c r="Y495" s="5">
        <v>0.32</v>
      </c>
      <c r="Z495" s="5">
        <v>0.3</v>
      </c>
      <c r="AA495" s="5">
        <v>1.2</v>
      </c>
      <c r="AB495" s="5">
        <v>390</v>
      </c>
      <c r="AC495" s="5">
        <v>2.4</v>
      </c>
      <c r="AD495" s="5">
        <v>0</v>
      </c>
      <c r="AE495" s="5">
        <v>0</v>
      </c>
      <c r="AF495" s="5">
        <v>97.6</v>
      </c>
      <c r="AG495" s="5">
        <v>0</v>
      </c>
      <c r="AH495" s="5">
        <v>97.6</v>
      </c>
      <c r="AI495" s="5">
        <v>97.6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f>IFERROR(VLOOKUP(IFERROR(VLOOKUP(D495,Mapa_Similitud!$A$2:$B$2000,2,FALSE()),D495),Hoja1!$A$2:$K$1000,2,FALSE()),IFERROR(VLOOKUP(IFERROR(VLOOKUP(D495,Mapa_Similitud!$A$2:$B$2000,2,FALSE()),D495),Omega3_Referencia!$A$2:$E$100,3,FALSE()),0))</f>
        <v>0</v>
      </c>
      <c r="AW495" s="3" t="str">
        <f>IFERROR(VLOOKUP(IFERROR(VLOOKUP(D495,Mapa_Similitud!$A$2:$B$2000,2,FALSE()),D495),Hoja1!$A$2:$K$1000,3,FALSE()),IFERROR(VLOOKUP(IFERROR(VLOOKUP(D495,Mapa_Similitud!$A$2:$B$2000,2,FALSE()),D495),Omega3_Referencia!$A$2:$E$100,4,FALSE()),"N/A"))</f>
        <v>N/A</v>
      </c>
      <c r="AX495" s="5">
        <f>IFERROR(VLOOKUP(IFERROR(VLOOKUP(D495,Mapa_Similitud!$A$2:$B$2000,2,FALSE()),D495),Hoja1!$A$2:$K$1000,5,FALSE()),0)</f>
        <v>0</v>
      </c>
      <c r="AY495" s="5">
        <f>IFERROR(VLOOKUP(IFERROR(VLOOKUP(D495,Mapa_Similitud!$A$2:$B$2000,2,FALSE()),D495),Hoja1!$A$2:$K$1000,7,FALSE()),0)</f>
        <v>0</v>
      </c>
      <c r="AZ495" s="5">
        <f>IFERROR(VLOOKUP(IFERROR(VLOOKUP(D495,Mapa_Similitud!$A$2:$B$2000,2,FALSE()),D495),Hoja1!$A$2:$K$1000,9,FALSE()),0)</f>
        <v>0</v>
      </c>
      <c r="BA495" s="25">
        <f t="shared" si="203"/>
        <v>2.5</v>
      </c>
      <c r="BB495" s="25">
        <f t="shared" si="204"/>
        <v>0</v>
      </c>
      <c r="BC495" s="25">
        <f t="shared" si="205"/>
        <v>0</v>
      </c>
      <c r="BD495" s="25">
        <f t="shared" si="206"/>
        <v>0</v>
      </c>
      <c r="BE495" s="25">
        <f t="shared" si="207"/>
        <v>0</v>
      </c>
      <c r="BF495" s="25">
        <f t="shared" si="208"/>
        <v>0</v>
      </c>
      <c r="BG495" s="25">
        <f t="shared" si="209"/>
        <v>0</v>
      </c>
      <c r="BH495" s="25">
        <f t="shared" si="210"/>
        <v>0.28235294117647058</v>
      </c>
      <c r="BI495" s="25">
        <f t="shared" si="211"/>
        <v>0</v>
      </c>
      <c r="BJ495" s="25">
        <f t="shared" si="212"/>
        <v>0.11</v>
      </c>
      <c r="BK495" s="25">
        <f t="shared" si="213"/>
        <v>0</v>
      </c>
      <c r="BL495" s="25">
        <f t="shared" si="214"/>
        <v>95625</v>
      </c>
      <c r="BM495" s="25">
        <f t="shared" si="215"/>
        <v>0</v>
      </c>
      <c r="BN495" s="18" t="str">
        <f t="shared" si="221"/>
        <v>Muy alta fuente de proteína</v>
      </c>
      <c r="BO495" s="18" t="str">
        <f t="shared" si="222"/>
        <v>Baja fuente de fibra</v>
      </c>
      <c r="BP495" s="18" t="str">
        <f t="shared" si="223"/>
        <v>Baja fuente de calcio</v>
      </c>
      <c r="BQ495" s="18" t="str">
        <f t="shared" si="224"/>
        <v>Baja fuente de hierro</v>
      </c>
      <c r="BR495" s="18" t="str">
        <f t="shared" si="225"/>
        <v>Bajo en sodio</v>
      </c>
      <c r="BS495" s="6" t="str">
        <f t="shared" si="216"/>
        <v>Proinflamatorio</v>
      </c>
      <c r="BT495" s="6" t="str">
        <f t="shared" si="217"/>
        <v>Muy alto en grasas</v>
      </c>
      <c r="BU495" s="18" t="str">
        <f t="shared" si="226"/>
        <v>Equilibrio de líquidos ideal</v>
      </c>
      <c r="BV495" s="18" t="str">
        <f t="shared" si="227"/>
        <v>Baja fuente de magnesio</v>
      </c>
      <c r="BW495" s="18" t="str">
        <f t="shared" si="228"/>
        <v>Sin aporte de Omega 3</v>
      </c>
      <c r="BX495" s="18" t="str">
        <f t="shared" si="229"/>
        <v>Libre de grasas trans</v>
      </c>
      <c r="BY495" s="18" t="str">
        <f t="shared" si="230"/>
        <v>Bajo poder antioxidante</v>
      </c>
      <c r="BZ495" s="6" t="str">
        <f t="shared" si="218"/>
        <v>Sin probióticos</v>
      </c>
      <c r="CA495" s="18" t="str">
        <f t="shared" si="231"/>
        <v>Altamente inflamatorio</v>
      </c>
      <c r="CB495" s="18" t="str">
        <f>IF(ISNUMBER(SEARCH("miel", D495)), "No irritante (Uso condicionado SII)", IF(OR(J495&gt;0, ISNUMBER(SEARCH("cacao", D495)), ISNUMBER(SEARCH("chocolate puro", D495))), "Altamente irritante", IF(OR(AND(O495&gt;15, BI495&gt;1), ISNUMBER(SEARCH("chocolate", D495))), "Moderadamente irritante", "No irritante")))</f>
        <v>Altamente irritante</v>
      </c>
      <c r="CC495" s="6" t="str">
        <f t="shared" si="219"/>
        <v>Sin Omega 3 para evaluar</v>
      </c>
    </row>
    <row r="496" spans="1:81" ht="15" customHeight="1" x14ac:dyDescent="0.3">
      <c r="A496" s="2">
        <f t="shared" si="220"/>
        <v>495</v>
      </c>
      <c r="B496" s="3" t="s">
        <v>646</v>
      </c>
      <c r="C496" s="3" t="s">
        <v>647</v>
      </c>
      <c r="D496" s="3" t="s">
        <v>650</v>
      </c>
      <c r="E496" s="3"/>
      <c r="F496" s="4">
        <v>1.5</v>
      </c>
      <c r="G496" s="5">
        <v>1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0.1</v>
      </c>
      <c r="R496" s="5">
        <v>0.1</v>
      </c>
      <c r="S496" s="5">
        <v>7.0000000000000007E-2</v>
      </c>
      <c r="T496" s="5">
        <v>5</v>
      </c>
      <c r="U496" s="5">
        <v>0.01</v>
      </c>
      <c r="V496" s="5">
        <v>0</v>
      </c>
      <c r="W496" s="5">
        <v>0.1</v>
      </c>
      <c r="X496" s="5">
        <v>0.3</v>
      </c>
      <c r="Y496" s="5">
        <v>0</v>
      </c>
      <c r="Z496" s="5">
        <v>0</v>
      </c>
      <c r="AA496" s="5">
        <v>0.5</v>
      </c>
      <c r="AB496" s="5">
        <v>399</v>
      </c>
      <c r="AC496" s="5">
        <v>0.2</v>
      </c>
      <c r="AD496" s="5">
        <v>0</v>
      </c>
      <c r="AE496" s="5">
        <v>0</v>
      </c>
      <c r="AF496" s="5">
        <v>99.8</v>
      </c>
      <c r="AG496" s="5">
        <v>0</v>
      </c>
      <c r="AH496" s="5">
        <v>99.8</v>
      </c>
      <c r="AI496" s="5">
        <v>99.8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f>IFERROR(VLOOKUP(IFERROR(VLOOKUP(D496,Mapa_Similitud!$A$2:$B$2000,2,FALSE()),D496),Hoja1!$A$2:$K$1000,2,FALSE()),IFERROR(VLOOKUP(IFERROR(VLOOKUP(D496,Mapa_Similitud!$A$2:$B$2000,2,FALSE()),D496),Omega3_Referencia!$A$2:$E$100,3,FALSE()),0))</f>
        <v>0</v>
      </c>
      <c r="AW496" s="3" t="str">
        <f>IFERROR(VLOOKUP(IFERROR(VLOOKUP(D496,Mapa_Similitud!$A$2:$B$2000,2,FALSE()),D496),Hoja1!$A$2:$K$1000,3,FALSE()),IFERROR(VLOOKUP(IFERROR(VLOOKUP(D496,Mapa_Similitud!$A$2:$B$2000,2,FALSE()),D496),Omega3_Referencia!$A$2:$E$100,4,FALSE()),"N/A"))</f>
        <v>N/A</v>
      </c>
      <c r="AX496" s="5">
        <f>IFERROR(VLOOKUP(IFERROR(VLOOKUP(D496,Mapa_Similitud!$A$2:$B$2000,2,FALSE()),D496),Hoja1!$A$2:$K$1000,5,FALSE()),0)</f>
        <v>0</v>
      </c>
      <c r="AY496" s="5">
        <f>IFERROR(VLOOKUP(IFERROR(VLOOKUP(D496,Mapa_Similitud!$A$2:$B$2000,2,FALSE()),D496),Hoja1!$A$2:$K$1000,7,FALSE()),0)</f>
        <v>0</v>
      </c>
      <c r="AZ496" s="5">
        <f>IFERROR(VLOOKUP(IFERROR(VLOOKUP(D496,Mapa_Similitud!$A$2:$B$2000,2,FALSE()),D496),Hoja1!$A$2:$K$1000,9,FALSE()),0)</f>
        <v>0</v>
      </c>
      <c r="BA496" s="25">
        <f t="shared" si="203"/>
        <v>0</v>
      </c>
      <c r="BB496" s="25">
        <f t="shared" si="204"/>
        <v>0</v>
      </c>
      <c r="BC496" s="25">
        <f t="shared" si="205"/>
        <v>0</v>
      </c>
      <c r="BD496" s="25">
        <f t="shared" si="206"/>
        <v>0</v>
      </c>
      <c r="BE496" s="25">
        <f t="shared" si="207"/>
        <v>0</v>
      </c>
      <c r="BF496" s="25">
        <f t="shared" si="208"/>
        <v>50</v>
      </c>
      <c r="BG496" s="25">
        <f t="shared" si="209"/>
        <v>0</v>
      </c>
      <c r="BH496" s="25">
        <f t="shared" si="210"/>
        <v>1</v>
      </c>
      <c r="BI496" s="25">
        <f t="shared" si="211"/>
        <v>0</v>
      </c>
      <c r="BJ496" s="25">
        <f t="shared" si="212"/>
        <v>0</v>
      </c>
      <c r="BK496" s="25">
        <f t="shared" si="213"/>
        <v>0</v>
      </c>
      <c r="BL496" s="25">
        <f t="shared" si="214"/>
        <v>0</v>
      </c>
      <c r="BM496" s="25">
        <f t="shared" si="215"/>
        <v>0</v>
      </c>
      <c r="BN496" s="18" t="str">
        <f t="shared" si="221"/>
        <v>Baja fuente de proteína</v>
      </c>
      <c r="BO496" s="18" t="str">
        <f t="shared" si="222"/>
        <v>Baja fuente de fibra</v>
      </c>
      <c r="BP496" s="18" t="str">
        <f t="shared" si="223"/>
        <v>Baja fuente de calcio</v>
      </c>
      <c r="BQ496" s="18" t="str">
        <f t="shared" si="224"/>
        <v>Baja fuente de hierro</v>
      </c>
      <c r="BR496" s="18" t="str">
        <f t="shared" si="225"/>
        <v>Bajo en sodio</v>
      </c>
      <c r="BS496" s="6" t="str">
        <f t="shared" si="216"/>
        <v>Altamente antiinflamatorio</v>
      </c>
      <c r="BT496" s="6" t="str">
        <f t="shared" si="217"/>
        <v>Bajo en grasas</v>
      </c>
      <c r="BU496" s="18" t="str">
        <f t="shared" si="226"/>
        <v>Equilibrio de líquidos ideal</v>
      </c>
      <c r="BV496" s="18" t="str">
        <f t="shared" si="227"/>
        <v>Baja fuente de magnesio</v>
      </c>
      <c r="BW496" s="18" t="str">
        <f t="shared" si="228"/>
        <v>Sin aporte de Omega 3</v>
      </c>
      <c r="BX496" s="18" t="str">
        <f t="shared" si="229"/>
        <v>Libre de grasas trans</v>
      </c>
      <c r="BY496" s="18" t="str">
        <f t="shared" si="230"/>
        <v>Bajo poder antioxidante</v>
      </c>
      <c r="BZ496" s="6" t="str">
        <f t="shared" si="218"/>
        <v>Sin probióticos</v>
      </c>
      <c r="CA496" s="18" t="str">
        <f t="shared" si="231"/>
        <v>Poco inflamatorio</v>
      </c>
      <c r="CB496" s="18" t="str">
        <f>IF(ISNUMBER(SEARCH("miel", D496)), "No irritante (Uso condicionado SII)", IF(OR(J496&gt;0, ISNUMBER(SEARCH("cacao", D496)), ISNUMBER(SEARCH("chocolate puro", D496))), "Altamente irritante", IF(OR(AND(O496&gt;15, BI496&gt;1), ISNUMBER(SEARCH("chocolate", D496))), "Moderadamente irritante", "No irritante")))</f>
        <v>No irritante</v>
      </c>
      <c r="CC496" s="6" t="str">
        <f t="shared" si="219"/>
        <v>Sin Omega 3 para evaluar</v>
      </c>
    </row>
    <row r="497" spans="1:81" ht="15" customHeight="1" x14ac:dyDescent="0.3">
      <c r="A497" s="2">
        <f t="shared" si="220"/>
        <v>496</v>
      </c>
      <c r="B497" s="3" t="s">
        <v>646</v>
      </c>
      <c r="C497" s="3" t="s">
        <v>647</v>
      </c>
      <c r="D497" s="3" t="s">
        <v>651</v>
      </c>
      <c r="E497" s="3" t="s">
        <v>652</v>
      </c>
      <c r="F497" s="4">
        <v>1.5</v>
      </c>
      <c r="G497" s="5">
        <v>1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6</v>
      </c>
      <c r="R497" s="5">
        <v>4</v>
      </c>
      <c r="S497" s="5">
        <v>0.05</v>
      </c>
      <c r="T497" s="5">
        <v>0</v>
      </c>
      <c r="U497" s="5">
        <v>0.13</v>
      </c>
      <c r="V497" s="5">
        <v>4</v>
      </c>
      <c r="W497" s="5">
        <v>27</v>
      </c>
      <c r="X497" s="5">
        <v>28</v>
      </c>
      <c r="Y497" s="5">
        <v>0</v>
      </c>
      <c r="Z497" s="5">
        <v>0</v>
      </c>
      <c r="AA497" s="5">
        <v>0.6</v>
      </c>
      <c r="AB497" s="5">
        <v>268</v>
      </c>
      <c r="AC497" s="5">
        <v>32.4</v>
      </c>
      <c r="AD497" s="5">
        <v>0</v>
      </c>
      <c r="AE497" s="5">
        <v>0</v>
      </c>
      <c r="AF497" s="5">
        <v>66.900000000000006</v>
      </c>
      <c r="AG497" s="5">
        <v>20.399999999999999</v>
      </c>
      <c r="AH497" s="5">
        <v>46.6</v>
      </c>
      <c r="AI497" s="5">
        <v>46.6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f>IFERROR(VLOOKUP(IFERROR(VLOOKUP(D497,Mapa_Similitud!$A$2:$B$2000,2,FALSE()),D497),Hoja1!$A$2:$K$1000,2,FALSE()),IFERROR(VLOOKUP(IFERROR(VLOOKUP(D497,Mapa_Similitud!$A$2:$B$2000,2,FALSE()),D497),Omega3_Referencia!$A$2:$E$100,3,FALSE()),0))</f>
        <v>0</v>
      </c>
      <c r="AW497" s="3" t="str">
        <f>IFERROR(VLOOKUP(IFERROR(VLOOKUP(D497,Mapa_Similitud!$A$2:$B$2000,2,FALSE()),D497),Hoja1!$A$2:$K$1000,3,FALSE()),IFERROR(VLOOKUP(IFERROR(VLOOKUP(D497,Mapa_Similitud!$A$2:$B$2000,2,FALSE()),D497),Omega3_Referencia!$A$2:$E$100,4,FALSE()),"N/A"))</f>
        <v>N/A</v>
      </c>
      <c r="AX497" s="5">
        <f>IFERROR(VLOOKUP(IFERROR(VLOOKUP(D497,Mapa_Similitud!$A$2:$B$2000,2,FALSE()),D497),Hoja1!$A$2:$K$1000,5,FALSE()),0)</f>
        <v>0</v>
      </c>
      <c r="AY497" s="5">
        <f>IFERROR(VLOOKUP(IFERROR(VLOOKUP(D497,Mapa_Similitud!$A$2:$B$2000,2,FALSE()),D497),Hoja1!$A$2:$K$1000,7,FALSE()),0)</f>
        <v>0</v>
      </c>
      <c r="AZ497" s="5">
        <f>IFERROR(VLOOKUP(IFERROR(VLOOKUP(D497,Mapa_Similitud!$A$2:$B$2000,2,FALSE()),D497),Hoja1!$A$2:$K$1000,9,FALSE()),0)</f>
        <v>0</v>
      </c>
      <c r="BA497" s="25">
        <f t="shared" si="203"/>
        <v>0</v>
      </c>
      <c r="BB497" s="25">
        <f t="shared" si="204"/>
        <v>0</v>
      </c>
      <c r="BC497" s="25">
        <f t="shared" si="205"/>
        <v>0</v>
      </c>
      <c r="BD497" s="25">
        <f t="shared" si="206"/>
        <v>0</v>
      </c>
      <c r="BE497" s="25">
        <f t="shared" si="207"/>
        <v>0</v>
      </c>
      <c r="BF497" s="25">
        <f t="shared" si="208"/>
        <v>0</v>
      </c>
      <c r="BG497" s="25">
        <f t="shared" si="209"/>
        <v>0</v>
      </c>
      <c r="BH497" s="25">
        <f t="shared" si="210"/>
        <v>0.66666666666666663</v>
      </c>
      <c r="BI497" s="25">
        <f t="shared" si="211"/>
        <v>0</v>
      </c>
      <c r="BJ497" s="25">
        <f t="shared" si="212"/>
        <v>0</v>
      </c>
      <c r="BK497" s="25">
        <f t="shared" si="213"/>
        <v>0</v>
      </c>
      <c r="BL497" s="25">
        <f t="shared" si="214"/>
        <v>0</v>
      </c>
      <c r="BM497" s="25">
        <f t="shared" si="215"/>
        <v>0</v>
      </c>
      <c r="BN497" s="18" t="str">
        <f t="shared" si="221"/>
        <v>Baja fuente de proteína</v>
      </c>
      <c r="BO497" s="18" t="str">
        <f t="shared" si="222"/>
        <v>Baja fuente de fibra</v>
      </c>
      <c r="BP497" s="18" t="str">
        <f t="shared" si="223"/>
        <v>Baja fuente de calcio</v>
      </c>
      <c r="BQ497" s="18" t="str">
        <f t="shared" si="224"/>
        <v>Baja fuente de hierro</v>
      </c>
      <c r="BR497" s="18" t="str">
        <f t="shared" si="225"/>
        <v>Bajo en sodio</v>
      </c>
      <c r="BS497" s="6" t="str">
        <f t="shared" si="216"/>
        <v>Proinflamatorio</v>
      </c>
      <c r="BT497" s="6" t="str">
        <f t="shared" si="217"/>
        <v>Bajo en grasas</v>
      </c>
      <c r="BU497" s="18" t="str">
        <f t="shared" si="226"/>
        <v>Equilibrio de líquidos ideal</v>
      </c>
      <c r="BV497" s="18" t="str">
        <f t="shared" si="227"/>
        <v>Baja fuente de magnesio</v>
      </c>
      <c r="BW497" s="18" t="str">
        <f t="shared" si="228"/>
        <v>Sin aporte de Omega 3</v>
      </c>
      <c r="BX497" s="18" t="str">
        <f t="shared" si="229"/>
        <v>Libre de grasas trans</v>
      </c>
      <c r="BY497" s="18" t="str">
        <f t="shared" si="230"/>
        <v>Bajo poder antioxidante</v>
      </c>
      <c r="BZ497" s="6" t="str">
        <f t="shared" si="218"/>
        <v>Sin probióticos</v>
      </c>
      <c r="CA497" s="18" t="str">
        <f t="shared" si="231"/>
        <v>Poco inflamatorio</v>
      </c>
      <c r="CB497" s="18" t="str">
        <f>IF(ISNUMBER(SEARCH("miel", D497)), "No irritante (Uso condicionado SII)", IF(OR(J497&gt;0, ISNUMBER(SEARCH("cacao", D497)), ISNUMBER(SEARCH("chocolate puro", D497))), "Altamente irritante", IF(OR(AND(O497&gt;15, BI497&gt;1), ISNUMBER(SEARCH("chocolate", D497))), "Moderadamente irritante", "No irritante")))</f>
        <v>No irritante</v>
      </c>
      <c r="CC497" s="6" t="str">
        <f t="shared" si="219"/>
        <v>Sin Omega 3 para evaluar</v>
      </c>
    </row>
    <row r="498" spans="1:81" ht="15" customHeight="1" x14ac:dyDescent="0.3">
      <c r="A498" s="2">
        <f t="shared" si="220"/>
        <v>497</v>
      </c>
      <c r="B498" s="3" t="s">
        <v>646</v>
      </c>
      <c r="C498" s="3" t="s">
        <v>647</v>
      </c>
      <c r="D498" s="3" t="s">
        <v>653</v>
      </c>
      <c r="E498" s="3"/>
      <c r="F498" s="4">
        <v>1.5</v>
      </c>
      <c r="G498" s="5">
        <v>1</v>
      </c>
      <c r="H498" s="5">
        <v>0.02</v>
      </c>
      <c r="I498" s="5">
        <v>0.02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4</v>
      </c>
      <c r="Q498" s="5">
        <v>10</v>
      </c>
      <c r="R498" s="5">
        <v>10</v>
      </c>
      <c r="S498" s="5">
        <v>0.2</v>
      </c>
      <c r="T498" s="5">
        <v>0</v>
      </c>
      <c r="U498" s="5">
        <v>0</v>
      </c>
      <c r="V498" s="5">
        <v>0</v>
      </c>
      <c r="W498" s="5">
        <v>12</v>
      </c>
      <c r="X498" s="5">
        <v>69</v>
      </c>
      <c r="Y498" s="5">
        <v>0</v>
      </c>
      <c r="Z498" s="5">
        <v>0</v>
      </c>
      <c r="AA498" s="5">
        <v>2</v>
      </c>
      <c r="AB498" s="5">
        <v>261</v>
      </c>
      <c r="AC498" s="5">
        <v>34.799999999999997</v>
      </c>
      <c r="AD498" s="5">
        <v>0</v>
      </c>
      <c r="AE498" s="5">
        <v>0.2</v>
      </c>
      <c r="AF498" s="5">
        <v>65</v>
      </c>
      <c r="AG498" s="5">
        <v>0</v>
      </c>
      <c r="AH498" s="5">
        <v>64</v>
      </c>
      <c r="AI498" s="5">
        <v>64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0.5</v>
      </c>
      <c r="AQ498" s="5">
        <v>0</v>
      </c>
      <c r="AR498" s="5">
        <v>3</v>
      </c>
      <c r="AS498" s="5">
        <v>0</v>
      </c>
      <c r="AT498" s="5">
        <v>0</v>
      </c>
      <c r="AU498" s="5">
        <v>0</v>
      </c>
      <c r="AV498" s="5">
        <f>IFERROR(VLOOKUP(IFERROR(VLOOKUP(D498,Mapa_Similitud!$A$2:$B$2000,2,FALSE()),D498),Hoja1!$A$2:$K$1000,2,FALSE()),IFERROR(VLOOKUP(IFERROR(VLOOKUP(D498,Mapa_Similitud!$A$2:$B$2000,2,FALSE()),D498),Omega3_Referencia!$A$2:$E$100,3,FALSE()),0))</f>
        <v>0</v>
      </c>
      <c r="AW498" s="3" t="str">
        <f>IFERROR(VLOOKUP(IFERROR(VLOOKUP(D498,Mapa_Similitud!$A$2:$B$2000,2,FALSE()),D498),Hoja1!$A$2:$K$1000,3,FALSE()),IFERROR(VLOOKUP(IFERROR(VLOOKUP(D498,Mapa_Similitud!$A$2:$B$2000,2,FALSE()),D498),Omega3_Referencia!$A$2:$E$100,4,FALSE()),"N/A"))</f>
        <v>N/A</v>
      </c>
      <c r="AX498" s="5">
        <f>IFERROR(VLOOKUP(IFERROR(VLOOKUP(D498,Mapa_Similitud!$A$2:$B$2000,2,FALSE()),D498),Hoja1!$A$2:$K$1000,5,FALSE()),0)</f>
        <v>0</v>
      </c>
      <c r="AY498" s="5">
        <f>IFERROR(VLOOKUP(IFERROR(VLOOKUP(D498,Mapa_Similitud!$A$2:$B$2000,2,FALSE()),D498),Hoja1!$A$2:$K$1000,7,FALSE()),0)</f>
        <v>5</v>
      </c>
      <c r="AZ498" s="5">
        <f>IFERROR(VLOOKUP(IFERROR(VLOOKUP(D498,Mapa_Similitud!$A$2:$B$2000,2,FALSE()),D498),Hoja1!$A$2:$K$1000,9,FALSE()),0)</f>
        <v>0</v>
      </c>
      <c r="BA498" s="25">
        <f t="shared" si="203"/>
        <v>0</v>
      </c>
      <c r="BB498" s="25">
        <f t="shared" si="204"/>
        <v>200</v>
      </c>
      <c r="BC498" s="25">
        <f t="shared" si="205"/>
        <v>0</v>
      </c>
      <c r="BD498" s="25">
        <f t="shared" si="206"/>
        <v>0</v>
      </c>
      <c r="BE498" s="25">
        <f t="shared" si="207"/>
        <v>0</v>
      </c>
      <c r="BF498" s="25">
        <f t="shared" si="208"/>
        <v>0</v>
      </c>
      <c r="BG498" s="25">
        <f t="shared" si="209"/>
        <v>0</v>
      </c>
      <c r="BH498" s="25">
        <f t="shared" si="210"/>
        <v>1</v>
      </c>
      <c r="BI498" s="25">
        <f t="shared" si="211"/>
        <v>0</v>
      </c>
      <c r="BJ498" s="25">
        <f t="shared" si="212"/>
        <v>0</v>
      </c>
      <c r="BK498" s="25">
        <f t="shared" si="213"/>
        <v>0</v>
      </c>
      <c r="BL498" s="25">
        <f t="shared" si="214"/>
        <v>4500</v>
      </c>
      <c r="BM498" s="25">
        <f t="shared" si="215"/>
        <v>25</v>
      </c>
      <c r="BN498" s="18" t="str">
        <f t="shared" si="221"/>
        <v>Baja fuente de proteína</v>
      </c>
      <c r="BO498" s="18" t="str">
        <f t="shared" si="222"/>
        <v>Alta fuente de fibra</v>
      </c>
      <c r="BP498" s="18" t="str">
        <f t="shared" si="223"/>
        <v>Baja fuente de calcio</v>
      </c>
      <c r="BQ498" s="18" t="str">
        <f t="shared" si="224"/>
        <v>Baja fuente de hierro</v>
      </c>
      <c r="BR498" s="18" t="str">
        <f t="shared" si="225"/>
        <v>Bajo en sodio</v>
      </c>
      <c r="BS498" s="6" t="str">
        <f t="shared" si="216"/>
        <v>Proinflamatorio</v>
      </c>
      <c r="BT498" s="6" t="str">
        <f t="shared" si="217"/>
        <v>Muy alto en grasas</v>
      </c>
      <c r="BU498" s="18" t="str">
        <f t="shared" si="226"/>
        <v>Equilibrio de líquidos ideal</v>
      </c>
      <c r="BV498" s="18" t="str">
        <f t="shared" si="227"/>
        <v>Alta fuente de magnesio</v>
      </c>
      <c r="BW498" s="18" t="str">
        <f t="shared" si="228"/>
        <v>Sin aporte de Omega 3</v>
      </c>
      <c r="BX498" s="18" t="str">
        <f t="shared" si="229"/>
        <v>Libre de grasas trans</v>
      </c>
      <c r="BY498" s="18" t="str">
        <f t="shared" si="230"/>
        <v>Bajo poder antioxidante</v>
      </c>
      <c r="BZ498" s="6" t="str">
        <f t="shared" si="218"/>
        <v>Sin probióticos</v>
      </c>
      <c r="CA498" s="18" t="str">
        <f t="shared" si="231"/>
        <v>Poco inflamatorio</v>
      </c>
      <c r="CB498" s="18" t="str">
        <f>IF(ISNUMBER(SEARCH("miel", D498)), "No irritante (Uso condicionado SII)", IF(OR(J498&gt;0, ISNUMBER(SEARCH("cacao", D498)), ISNUMBER(SEARCH("chocolate puro", D498))), "Altamente irritante", IF(OR(AND(O498&gt;15, BI498&gt;1), ISNUMBER(SEARCH("chocolate", D498))), "Moderadamente irritante", "No irritante")))</f>
        <v>No irritante</v>
      </c>
      <c r="CC498" s="6" t="str">
        <f t="shared" si="219"/>
        <v>Sin Omega 3 para evaluar</v>
      </c>
    </row>
    <row r="499" spans="1:81" ht="15" customHeight="1" x14ac:dyDescent="0.3">
      <c r="A499" s="2">
        <f t="shared" si="220"/>
        <v>498</v>
      </c>
      <c r="B499" s="3" t="s">
        <v>646</v>
      </c>
      <c r="C499" s="3" t="s">
        <v>647</v>
      </c>
      <c r="D499" s="3" t="s">
        <v>654</v>
      </c>
      <c r="E499" s="3"/>
      <c r="F499" s="4">
        <v>1.5</v>
      </c>
      <c r="G499" s="5">
        <v>1</v>
      </c>
      <c r="H499" s="5">
        <v>0</v>
      </c>
      <c r="I499" s="5">
        <v>0.01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74</v>
      </c>
      <c r="R499" s="5">
        <v>2</v>
      </c>
      <c r="S499" s="5">
        <v>2.5</v>
      </c>
      <c r="T499" s="5">
        <v>5</v>
      </c>
      <c r="U499" s="5">
        <v>0.1</v>
      </c>
      <c r="V499" s="5">
        <v>34</v>
      </c>
      <c r="W499" s="5">
        <v>50</v>
      </c>
      <c r="X499" s="5">
        <v>220</v>
      </c>
      <c r="Y499" s="5">
        <v>0</v>
      </c>
      <c r="Z499" s="5">
        <v>0</v>
      </c>
      <c r="AA499" s="5">
        <v>1</v>
      </c>
      <c r="AB499" s="5">
        <v>297</v>
      </c>
      <c r="AC499" s="5">
        <v>25.8</v>
      </c>
      <c r="AD499" s="5">
        <v>0</v>
      </c>
      <c r="AE499" s="5">
        <v>0.1</v>
      </c>
      <c r="AF499" s="5">
        <v>74.099999999999994</v>
      </c>
      <c r="AG499" s="5">
        <v>0</v>
      </c>
      <c r="AH499" s="5">
        <v>74.099999999999994</v>
      </c>
      <c r="AI499" s="5">
        <v>74.099999999999994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f>IFERROR(VLOOKUP(IFERROR(VLOOKUP(D499,Mapa_Similitud!$A$2:$B$2000,2,FALSE()),D499),Hoja1!$A$2:$K$1000,2,FALSE()),IFERROR(VLOOKUP(IFERROR(VLOOKUP(D499,Mapa_Similitud!$A$2:$B$2000,2,FALSE()),D499),Omega3_Referencia!$A$2:$E$100,3,FALSE()),0))</f>
        <v>0</v>
      </c>
      <c r="AW499" s="3" t="str">
        <f>IFERROR(VLOOKUP(IFERROR(VLOOKUP(D499,Mapa_Similitud!$A$2:$B$2000,2,FALSE()),D499),Hoja1!$A$2:$K$1000,3,FALSE()),IFERROR(VLOOKUP(IFERROR(VLOOKUP(D499,Mapa_Similitud!$A$2:$B$2000,2,FALSE()),D499),Omega3_Referencia!$A$2:$E$100,4,FALSE()),"N/A"))</f>
        <v>N/A</v>
      </c>
      <c r="AX499" s="5">
        <f>IFERROR(VLOOKUP(IFERROR(VLOOKUP(D499,Mapa_Similitud!$A$2:$B$2000,2,FALSE()),D499),Hoja1!$A$2:$K$1000,5,FALSE()),0)</f>
        <v>0</v>
      </c>
      <c r="AY499" s="5">
        <f>IFERROR(VLOOKUP(IFERROR(VLOOKUP(D499,Mapa_Similitud!$A$2:$B$2000,2,FALSE()),D499),Hoja1!$A$2:$K$1000,7,FALSE()),0)</f>
        <v>0</v>
      </c>
      <c r="AZ499" s="5">
        <f>IFERROR(VLOOKUP(IFERROR(VLOOKUP(D499,Mapa_Similitud!$A$2:$B$2000,2,FALSE()),D499),Hoja1!$A$2:$K$1000,9,FALSE()),0)</f>
        <v>0</v>
      </c>
      <c r="BA499" s="25">
        <f t="shared" si="203"/>
        <v>0</v>
      </c>
      <c r="BB499" s="25">
        <f t="shared" si="204"/>
        <v>0</v>
      </c>
      <c r="BC499" s="25">
        <f t="shared" si="205"/>
        <v>0</v>
      </c>
      <c r="BD499" s="25">
        <f t="shared" si="206"/>
        <v>0</v>
      </c>
      <c r="BE499" s="25">
        <f t="shared" si="207"/>
        <v>0</v>
      </c>
      <c r="BF499" s="25">
        <f t="shared" si="208"/>
        <v>2.5</v>
      </c>
      <c r="BG499" s="25">
        <f t="shared" si="209"/>
        <v>0</v>
      </c>
      <c r="BH499" s="25">
        <f t="shared" si="210"/>
        <v>2.7027027027027029E-2</v>
      </c>
      <c r="BI499" s="25">
        <f t="shared" si="211"/>
        <v>0</v>
      </c>
      <c r="BJ499" s="25">
        <f t="shared" si="212"/>
        <v>0</v>
      </c>
      <c r="BK499" s="25">
        <f t="shared" si="213"/>
        <v>0</v>
      </c>
      <c r="BL499" s="25">
        <f t="shared" si="214"/>
        <v>0</v>
      </c>
      <c r="BM499" s="25">
        <f t="shared" si="215"/>
        <v>0</v>
      </c>
      <c r="BN499" s="18" t="str">
        <f t="shared" si="221"/>
        <v>Baja fuente de proteína</v>
      </c>
      <c r="BO499" s="18" t="str">
        <f t="shared" si="222"/>
        <v>Baja fuente de fibra</v>
      </c>
      <c r="BP499" s="18" t="str">
        <f t="shared" si="223"/>
        <v>Baja fuente de calcio</v>
      </c>
      <c r="BQ499" s="18" t="str">
        <f t="shared" si="224"/>
        <v>Baja fuente de hierro</v>
      </c>
      <c r="BR499" s="18" t="str">
        <f t="shared" si="225"/>
        <v>Bajo en sodio</v>
      </c>
      <c r="BS499" s="6" t="str">
        <f t="shared" si="216"/>
        <v>Altamente antiinflamatorio</v>
      </c>
      <c r="BT499" s="6" t="str">
        <f t="shared" si="217"/>
        <v>Bajo en grasas</v>
      </c>
      <c r="BU499" s="18" t="str">
        <f t="shared" si="226"/>
        <v>Equilibrio de líquidos ideal</v>
      </c>
      <c r="BV499" s="18" t="str">
        <f t="shared" si="227"/>
        <v>Baja fuente de magnesio</v>
      </c>
      <c r="BW499" s="18" t="str">
        <f t="shared" si="228"/>
        <v>Sin aporte de Omega 3</v>
      </c>
      <c r="BX499" s="18" t="str">
        <f t="shared" si="229"/>
        <v>Libre de grasas trans</v>
      </c>
      <c r="BY499" s="18" t="str">
        <f t="shared" si="230"/>
        <v>Bajo poder antioxidante</v>
      </c>
      <c r="BZ499" s="6" t="str">
        <f t="shared" si="218"/>
        <v>Sin probióticos</v>
      </c>
      <c r="CA499" s="18" t="str">
        <f t="shared" si="231"/>
        <v>Poco inflamatorio</v>
      </c>
      <c r="CB499" s="18" t="str">
        <f>IF(ISNUMBER(SEARCH("miel", D499)), "No irritante (Uso condicionado SII)", IF(OR(J499&gt;0, ISNUMBER(SEARCH("cacao", D499)), ISNUMBER(SEARCH("chocolate puro", D499))), "Altamente irritante", IF(OR(AND(O499&gt;15, BI499&gt;1), ISNUMBER(SEARCH("chocolate", D499))), "Moderadamente irritante", "No irritante")))</f>
        <v>No irritante</v>
      </c>
      <c r="CC499" s="6" t="str">
        <f t="shared" si="219"/>
        <v>Sin Omega 3 para evaluar</v>
      </c>
    </row>
    <row r="500" spans="1:81" ht="15" customHeight="1" x14ac:dyDescent="0.3">
      <c r="A500" s="2">
        <f t="shared" si="220"/>
        <v>499</v>
      </c>
      <c r="B500" s="3" t="s">
        <v>646</v>
      </c>
      <c r="C500" s="3" t="s">
        <v>647</v>
      </c>
      <c r="D500" s="3" t="s">
        <v>655</v>
      </c>
      <c r="E500" s="3"/>
      <c r="F500" s="4">
        <v>1.5</v>
      </c>
      <c r="G500" s="5">
        <v>1</v>
      </c>
      <c r="H500" s="5">
        <v>3.0000000000000001E-3</v>
      </c>
      <c r="I500" s="5">
        <v>0.05</v>
      </c>
      <c r="J500" s="5">
        <v>0.28000000000000003</v>
      </c>
      <c r="K500" s="5">
        <v>0.16</v>
      </c>
      <c r="L500" s="5">
        <v>5</v>
      </c>
      <c r="M500" s="5">
        <v>0</v>
      </c>
      <c r="N500" s="5">
        <v>7.0000000000000007E-2</v>
      </c>
      <c r="O500" s="5">
        <v>0</v>
      </c>
      <c r="P500" s="5">
        <v>2.4</v>
      </c>
      <c r="Q500" s="5">
        <v>5.9</v>
      </c>
      <c r="R500" s="5">
        <v>4.9000000000000004</v>
      </c>
      <c r="S500" s="5">
        <v>1.3</v>
      </c>
      <c r="T500" s="5">
        <v>0.5</v>
      </c>
      <c r="U500" s="5">
        <v>0.35</v>
      </c>
      <c r="V500" s="5">
        <v>1.7</v>
      </c>
      <c r="W500" s="5">
        <v>2.4</v>
      </c>
      <c r="X500" s="5">
        <v>45</v>
      </c>
      <c r="Y500" s="5">
        <v>0.03</v>
      </c>
      <c r="Z500" s="5">
        <v>0.09</v>
      </c>
      <c r="AA500" s="5">
        <v>4.7</v>
      </c>
      <c r="AB500" s="5">
        <v>302</v>
      </c>
      <c r="AC500" s="5">
        <v>24.5</v>
      </c>
      <c r="AD500" s="5">
        <v>0</v>
      </c>
      <c r="AE500" s="5">
        <v>0.38</v>
      </c>
      <c r="AF500" s="5">
        <v>75.099999999999994</v>
      </c>
      <c r="AG500" s="5">
        <v>0</v>
      </c>
      <c r="AH500" s="5">
        <v>75.099999999999994</v>
      </c>
      <c r="AI500" s="5">
        <v>75.099999999999994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25</v>
      </c>
      <c r="AV500" s="5">
        <f>IFERROR(VLOOKUP(IFERROR(VLOOKUP(D500,Mapa_Similitud!$A$2:$B$2000,2,FALSE()),D500),Hoja1!$A$2:$K$1000,2,FALSE()),IFERROR(VLOOKUP(IFERROR(VLOOKUP(D500,Mapa_Similitud!$A$2:$B$2000,2,FALSE()),D500),Omega3_Referencia!$A$2:$E$100,3,FALSE()),0))</f>
        <v>0</v>
      </c>
      <c r="AW500" s="3" t="str">
        <f>IFERROR(VLOOKUP(IFERROR(VLOOKUP(D500,Mapa_Similitud!$A$2:$B$2000,2,FALSE()),D500),Hoja1!$A$2:$K$1000,3,FALSE()),IFERROR(VLOOKUP(IFERROR(VLOOKUP(D500,Mapa_Similitud!$A$2:$B$2000,2,FALSE()),D500),Omega3_Referencia!$A$2:$E$100,4,FALSE()),"N/A"))</f>
        <v>N/A</v>
      </c>
      <c r="AX500" s="5">
        <f>IFERROR(VLOOKUP(IFERROR(VLOOKUP(D500,Mapa_Similitud!$A$2:$B$2000,2,FALSE()),D500),Hoja1!$A$2:$K$1000,5,FALSE()),0)</f>
        <v>0</v>
      </c>
      <c r="AY500" s="5">
        <f>IFERROR(VLOOKUP(IFERROR(VLOOKUP(D500,Mapa_Similitud!$A$2:$B$2000,2,FALSE()),D500),Hoja1!$A$2:$K$1000,7,FALSE()),0)</f>
        <v>5</v>
      </c>
      <c r="AZ500" s="5">
        <f>IFERROR(VLOOKUP(IFERROR(VLOOKUP(D500,Mapa_Similitud!$A$2:$B$2000,2,FALSE()),D500),Hoja1!$A$2:$K$1000,9,FALSE()),0)</f>
        <v>0</v>
      </c>
      <c r="BA500" s="25">
        <f t="shared" si="203"/>
        <v>53.333333333333336</v>
      </c>
      <c r="BB500" s="25">
        <f t="shared" si="204"/>
        <v>800</v>
      </c>
      <c r="BC500" s="25">
        <f t="shared" si="205"/>
        <v>0</v>
      </c>
      <c r="BD500" s="25">
        <f t="shared" si="206"/>
        <v>0</v>
      </c>
      <c r="BE500" s="25">
        <f t="shared" si="207"/>
        <v>0</v>
      </c>
      <c r="BF500" s="25">
        <f t="shared" si="208"/>
        <v>0.1020408163265306</v>
      </c>
      <c r="BG500" s="25">
        <f t="shared" si="209"/>
        <v>0</v>
      </c>
      <c r="BH500" s="25">
        <f t="shared" si="210"/>
        <v>0.83050847457627119</v>
      </c>
      <c r="BI500" s="25">
        <f t="shared" si="211"/>
        <v>0</v>
      </c>
      <c r="BJ500" s="25">
        <f t="shared" si="212"/>
        <v>1.4000000000000002E-2</v>
      </c>
      <c r="BK500" s="25">
        <f t="shared" si="213"/>
        <v>0.48</v>
      </c>
      <c r="BL500" s="25">
        <f t="shared" si="214"/>
        <v>17700</v>
      </c>
      <c r="BM500" s="25">
        <f t="shared" si="215"/>
        <v>0</v>
      </c>
      <c r="BN500" s="18" t="str">
        <f t="shared" si="221"/>
        <v>Muy alta fuente de proteína</v>
      </c>
      <c r="BO500" s="18" t="str">
        <f t="shared" si="222"/>
        <v>Alta fuente de fibra</v>
      </c>
      <c r="BP500" s="18" t="str">
        <f t="shared" si="223"/>
        <v>Baja fuente de calcio</v>
      </c>
      <c r="BQ500" s="18" t="str">
        <f t="shared" si="224"/>
        <v>Baja fuente de hierro</v>
      </c>
      <c r="BR500" s="18" t="str">
        <f t="shared" si="225"/>
        <v>Bajo en sodio</v>
      </c>
      <c r="BS500" s="6" t="str">
        <f t="shared" si="216"/>
        <v>Proinflamatorio</v>
      </c>
      <c r="BT500" s="6" t="str">
        <f t="shared" si="217"/>
        <v>Muy alto en grasas</v>
      </c>
      <c r="BU500" s="18" t="str">
        <f t="shared" si="226"/>
        <v>Equilibrio de líquidos ideal</v>
      </c>
      <c r="BV500" s="18" t="str">
        <f t="shared" si="227"/>
        <v>Baja fuente de magnesio</v>
      </c>
      <c r="BW500" s="18" t="str">
        <f t="shared" si="228"/>
        <v>Sin aporte de Omega 3</v>
      </c>
      <c r="BX500" s="18" t="str">
        <f t="shared" si="229"/>
        <v>Libre de grasas trans</v>
      </c>
      <c r="BY500" s="18" t="str">
        <f t="shared" si="230"/>
        <v>Bajo poder antioxidante</v>
      </c>
      <c r="BZ500" s="6" t="str">
        <f t="shared" si="218"/>
        <v>Sin probióticos</v>
      </c>
      <c r="CA500" s="18" t="str">
        <f t="shared" si="231"/>
        <v>Altamente inflamatorio</v>
      </c>
      <c r="CB500" s="18" t="str">
        <f>IF(ISNUMBER(SEARCH("miel", D500)), "No irritante (Uso condicionado SII)", IF(OR(J500&gt;0, ISNUMBER(SEARCH("cacao", D500)), ISNUMBER(SEARCH("chocolate puro", D500))), "Altamente irritante", IF(OR(AND(O500&gt;15, BI500&gt;1), ISNUMBER(SEARCH("chocolate", D500))), "Moderadamente irritante", "No irritante")))</f>
        <v>No irritante (Uso condicionado SII)</v>
      </c>
      <c r="CC500" s="6" t="str">
        <f t="shared" si="219"/>
        <v>Sin Omega 3 para evaluar</v>
      </c>
    </row>
    <row r="501" spans="1:81" ht="15" customHeight="1" x14ac:dyDescent="0.3">
      <c r="A501" s="2">
        <f t="shared" si="220"/>
        <v>500</v>
      </c>
      <c r="B501" s="3" t="s">
        <v>646</v>
      </c>
      <c r="C501" s="3" t="s">
        <v>656</v>
      </c>
      <c r="D501" s="3" t="s">
        <v>657</v>
      </c>
      <c r="E501" s="3"/>
      <c r="F501" s="4">
        <v>1.5</v>
      </c>
      <c r="G501" s="5">
        <v>1</v>
      </c>
      <c r="H501" s="5">
        <v>7.5999999999999998E-2</v>
      </c>
      <c r="I501" s="5">
        <v>0.12</v>
      </c>
      <c r="J501" s="5">
        <v>1.2</v>
      </c>
      <c r="K501" s="5">
        <v>0.01</v>
      </c>
      <c r="L501" s="5">
        <v>107</v>
      </c>
      <c r="M501" s="5">
        <v>0</v>
      </c>
      <c r="N501" s="5">
        <v>0.82</v>
      </c>
      <c r="O501" s="5">
        <v>0</v>
      </c>
      <c r="P501" s="5">
        <v>0.5</v>
      </c>
      <c r="Q501" s="5">
        <v>140</v>
      </c>
      <c r="R501" s="5">
        <v>690</v>
      </c>
      <c r="S501" s="5">
        <v>48.5</v>
      </c>
      <c r="T501" s="5">
        <v>3.1</v>
      </c>
      <c r="U501" s="5">
        <v>6.4</v>
      </c>
      <c r="V501" s="5">
        <v>500</v>
      </c>
      <c r="W501" s="5">
        <v>45</v>
      </c>
      <c r="X501" s="5">
        <v>3900</v>
      </c>
      <c r="Y501" s="5">
        <v>4.0999999999999996</v>
      </c>
      <c r="Z501" s="5">
        <v>3.9</v>
      </c>
      <c r="AA501" s="5">
        <v>16.7</v>
      </c>
      <c r="AB501" s="5">
        <v>387</v>
      </c>
      <c r="AC501" s="5">
        <v>15.9</v>
      </c>
      <c r="AD501" s="5">
        <v>0</v>
      </c>
      <c r="AE501" s="5">
        <v>22.4</v>
      </c>
      <c r="AF501" s="5">
        <v>11.6</v>
      </c>
      <c r="AG501" s="5">
        <v>8.5</v>
      </c>
      <c r="AH501" s="5">
        <v>0.9</v>
      </c>
      <c r="AI501" s="5">
        <v>0</v>
      </c>
      <c r="AJ501" s="5">
        <v>29.5</v>
      </c>
      <c r="AK501" s="5">
        <v>20.6</v>
      </c>
      <c r="AL501" s="5">
        <v>12.4</v>
      </c>
      <c r="AM501" s="5">
        <v>6.7</v>
      </c>
      <c r="AN501" s="5">
        <v>0.62</v>
      </c>
      <c r="AO501" s="5">
        <v>0</v>
      </c>
      <c r="AP501" s="5">
        <v>0</v>
      </c>
      <c r="AQ501" s="5">
        <v>0</v>
      </c>
      <c r="AR501" s="5">
        <v>0</v>
      </c>
      <c r="AS501" s="5">
        <v>2.7</v>
      </c>
      <c r="AT501" s="5">
        <v>0.61</v>
      </c>
      <c r="AU501" s="5">
        <v>3.9</v>
      </c>
      <c r="AV501" s="5">
        <f>IFERROR(VLOOKUP(IFERROR(VLOOKUP(D501,Mapa_Similitud!$A$2:$B$2000,2,FALSE()),D501),Hoja1!$A$2:$K$1000,2,FALSE()),IFERROR(VLOOKUP(IFERROR(VLOOKUP(D501,Mapa_Similitud!$A$2:$B$2000,2,FALSE()),D501),Omega3_Referencia!$A$2:$E$100,3,FALSE()),0))</f>
        <v>0.01</v>
      </c>
      <c r="AW501" s="3" t="str">
        <f>IFERROR(VLOOKUP(IFERROR(VLOOKUP(D501,Mapa_Similitud!$A$2:$B$2000,2,FALSE()),D501),Hoja1!$A$2:$K$1000,3,FALSE()),IFERROR(VLOOKUP(IFERROR(VLOOKUP(D501,Mapa_Similitud!$A$2:$B$2000,2,FALSE()),D501),Omega3_Referencia!$A$2:$E$100,4,FALSE()),"N/A"))</f>
        <v>ALA</v>
      </c>
      <c r="AX501" s="5">
        <f>IFERROR(VLOOKUP(IFERROR(VLOOKUP(D501,Mapa_Similitud!$A$2:$B$2000,2,FALSE()),D501),Hoja1!$A$2:$K$1000,5,FALSE()),0)</f>
        <v>0</v>
      </c>
      <c r="AY501" s="5">
        <f>IFERROR(VLOOKUP(IFERROR(VLOOKUP(D501,Mapa_Similitud!$A$2:$B$2000,2,FALSE()),D501),Hoja1!$A$2:$K$1000,7,FALSE()),0)</f>
        <v>1200</v>
      </c>
      <c r="AZ501" s="5">
        <f>IFERROR(VLOOKUP(IFERROR(VLOOKUP(D501,Mapa_Similitud!$A$2:$B$2000,2,FALSE()),D501),Hoja1!$A$2:$K$1000,9,FALSE()),0)</f>
        <v>0</v>
      </c>
      <c r="BA501" s="25">
        <f t="shared" si="203"/>
        <v>0.13157894736842105</v>
      </c>
      <c r="BB501" s="25">
        <f t="shared" si="204"/>
        <v>6.5789473684210531</v>
      </c>
      <c r="BC501" s="25">
        <f t="shared" si="205"/>
        <v>271.0526315789474</v>
      </c>
      <c r="BD501" s="25">
        <f t="shared" si="206"/>
        <v>88.15789473684211</v>
      </c>
      <c r="BE501" s="25">
        <f t="shared" si="207"/>
        <v>0</v>
      </c>
      <c r="BF501" s="25">
        <f t="shared" si="208"/>
        <v>4.4927536231884058E-3</v>
      </c>
      <c r="BG501" s="25">
        <f t="shared" si="209"/>
        <v>1.6612903225806452</v>
      </c>
      <c r="BH501" s="25">
        <f t="shared" si="210"/>
        <v>4.9285714285714288</v>
      </c>
      <c r="BI501" s="25">
        <f t="shared" si="211"/>
        <v>0</v>
      </c>
      <c r="BJ501" s="25">
        <f t="shared" si="212"/>
        <v>7.6635514018691588E-3</v>
      </c>
      <c r="BK501" s="25">
        <f t="shared" si="213"/>
        <v>4.6728971962616819E-3</v>
      </c>
      <c r="BL501" s="25">
        <f t="shared" si="214"/>
        <v>16578.947368421053</v>
      </c>
      <c r="BM501" s="25">
        <f t="shared" si="215"/>
        <v>0</v>
      </c>
      <c r="BN501" s="18" t="str">
        <f t="shared" si="221"/>
        <v>Media fuente de proteína</v>
      </c>
      <c r="BO501" s="18" t="str">
        <f t="shared" si="222"/>
        <v>Alta fuente de fibra</v>
      </c>
      <c r="BP501" s="18" t="str">
        <f t="shared" si="223"/>
        <v>Alta fuente de calcio</v>
      </c>
      <c r="BQ501" s="18" t="str">
        <f t="shared" si="224"/>
        <v>Alta fuente de hierro</v>
      </c>
      <c r="BR501" s="18" t="str">
        <f t="shared" si="225"/>
        <v>Bajo en sodio</v>
      </c>
      <c r="BS501" s="6" t="str">
        <f t="shared" si="216"/>
        <v>Proinflamatorio</v>
      </c>
      <c r="BT501" s="6" t="str">
        <f t="shared" si="217"/>
        <v>Muy alto en grasas</v>
      </c>
      <c r="BU501" s="18" t="str">
        <f t="shared" si="226"/>
        <v>Equilibrio de líquidos ideal</v>
      </c>
      <c r="BV501" s="18" t="str">
        <f t="shared" si="227"/>
        <v>Baja fuente de magnesio</v>
      </c>
      <c r="BW501" s="18" t="str">
        <f t="shared" si="228"/>
        <v>Sin aporte de Omega 3</v>
      </c>
      <c r="BX501" s="18" t="str">
        <f t="shared" si="229"/>
        <v>Libre de grasas trans</v>
      </c>
      <c r="BY501" s="18" t="str">
        <f t="shared" si="230"/>
        <v>Alto poder antioxidante</v>
      </c>
      <c r="BZ501" s="6" t="str">
        <f t="shared" si="218"/>
        <v>Sin probióticos</v>
      </c>
      <c r="CA501" s="18" t="str">
        <f t="shared" si="231"/>
        <v>Altamente inflamatorio</v>
      </c>
      <c r="CB501" s="18" t="str">
        <f>IF(ISNUMBER(SEARCH("miel", D501)), "No irritante (Uso condicionado SII)", IF(OR(J501&gt;0, ISNUMBER(SEARCH("cacao", D501)), ISNUMBER(SEARCH("chocolate puro", D501))), "Altamente irritante", IF(OR(AND(O501&gt;15, BI501&gt;1), ISNUMBER(SEARCH("chocolate", D501))), "Moderadamente irritante", "No irritante")))</f>
        <v>Altamente irritante</v>
      </c>
      <c r="CC501" s="6" t="str">
        <f t="shared" si="219"/>
        <v>Exceso relativo de Omega 6</v>
      </c>
    </row>
    <row r="502" spans="1:81" ht="15" customHeight="1" x14ac:dyDescent="0.3">
      <c r="A502" s="2">
        <f t="shared" si="220"/>
        <v>501</v>
      </c>
      <c r="B502" s="3" t="s">
        <v>646</v>
      </c>
      <c r="C502" s="3" t="s">
        <v>656</v>
      </c>
      <c r="D502" s="3" t="s">
        <v>658</v>
      </c>
      <c r="E502" s="3"/>
      <c r="F502" s="4">
        <v>1.5</v>
      </c>
      <c r="G502" s="5">
        <v>1</v>
      </c>
      <c r="H502" s="5">
        <v>0.1</v>
      </c>
      <c r="I502" s="5">
        <v>0.56000000000000005</v>
      </c>
      <c r="J502" s="5">
        <v>3.1</v>
      </c>
      <c r="K502" s="5">
        <v>0.11</v>
      </c>
      <c r="L502" s="5">
        <v>15</v>
      </c>
      <c r="M502" s="5">
        <v>1.3</v>
      </c>
      <c r="N502" s="5">
        <v>0.89</v>
      </c>
      <c r="O502" s="5">
        <v>20</v>
      </c>
      <c r="P502" s="5">
        <v>1.8</v>
      </c>
      <c r="Q502" s="5">
        <v>141</v>
      </c>
      <c r="R502" s="5">
        <v>315</v>
      </c>
      <c r="S502" s="5">
        <v>1.2</v>
      </c>
      <c r="T502" s="5">
        <v>3.1</v>
      </c>
      <c r="U502" s="5">
        <v>1.5</v>
      </c>
      <c r="V502" s="5">
        <v>83</v>
      </c>
      <c r="W502" s="5">
        <v>504</v>
      </c>
      <c r="X502" s="5">
        <v>712</v>
      </c>
      <c r="Y502" s="5">
        <v>0.27</v>
      </c>
      <c r="Z502" s="5">
        <v>0.28999999999999998</v>
      </c>
      <c r="AA502" s="5">
        <v>5</v>
      </c>
      <c r="AB502" s="5">
        <v>391</v>
      </c>
      <c r="AC502" s="5">
        <v>1.5</v>
      </c>
      <c r="AD502" s="5">
        <v>0</v>
      </c>
      <c r="AE502" s="5">
        <v>5.9</v>
      </c>
      <c r="AF502" s="5">
        <v>81</v>
      </c>
      <c r="AG502" s="5">
        <v>6.7</v>
      </c>
      <c r="AH502" s="5">
        <v>74.3</v>
      </c>
      <c r="AI502" s="5">
        <v>73.400000000000006</v>
      </c>
      <c r="AJ502" s="5">
        <v>3.5</v>
      </c>
      <c r="AK502" s="5">
        <v>4</v>
      </c>
      <c r="AL502" s="5">
        <v>2.5</v>
      </c>
      <c r="AM502" s="5">
        <v>1.3</v>
      </c>
      <c r="AN502" s="5">
        <v>0.12</v>
      </c>
      <c r="AO502" s="5">
        <v>6</v>
      </c>
      <c r="AP502" s="5">
        <v>1</v>
      </c>
      <c r="AQ502" s="5">
        <v>1</v>
      </c>
      <c r="AR502" s="5">
        <v>0</v>
      </c>
      <c r="AS502" s="5">
        <v>0</v>
      </c>
      <c r="AT502" s="5">
        <v>0.53</v>
      </c>
      <c r="AU502" s="5">
        <v>0.8</v>
      </c>
      <c r="AV502" s="5">
        <f>IFERROR(VLOOKUP(IFERROR(VLOOKUP(D502,Mapa_Similitud!$A$2:$B$2000,2,FALSE()),D502),Hoja1!$A$2:$K$1000,2,FALSE()),IFERROR(VLOOKUP(IFERROR(VLOOKUP(D502,Mapa_Similitud!$A$2:$B$2000,2,FALSE()),D502),Omega3_Referencia!$A$2:$E$100,3,FALSE()),0))</f>
        <v>0.01</v>
      </c>
      <c r="AW502" s="3" t="str">
        <f>IFERROR(VLOOKUP(IFERROR(VLOOKUP(D502,Mapa_Similitud!$A$2:$B$2000,2,FALSE()),D502),Hoja1!$A$2:$K$1000,3,FALSE()),IFERROR(VLOOKUP(IFERROR(VLOOKUP(D502,Mapa_Similitud!$A$2:$B$2000,2,FALSE()),D502),Omega3_Referencia!$A$2:$E$100,4,FALSE()),"N/A"))</f>
        <v>ALA</v>
      </c>
      <c r="AX502" s="5">
        <f>IFERROR(VLOOKUP(IFERROR(VLOOKUP(D502,Mapa_Similitud!$A$2:$B$2000,2,FALSE()),D502),Hoja1!$A$2:$K$1000,5,FALSE()),0)</f>
        <v>0</v>
      </c>
      <c r="AY502" s="5">
        <f>IFERROR(VLOOKUP(IFERROR(VLOOKUP(D502,Mapa_Similitud!$A$2:$B$2000,2,FALSE()),D502),Hoja1!$A$2:$K$1000,7,FALSE()),0)</f>
        <v>400</v>
      </c>
      <c r="AZ502" s="5">
        <f>IFERROR(VLOOKUP(IFERROR(VLOOKUP(D502,Mapa_Similitud!$A$2:$B$2000,2,FALSE()),D502),Hoja1!$A$2:$K$1000,9,FALSE()),0)</f>
        <v>0</v>
      </c>
      <c r="BA502" s="25">
        <f t="shared" si="203"/>
        <v>1.0999999999999999</v>
      </c>
      <c r="BB502" s="25">
        <f t="shared" si="204"/>
        <v>18</v>
      </c>
      <c r="BC502" s="25">
        <f t="shared" si="205"/>
        <v>40</v>
      </c>
      <c r="BD502" s="25">
        <f t="shared" si="206"/>
        <v>13</v>
      </c>
      <c r="BE502" s="25">
        <f t="shared" si="207"/>
        <v>10</v>
      </c>
      <c r="BF502" s="25">
        <f t="shared" si="208"/>
        <v>9.8412698412698417E-3</v>
      </c>
      <c r="BG502" s="25">
        <f t="shared" si="209"/>
        <v>1.6</v>
      </c>
      <c r="BH502" s="25">
        <f t="shared" si="210"/>
        <v>2.2340425531914891</v>
      </c>
      <c r="BI502" s="25">
        <f t="shared" si="211"/>
        <v>0</v>
      </c>
      <c r="BJ502" s="25">
        <f t="shared" si="212"/>
        <v>5.9333333333333335E-2</v>
      </c>
      <c r="BK502" s="25">
        <f t="shared" si="213"/>
        <v>0.12000000000000001</v>
      </c>
      <c r="BL502" s="25">
        <f t="shared" si="214"/>
        <v>12690</v>
      </c>
      <c r="BM502" s="25">
        <f t="shared" si="215"/>
        <v>10</v>
      </c>
      <c r="BN502" s="18" t="str">
        <f t="shared" si="221"/>
        <v>Muy alta fuente de proteína</v>
      </c>
      <c r="BO502" s="18" t="str">
        <f t="shared" si="222"/>
        <v>Alta fuente de fibra</v>
      </c>
      <c r="BP502" s="18" t="str">
        <f t="shared" si="223"/>
        <v>Alta fuente de calcio</v>
      </c>
      <c r="BQ502" s="18" t="str">
        <f t="shared" si="224"/>
        <v>Alta fuente de hierro</v>
      </c>
      <c r="BR502" s="18" t="str">
        <f t="shared" si="225"/>
        <v>Muy alto en sodio</v>
      </c>
      <c r="BS502" s="6" t="str">
        <f t="shared" si="216"/>
        <v>Proinflamatorio</v>
      </c>
      <c r="BT502" s="6" t="str">
        <f t="shared" si="217"/>
        <v>Muy alto en grasas</v>
      </c>
      <c r="BU502" s="18" t="str">
        <f t="shared" si="226"/>
        <v>Equilibrio de líquidos ideal</v>
      </c>
      <c r="BV502" s="18" t="str">
        <f t="shared" si="227"/>
        <v>Alta fuente de magnesio</v>
      </c>
      <c r="BW502" s="18" t="str">
        <f t="shared" si="228"/>
        <v>Sin aporte de Omega 3</v>
      </c>
      <c r="BX502" s="18" t="str">
        <f t="shared" si="229"/>
        <v>Libre de grasas trans</v>
      </c>
      <c r="BY502" s="18" t="str">
        <f t="shared" si="230"/>
        <v>Alto poder antioxidante</v>
      </c>
      <c r="BZ502" s="6" t="str">
        <f t="shared" si="218"/>
        <v>Sin probióticos</v>
      </c>
      <c r="CA502" s="18" t="str">
        <f t="shared" si="231"/>
        <v>Altamente inflamatorio</v>
      </c>
      <c r="CB502" s="18" t="str">
        <f>IF(ISNUMBER(SEARCH("miel", D502)), "No irritante (Uso condicionado SII)", IF(OR(J502&gt;0, ISNUMBER(SEARCH("cacao", D502)), ISNUMBER(SEARCH("chocolate puro", D502))), "Altamente irritante", IF(OR(AND(O502&gt;15, BI502&gt;1), ISNUMBER(SEARCH("chocolate", D502))), "Moderadamente irritante", "No irritante")))</f>
        <v>Altamente irritante</v>
      </c>
      <c r="CC502" s="6" t="str">
        <f t="shared" si="219"/>
        <v>Exceso relativo de Omega 6</v>
      </c>
    </row>
    <row r="503" spans="1:81" ht="15" customHeight="1" x14ac:dyDescent="0.3">
      <c r="A503" s="2">
        <f t="shared" si="220"/>
        <v>502</v>
      </c>
      <c r="B503" s="3" t="s">
        <v>646</v>
      </c>
      <c r="C503" s="3" t="s">
        <v>656</v>
      </c>
      <c r="D503" s="3" t="s">
        <v>659</v>
      </c>
      <c r="E503" s="3"/>
      <c r="F503" s="4">
        <v>1.5</v>
      </c>
      <c r="G503" s="5">
        <v>1</v>
      </c>
      <c r="H503" s="5">
        <v>0.27</v>
      </c>
      <c r="I503" s="5">
        <v>1.4</v>
      </c>
      <c r="J503" s="5">
        <v>1.1000000000000001</v>
      </c>
      <c r="K503" s="5">
        <v>0.32</v>
      </c>
      <c r="L503" s="5">
        <v>15</v>
      </c>
      <c r="M503" s="5">
        <v>1.6</v>
      </c>
      <c r="N503" s="5">
        <v>3.8</v>
      </c>
      <c r="O503" s="5">
        <v>0</v>
      </c>
      <c r="P503" s="5">
        <v>1.8</v>
      </c>
      <c r="Q503" s="5">
        <v>576</v>
      </c>
      <c r="R503" s="5">
        <v>893</v>
      </c>
      <c r="S503" s="5">
        <v>5</v>
      </c>
      <c r="T503" s="5">
        <v>3.1</v>
      </c>
      <c r="U503" s="5">
        <v>3.4</v>
      </c>
      <c r="V503" s="5">
        <v>208</v>
      </c>
      <c r="W503" s="5">
        <v>1121</v>
      </c>
      <c r="X503" s="5">
        <v>2702</v>
      </c>
      <c r="Y503" s="5">
        <v>0.67</v>
      </c>
      <c r="Z503" s="5">
        <v>0.73</v>
      </c>
      <c r="AA503" s="5">
        <v>16.7</v>
      </c>
      <c r="AB503" s="5">
        <v>358</v>
      </c>
      <c r="AC503" s="5">
        <v>3.4</v>
      </c>
      <c r="AD503" s="5">
        <v>0</v>
      </c>
      <c r="AE503" s="5">
        <v>16.100000000000001</v>
      </c>
      <c r="AF503" s="5">
        <v>63.4</v>
      </c>
      <c r="AG503" s="5">
        <v>18.5</v>
      </c>
      <c r="AH503" s="5">
        <v>44.9</v>
      </c>
      <c r="AI503" s="5">
        <v>44</v>
      </c>
      <c r="AJ503" s="5">
        <v>6.4</v>
      </c>
      <c r="AK503" s="5">
        <v>3</v>
      </c>
      <c r="AL503" s="5">
        <v>1.8</v>
      </c>
      <c r="AM503" s="5">
        <v>0.98</v>
      </c>
      <c r="AN503" s="5">
        <v>8.8999999999999996E-2</v>
      </c>
      <c r="AO503" s="5">
        <v>6</v>
      </c>
      <c r="AP503" s="5">
        <v>1</v>
      </c>
      <c r="AQ503" s="5">
        <v>0</v>
      </c>
      <c r="AR503" s="5">
        <v>0</v>
      </c>
      <c r="AS503" s="5">
        <v>0</v>
      </c>
      <c r="AT503" s="5">
        <v>0.43</v>
      </c>
      <c r="AU503" s="5">
        <v>9.1</v>
      </c>
      <c r="AV503" s="5">
        <f>IFERROR(VLOOKUP(IFERROR(VLOOKUP(D503,Mapa_Similitud!$A$2:$B$2000,2,FALSE()),D503),Hoja1!$A$2:$K$1000,2,FALSE()),IFERROR(VLOOKUP(IFERROR(VLOOKUP(D503,Mapa_Similitud!$A$2:$B$2000,2,FALSE()),D503),Omega3_Referencia!$A$2:$E$100,3,FALSE()),0))</f>
        <v>0.01</v>
      </c>
      <c r="AW503" s="3" t="str">
        <f>IFERROR(VLOOKUP(IFERROR(VLOOKUP(D503,Mapa_Similitud!$A$2:$B$2000,2,FALSE()),D503),Hoja1!$A$2:$K$1000,3,FALSE()),IFERROR(VLOOKUP(IFERROR(VLOOKUP(D503,Mapa_Similitud!$A$2:$B$2000,2,FALSE()),D503),Omega3_Referencia!$A$2:$E$100,4,FALSE()),"N/A"))</f>
        <v>ALA</v>
      </c>
      <c r="AX503" s="5">
        <f>IFERROR(VLOOKUP(IFERROR(VLOOKUP(D503,Mapa_Similitud!$A$2:$B$2000,2,FALSE()),D503),Hoja1!$A$2:$K$1000,5,FALSE()),0)</f>
        <v>0</v>
      </c>
      <c r="AY503" s="5">
        <f>IFERROR(VLOOKUP(IFERROR(VLOOKUP(D503,Mapa_Similitud!$A$2:$B$2000,2,FALSE()),D503),Hoja1!$A$2:$K$1000,7,FALSE()),0)</f>
        <v>400</v>
      </c>
      <c r="AZ503" s="5">
        <f>IFERROR(VLOOKUP(IFERROR(VLOOKUP(D503,Mapa_Similitud!$A$2:$B$2000,2,FALSE()),D503),Hoja1!$A$2:$K$1000,9,FALSE()),0)</f>
        <v>0</v>
      </c>
      <c r="BA503" s="25">
        <f t="shared" si="203"/>
        <v>1.1851851851851851</v>
      </c>
      <c r="BB503" s="25">
        <f t="shared" si="204"/>
        <v>6.6666666666666661</v>
      </c>
      <c r="BC503" s="25">
        <f t="shared" si="205"/>
        <v>11.111111111111111</v>
      </c>
      <c r="BD503" s="25">
        <f t="shared" si="206"/>
        <v>3.6296296296296293</v>
      </c>
      <c r="BE503" s="25">
        <f t="shared" si="207"/>
        <v>0</v>
      </c>
      <c r="BF503" s="25">
        <f t="shared" si="208"/>
        <v>3.4714445688689812E-3</v>
      </c>
      <c r="BG503" s="25">
        <f t="shared" si="209"/>
        <v>1.6666666666666665</v>
      </c>
      <c r="BH503" s="25">
        <f t="shared" si="210"/>
        <v>1.5503472222222223</v>
      </c>
      <c r="BI503" s="25">
        <f t="shared" si="211"/>
        <v>0</v>
      </c>
      <c r="BJ503" s="25">
        <f t="shared" si="212"/>
        <v>0.2533333333333333</v>
      </c>
      <c r="BK503" s="25">
        <f t="shared" si="213"/>
        <v>0.12000000000000001</v>
      </c>
      <c r="BL503" s="25">
        <f t="shared" si="214"/>
        <v>19200</v>
      </c>
      <c r="BM503" s="25">
        <f t="shared" si="215"/>
        <v>3.7037037037037033</v>
      </c>
      <c r="BN503" s="18" t="str">
        <f t="shared" si="221"/>
        <v>Muy alta fuente de proteína</v>
      </c>
      <c r="BO503" s="18" t="str">
        <f t="shared" si="222"/>
        <v>Alta fuente de fibra</v>
      </c>
      <c r="BP503" s="18" t="str">
        <f t="shared" si="223"/>
        <v>Alta fuente de calcio</v>
      </c>
      <c r="BQ503" s="18" t="str">
        <f t="shared" si="224"/>
        <v>Alta fuente de hierro</v>
      </c>
      <c r="BR503" s="18" t="str">
        <f t="shared" si="225"/>
        <v>Bajo en sodio</v>
      </c>
      <c r="BS503" s="6" t="str">
        <f t="shared" si="216"/>
        <v>Proinflamatorio</v>
      </c>
      <c r="BT503" s="6" t="str">
        <f t="shared" si="217"/>
        <v>Muy alto en grasas</v>
      </c>
      <c r="BU503" s="18" t="str">
        <f t="shared" si="226"/>
        <v>Equilibrio de líquidos ideal</v>
      </c>
      <c r="BV503" s="18" t="str">
        <f t="shared" si="227"/>
        <v>Alta fuente de magnesio</v>
      </c>
      <c r="BW503" s="18" t="str">
        <f t="shared" si="228"/>
        <v>Sin aporte de Omega 3</v>
      </c>
      <c r="BX503" s="18" t="str">
        <f t="shared" si="229"/>
        <v>Libre de grasas trans</v>
      </c>
      <c r="BY503" s="18" t="str">
        <f t="shared" si="230"/>
        <v>Alto poder antioxidante</v>
      </c>
      <c r="BZ503" s="6" t="str">
        <f t="shared" si="218"/>
        <v>Sin probióticos</v>
      </c>
      <c r="CA503" s="18" t="str">
        <f t="shared" si="231"/>
        <v>Altamente inflamatorio</v>
      </c>
      <c r="CB503" s="18" t="str">
        <f>IF(ISNUMBER(SEARCH("miel", D503)), "No irritante (Uso condicionado SII)", IF(OR(J503&gt;0, ISNUMBER(SEARCH("cacao", D503)), ISNUMBER(SEARCH("chocolate puro", D503))), "Altamente irritante", IF(OR(AND(O503&gt;15, BI503&gt;1), ISNUMBER(SEARCH("chocolate", D503))), "Moderadamente irritante", "No irritante")))</f>
        <v>Altamente irritante</v>
      </c>
      <c r="CC503" s="6" t="str">
        <f t="shared" si="219"/>
        <v>Exceso relativo de Omega 6</v>
      </c>
    </row>
    <row r="504" spans="1:81" ht="15" customHeight="1" x14ac:dyDescent="0.3">
      <c r="A504" s="2">
        <f t="shared" si="220"/>
        <v>503</v>
      </c>
      <c r="B504" s="3" t="s">
        <v>646</v>
      </c>
      <c r="C504" s="3" t="s">
        <v>656</v>
      </c>
      <c r="D504" s="3" t="s">
        <v>660</v>
      </c>
      <c r="E504" s="3"/>
      <c r="F504" s="4">
        <v>1.5</v>
      </c>
      <c r="G504" s="5">
        <v>1</v>
      </c>
      <c r="H504" s="5">
        <v>0.08</v>
      </c>
      <c r="I504" s="5">
        <v>0.49</v>
      </c>
      <c r="J504" s="5">
        <v>5.4</v>
      </c>
      <c r="K504" s="5">
        <v>7.0000000000000007E-2</v>
      </c>
      <c r="L504" s="5">
        <v>10</v>
      </c>
      <c r="M504" s="5">
        <v>0</v>
      </c>
      <c r="N504" s="5">
        <v>0.59</v>
      </c>
      <c r="O504" s="5">
        <v>2</v>
      </c>
      <c r="P504" s="5">
        <v>0</v>
      </c>
      <c r="Q504" s="5">
        <v>270</v>
      </c>
      <c r="R504" s="5">
        <v>230</v>
      </c>
      <c r="S504" s="5">
        <v>0.2</v>
      </c>
      <c r="T504" s="5">
        <v>6</v>
      </c>
      <c r="U504" s="5">
        <v>0.9</v>
      </c>
      <c r="V504" s="5">
        <v>26</v>
      </c>
      <c r="W504" s="5">
        <v>110</v>
      </c>
      <c r="X504" s="5">
        <v>350</v>
      </c>
      <c r="Y504" s="5">
        <v>0.24</v>
      </c>
      <c r="Z504" s="5">
        <v>0.45</v>
      </c>
      <c r="AA504" s="5">
        <v>3</v>
      </c>
      <c r="AB504" s="5">
        <v>547</v>
      </c>
      <c r="AC504" s="5">
        <v>1.5</v>
      </c>
      <c r="AD504" s="5">
        <v>0</v>
      </c>
      <c r="AE504" s="5">
        <v>8</v>
      </c>
      <c r="AF504" s="5">
        <v>58.8</v>
      </c>
      <c r="AG504" s="5">
        <v>0</v>
      </c>
      <c r="AH504" s="5">
        <v>58.8</v>
      </c>
      <c r="AI504" s="5">
        <v>58.8</v>
      </c>
      <c r="AJ504" s="5">
        <v>0.8</v>
      </c>
      <c r="AK504" s="5">
        <v>30.9</v>
      </c>
      <c r="AL504" s="5">
        <v>18.2</v>
      </c>
      <c r="AM504" s="5">
        <v>9.9</v>
      </c>
      <c r="AN504" s="5">
        <v>1.1000000000000001</v>
      </c>
      <c r="AO504" s="5">
        <v>23</v>
      </c>
      <c r="AP504" s="5">
        <v>26</v>
      </c>
      <c r="AQ504" s="5">
        <v>13</v>
      </c>
      <c r="AR504" s="5">
        <v>75</v>
      </c>
      <c r="AS504" s="5">
        <v>0</v>
      </c>
      <c r="AT504" s="5">
        <v>1.1000000000000001</v>
      </c>
      <c r="AU504" s="5">
        <v>5.7</v>
      </c>
      <c r="AV504" s="5">
        <f>IFERROR(VLOOKUP(IFERROR(VLOOKUP(D504,Mapa_Similitud!$A$2:$B$2000,2,FALSE()),D504),Hoja1!$A$2:$K$1000,2,FALSE()),IFERROR(VLOOKUP(IFERROR(VLOOKUP(D504,Mapa_Similitud!$A$2:$B$2000,2,FALSE()),D504),Omega3_Referencia!$A$2:$E$100,3,FALSE()),0))</f>
        <v>0</v>
      </c>
      <c r="AW504" s="3" t="str">
        <f>IFERROR(VLOOKUP(IFERROR(VLOOKUP(D504,Mapa_Similitud!$A$2:$B$2000,2,FALSE()),D504),Hoja1!$A$2:$K$1000,3,FALSE()),IFERROR(VLOOKUP(IFERROR(VLOOKUP(D504,Mapa_Similitud!$A$2:$B$2000,2,FALSE()),D504),Omega3_Referencia!$A$2:$E$100,4,FALSE()),"N/A"))</f>
        <v>N/A</v>
      </c>
      <c r="AX504" s="5">
        <f>IFERROR(VLOOKUP(IFERROR(VLOOKUP(D504,Mapa_Similitud!$A$2:$B$2000,2,FALSE()),D504),Hoja1!$A$2:$K$1000,5,FALSE()),0)</f>
        <v>0.1</v>
      </c>
      <c r="AY504" s="5">
        <f>IFERROR(VLOOKUP(IFERROR(VLOOKUP(D504,Mapa_Similitud!$A$2:$B$2000,2,FALSE()),D504),Hoja1!$A$2:$K$1000,7,FALSE()),0)</f>
        <v>0</v>
      </c>
      <c r="AZ504" s="5">
        <f>IFERROR(VLOOKUP(IFERROR(VLOOKUP(D504,Mapa_Similitud!$A$2:$B$2000,2,FALSE()),D504),Hoja1!$A$2:$K$1000,9,FALSE()),0)</f>
        <v>0</v>
      </c>
      <c r="BA504" s="25">
        <f t="shared" si="203"/>
        <v>0.87500000000000011</v>
      </c>
      <c r="BB504" s="25">
        <f t="shared" si="204"/>
        <v>0</v>
      </c>
      <c r="BC504" s="25">
        <f t="shared" si="205"/>
        <v>386.25</v>
      </c>
      <c r="BD504" s="25">
        <f t="shared" si="206"/>
        <v>123.75</v>
      </c>
      <c r="BE504" s="25">
        <f t="shared" si="207"/>
        <v>162.5</v>
      </c>
      <c r="BF504" s="25">
        <f t="shared" si="208"/>
        <v>2.6086956521739129E-2</v>
      </c>
      <c r="BG504" s="25">
        <f t="shared" si="209"/>
        <v>1.6978021978021978</v>
      </c>
      <c r="BH504" s="25">
        <f t="shared" si="210"/>
        <v>0.85185185185185186</v>
      </c>
      <c r="BI504" s="25">
        <f t="shared" si="211"/>
        <v>0.17333333333333334</v>
      </c>
      <c r="BJ504" s="25">
        <f t="shared" si="212"/>
        <v>5.8999999999999997E-2</v>
      </c>
      <c r="BK504" s="25">
        <f t="shared" si="213"/>
        <v>0</v>
      </c>
      <c r="BL504" s="25">
        <f t="shared" si="214"/>
        <v>30375</v>
      </c>
      <c r="BM504" s="25">
        <f t="shared" si="215"/>
        <v>325</v>
      </c>
      <c r="BN504" s="18" t="str">
        <f t="shared" si="221"/>
        <v>Muy alta fuente de proteína</v>
      </c>
      <c r="BO504" s="18" t="str">
        <f t="shared" si="222"/>
        <v>Baja fuente de fibra</v>
      </c>
      <c r="BP504" s="18" t="str">
        <f t="shared" si="223"/>
        <v>Alta fuente de calcio</v>
      </c>
      <c r="BQ504" s="18" t="str">
        <f t="shared" si="224"/>
        <v>Alta fuente de hierro</v>
      </c>
      <c r="BR504" s="18" t="str">
        <f t="shared" si="225"/>
        <v>Muy alto en sodio</v>
      </c>
      <c r="BS504" s="6" t="str">
        <f t="shared" si="216"/>
        <v>Proinflamatorio</v>
      </c>
      <c r="BT504" s="6" t="str">
        <f t="shared" si="217"/>
        <v>Muy alto en grasas</v>
      </c>
      <c r="BU504" s="18" t="str">
        <f t="shared" si="226"/>
        <v>Equilibrio de líquidos ideal</v>
      </c>
      <c r="BV504" s="18" t="str">
        <f t="shared" si="227"/>
        <v>Alta fuente de magnesio</v>
      </c>
      <c r="BW504" s="18" t="str">
        <f t="shared" si="228"/>
        <v>Sin aporte de Omega 3</v>
      </c>
      <c r="BX504" s="18" t="str">
        <f t="shared" si="229"/>
        <v>Contiene grasas trans</v>
      </c>
      <c r="BY504" s="18" t="str">
        <f t="shared" si="230"/>
        <v>Bajo poder antioxidante</v>
      </c>
      <c r="BZ504" s="6" t="str">
        <f t="shared" si="218"/>
        <v>Sin probióticos</v>
      </c>
      <c r="CA504" s="18" t="str">
        <f t="shared" si="231"/>
        <v>Altamente inflamatorio</v>
      </c>
      <c r="CB504" s="18" t="str">
        <f>IF(ISNUMBER(SEARCH("miel", D504)), "No irritante (Uso condicionado SII)", IF(OR(J504&gt;0, ISNUMBER(SEARCH("cacao", D504)), ISNUMBER(SEARCH("chocolate puro", D504))), "Altamente irritante", IF(OR(AND(O504&gt;15, BI504&gt;1), ISNUMBER(SEARCH("chocolate", D504))), "Moderadamente irritante", "No irritante")))</f>
        <v>Altamente irritante</v>
      </c>
      <c r="CC504" s="6" t="str">
        <f t="shared" si="219"/>
        <v>Sin Omega 3 para evaluar</v>
      </c>
    </row>
    <row r="505" spans="1:81" ht="15" customHeight="1" x14ac:dyDescent="0.3">
      <c r="A505" s="2">
        <f t="shared" si="220"/>
        <v>504</v>
      </c>
      <c r="B505" s="3" t="s">
        <v>646</v>
      </c>
      <c r="C505" s="3" t="s">
        <v>656</v>
      </c>
      <c r="D505" s="3" t="s">
        <v>661</v>
      </c>
      <c r="E505" s="3"/>
      <c r="F505" s="4">
        <v>1.5</v>
      </c>
      <c r="G505" s="5">
        <v>1</v>
      </c>
      <c r="H505" s="5">
        <v>0.11</v>
      </c>
      <c r="I505" s="5">
        <v>0.37</v>
      </c>
      <c r="J505" s="5">
        <v>2.2000000000000002</v>
      </c>
      <c r="K505" s="5">
        <v>0.11</v>
      </c>
      <c r="L505" s="5">
        <v>10</v>
      </c>
      <c r="M505" s="5">
        <v>0</v>
      </c>
      <c r="N505" s="5">
        <v>0.9</v>
      </c>
      <c r="O505" s="5">
        <v>3</v>
      </c>
      <c r="P505" s="5">
        <v>0</v>
      </c>
      <c r="Q505" s="5">
        <v>247</v>
      </c>
      <c r="R505" s="5">
        <v>261</v>
      </c>
      <c r="S505" s="5">
        <v>1.7</v>
      </c>
      <c r="T505" s="5">
        <v>5.5</v>
      </c>
      <c r="U505" s="5">
        <v>1.7</v>
      </c>
      <c r="V505" s="5">
        <v>71</v>
      </c>
      <c r="W505" s="5">
        <v>58</v>
      </c>
      <c r="X505" s="5">
        <v>465</v>
      </c>
      <c r="Y505" s="5">
        <v>0.24</v>
      </c>
      <c r="Z505" s="5">
        <v>0.45</v>
      </c>
      <c r="AA505" s="5">
        <v>3</v>
      </c>
      <c r="AB505" s="5">
        <v>538</v>
      </c>
      <c r="AC505" s="5">
        <v>2.9</v>
      </c>
      <c r="AD505" s="5">
        <v>0</v>
      </c>
      <c r="AE505" s="5">
        <v>9.1999999999999993</v>
      </c>
      <c r="AF505" s="5">
        <v>54.1</v>
      </c>
      <c r="AG505" s="5">
        <v>0</v>
      </c>
      <c r="AH505" s="5">
        <v>54.1</v>
      </c>
      <c r="AI505" s="5">
        <v>54.1</v>
      </c>
      <c r="AJ505" s="5">
        <v>0.8</v>
      </c>
      <c r="AK505" s="5">
        <v>31.5</v>
      </c>
      <c r="AL505" s="5">
        <v>19</v>
      </c>
      <c r="AM505" s="5">
        <v>10.199999999999999</v>
      </c>
      <c r="AN505" s="5">
        <v>1.1000000000000001</v>
      </c>
      <c r="AO505" s="5">
        <v>28</v>
      </c>
      <c r="AP505" s="5">
        <v>33.200000000000003</v>
      </c>
      <c r="AQ505" s="5">
        <v>31</v>
      </c>
      <c r="AR505" s="5">
        <v>13</v>
      </c>
      <c r="AS505" s="5">
        <v>0</v>
      </c>
      <c r="AT505" s="5">
        <v>0.7</v>
      </c>
      <c r="AU505" s="5">
        <v>5.7</v>
      </c>
      <c r="AV505" s="5">
        <f>IFERROR(VLOOKUP(IFERROR(VLOOKUP(D505,Mapa_Similitud!$A$2:$B$2000,2,FALSE()),D505),Hoja1!$A$2:$K$1000,2,FALSE()),IFERROR(VLOOKUP(IFERROR(VLOOKUP(D505,Mapa_Similitud!$A$2:$B$2000,2,FALSE()),D505),Omega3_Referencia!$A$2:$E$100,3,FALSE()),0))</f>
        <v>0.01</v>
      </c>
      <c r="AW505" s="3" t="str">
        <f>IFERROR(VLOOKUP(IFERROR(VLOOKUP(D505,Mapa_Similitud!$A$2:$B$2000,2,FALSE()),D505),Hoja1!$A$2:$K$1000,3,FALSE()),IFERROR(VLOOKUP(IFERROR(VLOOKUP(D505,Mapa_Similitud!$A$2:$B$2000,2,FALSE()),D505),Omega3_Referencia!$A$2:$E$100,4,FALSE()),"N/A"))</f>
        <v>ALA</v>
      </c>
      <c r="AX505" s="5">
        <f>IFERROR(VLOOKUP(IFERROR(VLOOKUP(D505,Mapa_Similitud!$A$2:$B$2000,2,FALSE()),D505),Hoja1!$A$2:$K$1000,5,FALSE()),0)</f>
        <v>0.1</v>
      </c>
      <c r="AY505" s="5">
        <f>IFERROR(VLOOKUP(IFERROR(VLOOKUP(D505,Mapa_Similitud!$A$2:$B$2000,2,FALSE()),D505),Hoja1!$A$2:$K$1000,7,FALSE()),0)</f>
        <v>150</v>
      </c>
      <c r="AZ505" s="5">
        <f>IFERROR(VLOOKUP(IFERROR(VLOOKUP(D505,Mapa_Similitud!$A$2:$B$2000,2,FALSE()),D505),Hoja1!$A$2:$K$1000,9,FALSE()),0)</f>
        <v>0</v>
      </c>
      <c r="BA505" s="25">
        <f t="shared" si="203"/>
        <v>1</v>
      </c>
      <c r="BB505" s="25">
        <f t="shared" si="204"/>
        <v>0</v>
      </c>
      <c r="BC505" s="25">
        <f t="shared" si="205"/>
        <v>286.36363636363637</v>
      </c>
      <c r="BD505" s="25">
        <f t="shared" si="206"/>
        <v>92.72727272727272</v>
      </c>
      <c r="BE505" s="25">
        <f t="shared" si="207"/>
        <v>281.81818181818181</v>
      </c>
      <c r="BF505" s="25">
        <f t="shared" si="208"/>
        <v>2.1072796934865901E-2</v>
      </c>
      <c r="BG505" s="25">
        <f t="shared" si="209"/>
        <v>1.6578947368421053</v>
      </c>
      <c r="BH505" s="25">
        <f t="shared" si="210"/>
        <v>1.0566801619433199</v>
      </c>
      <c r="BI505" s="25">
        <f t="shared" si="211"/>
        <v>2.3846153846153846</v>
      </c>
      <c r="BJ505" s="25">
        <f t="shared" si="212"/>
        <v>0.09</v>
      </c>
      <c r="BK505" s="25">
        <f t="shared" si="213"/>
        <v>0</v>
      </c>
      <c r="BL505" s="25">
        <f t="shared" si="214"/>
        <v>20209.090909090908</v>
      </c>
      <c r="BM505" s="25">
        <f t="shared" si="215"/>
        <v>301.81818181818187</v>
      </c>
      <c r="BN505" s="18" t="str">
        <f t="shared" si="221"/>
        <v>Muy alta fuente de proteína</v>
      </c>
      <c r="BO505" s="18" t="str">
        <f t="shared" si="222"/>
        <v>Baja fuente de fibra</v>
      </c>
      <c r="BP505" s="18" t="str">
        <f t="shared" si="223"/>
        <v>Alta fuente de calcio</v>
      </c>
      <c r="BQ505" s="18" t="str">
        <f t="shared" si="224"/>
        <v>Alta fuente de hierro</v>
      </c>
      <c r="BR505" s="18" t="str">
        <f t="shared" si="225"/>
        <v>Muy alto en sodio</v>
      </c>
      <c r="BS505" s="6" t="str">
        <f t="shared" si="216"/>
        <v>Proinflamatorio</v>
      </c>
      <c r="BT505" s="6" t="str">
        <f t="shared" si="217"/>
        <v>Muy alto en grasas</v>
      </c>
      <c r="BU505" s="18" t="str">
        <f t="shared" si="226"/>
        <v>Alto riesgo de retención de líquidos</v>
      </c>
      <c r="BV505" s="18" t="str">
        <f t="shared" si="227"/>
        <v>Alta fuente de magnesio</v>
      </c>
      <c r="BW505" s="18" t="str">
        <f t="shared" si="228"/>
        <v>Sin aporte de Omega 3</v>
      </c>
      <c r="BX505" s="18" t="str">
        <f t="shared" si="229"/>
        <v>Contiene grasas trans</v>
      </c>
      <c r="BY505" s="18" t="str">
        <f t="shared" si="230"/>
        <v>Alto poder antioxidante</v>
      </c>
      <c r="BZ505" s="6" t="str">
        <f t="shared" si="218"/>
        <v>Sin probióticos</v>
      </c>
      <c r="CA505" s="18" t="str">
        <f t="shared" si="231"/>
        <v>Altamente inflamatorio</v>
      </c>
      <c r="CB505" s="18" t="str">
        <f>IF(ISNUMBER(SEARCH("miel", D505)), "No irritante (Uso condicionado SII)", IF(OR(J505&gt;0, ISNUMBER(SEARCH("cacao", D505)), ISNUMBER(SEARCH("chocolate puro", D505))), "Altamente irritante", IF(OR(AND(O505&gt;15, BI505&gt;1), ISNUMBER(SEARCH("chocolate", D505))), "Moderadamente irritante", "No irritante")))</f>
        <v>Altamente irritante</v>
      </c>
      <c r="CC505" s="6" t="str">
        <f t="shared" si="219"/>
        <v>Exceso relativo de Omega 6</v>
      </c>
    </row>
    <row r="506" spans="1:81" ht="15" customHeight="1" x14ac:dyDescent="0.3">
      <c r="A506" s="2">
        <f t="shared" si="220"/>
        <v>505</v>
      </c>
      <c r="B506" s="3" t="s">
        <v>646</v>
      </c>
      <c r="C506" s="3" t="s">
        <v>656</v>
      </c>
      <c r="D506" s="3" t="s">
        <v>662</v>
      </c>
      <c r="E506" s="3"/>
      <c r="F506" s="4">
        <v>1.5</v>
      </c>
      <c r="G506" s="5">
        <v>1</v>
      </c>
      <c r="H506" s="5">
        <v>7.0000000000000007E-2</v>
      </c>
      <c r="I506" s="5">
        <v>0.44</v>
      </c>
      <c r="J506" s="5">
        <v>2.6</v>
      </c>
      <c r="K506" s="5">
        <v>0.05</v>
      </c>
      <c r="L506" s="5">
        <v>13</v>
      </c>
      <c r="M506" s="5">
        <v>0</v>
      </c>
      <c r="N506" s="5">
        <v>0.43</v>
      </c>
      <c r="O506" s="5">
        <v>0</v>
      </c>
      <c r="P506" s="5">
        <v>0</v>
      </c>
      <c r="Q506" s="5">
        <v>195</v>
      </c>
      <c r="R506" s="5">
        <v>243</v>
      </c>
      <c r="S506" s="5">
        <v>1.2</v>
      </c>
      <c r="T506" s="5">
        <v>12</v>
      </c>
      <c r="U506" s="5">
        <v>1.7</v>
      </c>
      <c r="V506" s="5">
        <v>85.7</v>
      </c>
      <c r="W506" s="5">
        <v>62</v>
      </c>
      <c r="X506" s="5">
        <v>365</v>
      </c>
      <c r="Y506" s="5">
        <v>0.62</v>
      </c>
      <c r="Z506" s="5">
        <v>0.42</v>
      </c>
      <c r="AA506" s="5">
        <v>4</v>
      </c>
      <c r="AB506" s="5">
        <v>558</v>
      </c>
      <c r="AC506" s="5">
        <v>1.8</v>
      </c>
      <c r="AD506" s="5">
        <v>0</v>
      </c>
      <c r="AE506" s="5">
        <v>8.6999999999999993</v>
      </c>
      <c r="AF506" s="5">
        <v>51.5</v>
      </c>
      <c r="AG506" s="5">
        <v>0</v>
      </c>
      <c r="AH506" s="5">
        <v>51.5</v>
      </c>
      <c r="AI506" s="5">
        <v>51.5</v>
      </c>
      <c r="AJ506" s="5">
        <v>1.4</v>
      </c>
      <c r="AK506" s="5">
        <v>34.9</v>
      </c>
      <c r="AL506" s="5">
        <v>17.5</v>
      </c>
      <c r="AM506" s="5">
        <v>13.5</v>
      </c>
      <c r="AN506" s="5">
        <v>2.2999999999999998</v>
      </c>
      <c r="AO506" s="5">
        <v>25</v>
      </c>
      <c r="AP506" s="5">
        <v>52</v>
      </c>
      <c r="AQ506" s="5">
        <v>52</v>
      </c>
      <c r="AR506" s="5">
        <v>0</v>
      </c>
      <c r="AS506" s="5">
        <v>0</v>
      </c>
      <c r="AT506" s="5">
        <v>3</v>
      </c>
      <c r="AU506" s="5">
        <v>5.0999999999999996</v>
      </c>
      <c r="AV506" s="5">
        <f>IFERROR(VLOOKUP(IFERROR(VLOOKUP(D506,Mapa_Similitud!$A$2:$B$2000,2,FALSE()),D506),Hoja1!$A$2:$K$1000,2,FALSE()),IFERROR(VLOOKUP(IFERROR(VLOOKUP(D506,Mapa_Similitud!$A$2:$B$2000,2,FALSE()),D506),Omega3_Referencia!$A$2:$E$100,3,FALSE()),0))</f>
        <v>0</v>
      </c>
      <c r="AW506" s="3" t="str">
        <f>IFERROR(VLOOKUP(IFERROR(VLOOKUP(D506,Mapa_Similitud!$A$2:$B$2000,2,FALSE()),D506),Hoja1!$A$2:$K$1000,3,FALSE()),IFERROR(VLOOKUP(IFERROR(VLOOKUP(D506,Mapa_Similitud!$A$2:$B$2000,2,FALSE()),D506),Omega3_Referencia!$A$2:$E$100,4,FALSE()),"N/A"))</f>
        <v>N/A</v>
      </c>
      <c r="AX506" s="5">
        <f>IFERROR(VLOOKUP(IFERROR(VLOOKUP(D506,Mapa_Similitud!$A$2:$B$2000,2,FALSE()),D506),Hoja1!$A$2:$K$1000,5,FALSE()),0)</f>
        <v>0</v>
      </c>
      <c r="AY506" s="5">
        <f>IFERROR(VLOOKUP(IFERROR(VLOOKUP(D506,Mapa_Similitud!$A$2:$B$2000,2,FALSE()),D506),Hoja1!$A$2:$K$1000,7,FALSE()),0)</f>
        <v>0</v>
      </c>
      <c r="AZ506" s="5">
        <f>IFERROR(VLOOKUP(IFERROR(VLOOKUP(D506,Mapa_Similitud!$A$2:$B$2000,2,FALSE()),D506),Hoja1!$A$2:$K$1000,9,FALSE()),0)</f>
        <v>0</v>
      </c>
      <c r="BA506" s="25">
        <f t="shared" si="203"/>
        <v>0.7142857142857143</v>
      </c>
      <c r="BB506" s="25">
        <f t="shared" si="204"/>
        <v>0</v>
      </c>
      <c r="BC506" s="25">
        <f t="shared" si="205"/>
        <v>498.5714285714285</v>
      </c>
      <c r="BD506" s="25">
        <f t="shared" si="206"/>
        <v>192.85714285714283</v>
      </c>
      <c r="BE506" s="25">
        <f t="shared" si="207"/>
        <v>742.85714285714278</v>
      </c>
      <c r="BF506" s="25">
        <f t="shared" si="208"/>
        <v>4.9382716049382713E-2</v>
      </c>
      <c r="BG506" s="25">
        <f t="shared" si="209"/>
        <v>1.9942857142857142</v>
      </c>
      <c r="BH506" s="25">
        <f t="shared" si="210"/>
        <v>1.2461538461538462</v>
      </c>
      <c r="BI506" s="25">
        <f t="shared" si="211"/>
        <v>0</v>
      </c>
      <c r="BJ506" s="25">
        <f t="shared" si="212"/>
        <v>3.3076923076923073E-2</v>
      </c>
      <c r="BK506" s="25">
        <f t="shared" si="213"/>
        <v>0</v>
      </c>
      <c r="BL506" s="25">
        <f t="shared" si="214"/>
        <v>25071.428571428569</v>
      </c>
      <c r="BM506" s="25">
        <f t="shared" si="215"/>
        <v>742.85714285714278</v>
      </c>
      <c r="BN506" s="18" t="str">
        <f t="shared" si="221"/>
        <v>Muy alta fuente de proteína</v>
      </c>
      <c r="BO506" s="18" t="str">
        <f t="shared" si="222"/>
        <v>Baja fuente de fibra</v>
      </c>
      <c r="BP506" s="18" t="str">
        <f t="shared" si="223"/>
        <v>Alta fuente de calcio</v>
      </c>
      <c r="BQ506" s="18" t="str">
        <f t="shared" si="224"/>
        <v>Alta fuente de hierro</v>
      </c>
      <c r="BR506" s="18" t="str">
        <f t="shared" si="225"/>
        <v>Muy alto en sodio</v>
      </c>
      <c r="BS506" s="6" t="str">
        <f t="shared" si="216"/>
        <v>Proinflamatorio</v>
      </c>
      <c r="BT506" s="6" t="str">
        <f t="shared" si="217"/>
        <v>Muy alto en grasas</v>
      </c>
      <c r="BU506" s="18" t="str">
        <f t="shared" si="226"/>
        <v>Equilibrio de líquidos ideal</v>
      </c>
      <c r="BV506" s="18" t="str">
        <f t="shared" si="227"/>
        <v>Alta fuente de magnesio</v>
      </c>
      <c r="BW506" s="18" t="str">
        <f t="shared" si="228"/>
        <v>Sin aporte de Omega 3</v>
      </c>
      <c r="BX506" s="18" t="str">
        <f t="shared" si="229"/>
        <v>Libre de grasas trans</v>
      </c>
      <c r="BY506" s="18" t="str">
        <f t="shared" si="230"/>
        <v>Bajo poder antioxidante</v>
      </c>
      <c r="BZ506" s="6" t="str">
        <f t="shared" si="218"/>
        <v>Sin probióticos</v>
      </c>
      <c r="CA506" s="18" t="str">
        <f t="shared" si="231"/>
        <v>Altamente inflamatorio</v>
      </c>
      <c r="CB506" s="18" t="str">
        <f>IF(ISNUMBER(SEARCH("miel", D506)), "No irritante (Uso condicionado SII)", IF(OR(J506&gt;0, ISNUMBER(SEARCH("cacao", D506)), ISNUMBER(SEARCH("chocolate puro", D506))), "Altamente irritante", IF(OR(AND(O506&gt;15, BI506&gt;1), ISNUMBER(SEARCH("chocolate", D506))), "Moderadamente irritante", "No irritante")))</f>
        <v>Altamente irritante</v>
      </c>
      <c r="CC506" s="6" t="str">
        <f t="shared" si="219"/>
        <v>Sin Omega 3 para evaluar</v>
      </c>
    </row>
    <row r="507" spans="1:81" ht="15" customHeight="1" x14ac:dyDescent="0.3">
      <c r="A507" s="2">
        <f t="shared" si="220"/>
        <v>506</v>
      </c>
      <c r="B507" s="3" t="s">
        <v>646</v>
      </c>
      <c r="C507" s="3" t="s">
        <v>656</v>
      </c>
      <c r="D507" s="3" t="s">
        <v>663</v>
      </c>
      <c r="E507" s="3"/>
      <c r="F507" s="4">
        <v>1.5</v>
      </c>
      <c r="G507" s="5">
        <v>1</v>
      </c>
      <c r="H507" s="5">
        <v>0.06</v>
      </c>
      <c r="I507" s="5">
        <v>0.04</v>
      </c>
      <c r="J507" s="5">
        <v>2.1</v>
      </c>
      <c r="K507" s="5">
        <v>0.02</v>
      </c>
      <c r="L507" s="5">
        <v>10</v>
      </c>
      <c r="M507" s="5">
        <v>0</v>
      </c>
      <c r="N507" s="5">
        <v>0.9</v>
      </c>
      <c r="O507" s="5">
        <v>0</v>
      </c>
      <c r="P507" s="5">
        <v>0</v>
      </c>
      <c r="Q507" s="5">
        <v>141</v>
      </c>
      <c r="R507" s="5">
        <v>190</v>
      </c>
      <c r="S507" s="5">
        <v>2.4</v>
      </c>
      <c r="T507" s="5">
        <v>3.1</v>
      </c>
      <c r="U507" s="5">
        <v>1.9</v>
      </c>
      <c r="V507" s="5">
        <v>150</v>
      </c>
      <c r="W507" s="5">
        <v>250</v>
      </c>
      <c r="X507" s="5">
        <v>410</v>
      </c>
      <c r="Y507" s="5">
        <v>0.27</v>
      </c>
      <c r="Z507" s="5">
        <v>1.1000000000000001</v>
      </c>
      <c r="AA507" s="5">
        <v>5</v>
      </c>
      <c r="AB507" s="5">
        <v>405</v>
      </c>
      <c r="AC507" s="5">
        <v>3.5</v>
      </c>
      <c r="AD507" s="5">
        <v>0</v>
      </c>
      <c r="AE507" s="5">
        <v>5.5</v>
      </c>
      <c r="AF507" s="5">
        <v>79.400000000000006</v>
      </c>
      <c r="AG507" s="5">
        <v>13.7</v>
      </c>
      <c r="AH507" s="5">
        <v>65.7</v>
      </c>
      <c r="AI507" s="5">
        <v>65.7</v>
      </c>
      <c r="AJ507" s="5">
        <v>5.8</v>
      </c>
      <c r="AK507" s="5">
        <v>6</v>
      </c>
      <c r="AL507" s="5">
        <v>3.5</v>
      </c>
      <c r="AM507" s="5">
        <v>2</v>
      </c>
      <c r="AN507" s="5">
        <v>0.2</v>
      </c>
      <c r="AO507" s="5">
        <v>0</v>
      </c>
      <c r="AP507" s="5">
        <v>1</v>
      </c>
      <c r="AQ507" s="5">
        <v>1</v>
      </c>
      <c r="AR507" s="5">
        <v>0</v>
      </c>
      <c r="AS507" s="5">
        <v>0</v>
      </c>
      <c r="AT507" s="5">
        <v>0.18</v>
      </c>
      <c r="AU507" s="5">
        <v>0.8</v>
      </c>
      <c r="AV507" s="5">
        <f>IFERROR(VLOOKUP(IFERROR(VLOOKUP(D507,Mapa_Similitud!$A$2:$B$2000,2,FALSE()),D507),Hoja1!$A$2:$K$1000,2,FALSE()),IFERROR(VLOOKUP(IFERROR(VLOOKUP(D507,Mapa_Similitud!$A$2:$B$2000,2,FALSE()),D507),Omega3_Referencia!$A$2:$E$100,3,FALSE()),0))</f>
        <v>0.01</v>
      </c>
      <c r="AW507" s="3" t="str">
        <f>IFERROR(VLOOKUP(IFERROR(VLOOKUP(D507,Mapa_Similitud!$A$2:$B$2000,2,FALSE()),D507),Hoja1!$A$2:$K$1000,3,FALSE()),IFERROR(VLOOKUP(IFERROR(VLOOKUP(D507,Mapa_Similitud!$A$2:$B$2000,2,FALSE()),D507),Omega3_Referencia!$A$2:$E$100,4,FALSE()),"N/A"))</f>
        <v>ALA</v>
      </c>
      <c r="AX507" s="5">
        <f>IFERROR(VLOOKUP(IFERROR(VLOOKUP(D507,Mapa_Similitud!$A$2:$B$2000,2,FALSE()),D507),Hoja1!$A$2:$K$1000,5,FALSE()),0)</f>
        <v>0.1</v>
      </c>
      <c r="AY507" s="5">
        <f>IFERROR(VLOOKUP(IFERROR(VLOOKUP(D507,Mapa_Similitud!$A$2:$B$2000,2,FALSE()),D507),Hoja1!$A$2:$K$1000,7,FALSE()),0)</f>
        <v>250</v>
      </c>
      <c r="AZ507" s="5">
        <f>IFERROR(VLOOKUP(IFERROR(VLOOKUP(D507,Mapa_Similitud!$A$2:$B$2000,2,FALSE()),D507),Hoja1!$A$2:$K$1000,9,FALSE()),0)</f>
        <v>0</v>
      </c>
      <c r="BA507" s="25">
        <f t="shared" si="203"/>
        <v>0.33333333333333337</v>
      </c>
      <c r="BB507" s="25">
        <f t="shared" si="204"/>
        <v>0</v>
      </c>
      <c r="BC507" s="25">
        <f t="shared" si="205"/>
        <v>100</v>
      </c>
      <c r="BD507" s="25">
        <f t="shared" si="206"/>
        <v>33.333333333333336</v>
      </c>
      <c r="BE507" s="25">
        <f t="shared" si="207"/>
        <v>16.666666666666668</v>
      </c>
      <c r="BF507" s="25">
        <f t="shared" si="208"/>
        <v>1.6315789473684211E-2</v>
      </c>
      <c r="BG507" s="25">
        <f t="shared" si="209"/>
        <v>1.7142857142857142</v>
      </c>
      <c r="BH507" s="25">
        <f t="shared" si="210"/>
        <v>1.3475177304964538</v>
      </c>
      <c r="BI507" s="25">
        <f t="shared" si="211"/>
        <v>0</v>
      </c>
      <c r="BJ507" s="25">
        <f t="shared" si="212"/>
        <v>0.09</v>
      </c>
      <c r="BK507" s="25">
        <f t="shared" si="213"/>
        <v>0</v>
      </c>
      <c r="BL507" s="25">
        <f t="shared" si="214"/>
        <v>21150</v>
      </c>
      <c r="BM507" s="25">
        <f t="shared" si="215"/>
        <v>16.666666666666668</v>
      </c>
      <c r="BN507" s="18" t="str">
        <f t="shared" si="221"/>
        <v>Muy alta fuente de proteína</v>
      </c>
      <c r="BO507" s="18" t="str">
        <f t="shared" si="222"/>
        <v>Baja fuente de fibra</v>
      </c>
      <c r="BP507" s="18" t="str">
        <f t="shared" si="223"/>
        <v>Alta fuente de calcio</v>
      </c>
      <c r="BQ507" s="18" t="str">
        <f t="shared" si="224"/>
        <v>Alta fuente de hierro</v>
      </c>
      <c r="BR507" s="18" t="str">
        <f t="shared" si="225"/>
        <v>Muy alto en sodio</v>
      </c>
      <c r="BS507" s="6" t="str">
        <f t="shared" si="216"/>
        <v>Proinflamatorio</v>
      </c>
      <c r="BT507" s="6" t="str">
        <f t="shared" si="217"/>
        <v>Muy alto en grasas</v>
      </c>
      <c r="BU507" s="18" t="str">
        <f t="shared" si="226"/>
        <v>Equilibrio de líquidos ideal</v>
      </c>
      <c r="BV507" s="18" t="str">
        <f t="shared" si="227"/>
        <v>Alta fuente de magnesio</v>
      </c>
      <c r="BW507" s="18" t="str">
        <f t="shared" si="228"/>
        <v>Sin aporte de Omega 3</v>
      </c>
      <c r="BX507" s="18" t="str">
        <f t="shared" si="229"/>
        <v>Contiene grasas trans</v>
      </c>
      <c r="BY507" s="18" t="str">
        <f t="shared" si="230"/>
        <v>Alto poder antioxidante</v>
      </c>
      <c r="BZ507" s="6" t="str">
        <f t="shared" si="218"/>
        <v>Sin probióticos</v>
      </c>
      <c r="CA507" s="18" t="str">
        <f t="shared" si="231"/>
        <v>Altamente inflamatorio</v>
      </c>
      <c r="CB507" s="18" t="str">
        <f>IF(ISNUMBER(SEARCH("miel", D507)), "No irritante (Uso condicionado SII)", IF(OR(J507&gt;0, ISNUMBER(SEARCH("cacao", D507)), ISNUMBER(SEARCH("chocolate puro", D507))), "Altamente irritante", IF(OR(AND(O507&gt;15, BI507&gt;1), ISNUMBER(SEARCH("chocolate", D507))), "Moderadamente irritante", "No irritante")))</f>
        <v>Altamente irritante</v>
      </c>
      <c r="CC507" s="6" t="str">
        <f t="shared" si="219"/>
        <v>Exceso relativo de Omega 6</v>
      </c>
    </row>
    <row r="508" spans="1:81" ht="15" customHeight="1" x14ac:dyDescent="0.3">
      <c r="A508" s="2">
        <f t="shared" si="220"/>
        <v>507</v>
      </c>
      <c r="B508" s="3" t="s">
        <v>646</v>
      </c>
      <c r="C508" s="3" t="s">
        <v>656</v>
      </c>
      <c r="D508" s="3" t="s">
        <v>664</v>
      </c>
      <c r="E508" s="3"/>
      <c r="F508" s="4">
        <v>1.5</v>
      </c>
      <c r="G508" s="5">
        <v>1</v>
      </c>
      <c r="H508" s="5">
        <v>0.04</v>
      </c>
      <c r="I508" s="5">
        <v>0.13</v>
      </c>
      <c r="J508" s="5">
        <v>1.2</v>
      </c>
      <c r="K508" s="5">
        <v>0.05</v>
      </c>
      <c r="L508" s="5">
        <v>10</v>
      </c>
      <c r="M508" s="5">
        <v>0</v>
      </c>
      <c r="N508" s="5">
        <v>0.35</v>
      </c>
      <c r="O508" s="5">
        <v>0.01</v>
      </c>
      <c r="P508" s="5">
        <v>0</v>
      </c>
      <c r="Q508" s="5">
        <v>63</v>
      </c>
      <c r="R508" s="5">
        <v>287</v>
      </c>
      <c r="S508" s="5">
        <v>0.92</v>
      </c>
      <c r="T508" s="5">
        <v>5.5</v>
      </c>
      <c r="U508" s="5">
        <v>1.4</v>
      </c>
      <c r="V508" s="5">
        <v>100</v>
      </c>
      <c r="W508" s="5">
        <v>19</v>
      </c>
      <c r="X508" s="5">
        <v>397</v>
      </c>
      <c r="Y508" s="5">
        <v>6.3E-2</v>
      </c>
      <c r="Z508" s="5">
        <v>1.4</v>
      </c>
      <c r="AA508" s="5">
        <v>2.2999999999999998</v>
      </c>
      <c r="AB508" s="5">
        <v>509</v>
      </c>
      <c r="AC508" s="5">
        <v>2.7</v>
      </c>
      <c r="AD508" s="5">
        <v>0</v>
      </c>
      <c r="AE508" s="5">
        <v>5.3</v>
      </c>
      <c r="AF508" s="5">
        <v>47</v>
      </c>
      <c r="AG508" s="5">
        <v>3.8</v>
      </c>
      <c r="AH508" s="5">
        <v>43.2</v>
      </c>
      <c r="AI508" s="5">
        <v>43.2</v>
      </c>
      <c r="AJ508" s="5">
        <v>15</v>
      </c>
      <c r="AK508" s="5">
        <v>30</v>
      </c>
      <c r="AL508" s="5">
        <v>17.899999999999999</v>
      </c>
      <c r="AM508" s="5">
        <v>9.6999999999999993</v>
      </c>
      <c r="AN508" s="5">
        <v>0.95</v>
      </c>
      <c r="AO508" s="5">
        <v>9</v>
      </c>
      <c r="AP508" s="5">
        <v>3.8</v>
      </c>
      <c r="AQ508" s="5">
        <v>0</v>
      </c>
      <c r="AR508" s="5">
        <v>23</v>
      </c>
      <c r="AS508" s="5">
        <v>0</v>
      </c>
      <c r="AT508" s="5">
        <v>0.85</v>
      </c>
      <c r="AU508" s="5">
        <v>5.7</v>
      </c>
      <c r="AV508" s="5">
        <f>IFERROR(VLOOKUP(IFERROR(VLOOKUP(D508,Mapa_Similitud!$A$2:$B$2000,2,FALSE()),D508),Hoja1!$A$2:$K$1000,2,FALSE()),IFERROR(VLOOKUP(IFERROR(VLOOKUP(D508,Mapa_Similitud!$A$2:$B$2000,2,FALSE()),D508),Omega3_Referencia!$A$2:$E$100,3,FALSE()),0))</f>
        <v>0.02</v>
      </c>
      <c r="AW508" s="3" t="str">
        <f>IFERROR(VLOOKUP(IFERROR(VLOOKUP(D508,Mapa_Similitud!$A$2:$B$2000,2,FALSE()),D508),Hoja1!$A$2:$K$1000,3,FALSE()),IFERROR(VLOOKUP(IFERROR(VLOOKUP(D508,Mapa_Similitud!$A$2:$B$2000,2,FALSE()),D508),Omega3_Referencia!$A$2:$E$100,4,FALSE()),"N/A"))</f>
        <v>ALA</v>
      </c>
      <c r="AX508" s="5">
        <f>IFERROR(VLOOKUP(IFERROR(VLOOKUP(D508,Mapa_Similitud!$A$2:$B$2000,2,FALSE()),D508),Hoja1!$A$2:$K$1000,5,FALSE()),0)</f>
        <v>0</v>
      </c>
      <c r="AY508" s="5">
        <f>IFERROR(VLOOKUP(IFERROR(VLOOKUP(D508,Mapa_Similitud!$A$2:$B$2000,2,FALSE()),D508),Hoja1!$A$2:$K$1000,7,FALSE()),0)</f>
        <v>900</v>
      </c>
      <c r="AZ508" s="5">
        <f>IFERROR(VLOOKUP(IFERROR(VLOOKUP(D508,Mapa_Similitud!$A$2:$B$2000,2,FALSE()),D508),Hoja1!$A$2:$K$1000,9,FALSE()),0)</f>
        <v>0</v>
      </c>
      <c r="BA508" s="25">
        <f t="shared" si="203"/>
        <v>1.25</v>
      </c>
      <c r="BB508" s="25">
        <f t="shared" si="204"/>
        <v>0</v>
      </c>
      <c r="BC508" s="25">
        <f t="shared" si="205"/>
        <v>750</v>
      </c>
      <c r="BD508" s="25">
        <f t="shared" si="206"/>
        <v>242.49999999999997</v>
      </c>
      <c r="BE508" s="25">
        <f t="shared" si="207"/>
        <v>0</v>
      </c>
      <c r="BF508" s="25">
        <f t="shared" si="208"/>
        <v>1.9163763066202089E-2</v>
      </c>
      <c r="BG508" s="25">
        <f t="shared" si="209"/>
        <v>1.6759776536312851</v>
      </c>
      <c r="BH508" s="25">
        <f t="shared" si="210"/>
        <v>4.5555555555555554</v>
      </c>
      <c r="BI508" s="25">
        <f t="shared" si="211"/>
        <v>0</v>
      </c>
      <c r="BJ508" s="25">
        <f t="shared" si="212"/>
        <v>3.4999999999999996E-2</v>
      </c>
      <c r="BK508" s="25">
        <f t="shared" si="213"/>
        <v>0</v>
      </c>
      <c r="BL508" s="25">
        <f t="shared" si="214"/>
        <v>14175</v>
      </c>
      <c r="BM508" s="25">
        <f t="shared" si="215"/>
        <v>95</v>
      </c>
      <c r="BN508" s="18" t="str">
        <f t="shared" si="221"/>
        <v>Muy alta fuente de proteína</v>
      </c>
      <c r="BO508" s="18" t="str">
        <f t="shared" si="222"/>
        <v>Baja fuente de fibra</v>
      </c>
      <c r="BP508" s="18" t="str">
        <f t="shared" si="223"/>
        <v>Alta fuente de calcio</v>
      </c>
      <c r="BQ508" s="18" t="str">
        <f t="shared" si="224"/>
        <v>Alta fuente de hierro</v>
      </c>
      <c r="BR508" s="18" t="str">
        <f t="shared" si="225"/>
        <v>Bajo en sodio</v>
      </c>
      <c r="BS508" s="6" t="str">
        <f t="shared" si="216"/>
        <v>Proinflamatorio</v>
      </c>
      <c r="BT508" s="6" t="str">
        <f t="shared" si="217"/>
        <v>Muy alto en grasas</v>
      </c>
      <c r="BU508" s="18" t="str">
        <f t="shared" si="226"/>
        <v>Equilibrio de líquidos ideal</v>
      </c>
      <c r="BV508" s="18" t="str">
        <f t="shared" si="227"/>
        <v>Alta fuente de magnesio</v>
      </c>
      <c r="BW508" s="18" t="str">
        <f t="shared" si="228"/>
        <v>Sin aporte de Omega 3</v>
      </c>
      <c r="BX508" s="18" t="str">
        <f t="shared" si="229"/>
        <v>Libre de grasas trans</v>
      </c>
      <c r="BY508" s="18" t="str">
        <f t="shared" si="230"/>
        <v>Alto poder antioxidante</v>
      </c>
      <c r="BZ508" s="6" t="str">
        <f t="shared" si="218"/>
        <v>Sin probióticos</v>
      </c>
      <c r="CA508" s="18" t="str">
        <f t="shared" si="231"/>
        <v>Altamente inflamatorio</v>
      </c>
      <c r="CB508" s="18" t="str">
        <f>IF(ISNUMBER(SEARCH("miel", D508)), "No irritante (Uso condicionado SII)", IF(OR(J508&gt;0, ISNUMBER(SEARCH("cacao", D508)), ISNUMBER(SEARCH("chocolate puro", D508))), "Altamente irritante", IF(OR(AND(O508&gt;15, BI508&gt;1), ISNUMBER(SEARCH("chocolate", D508))), "Moderadamente irritante", "No irritante")))</f>
        <v>Altamente irritante</v>
      </c>
      <c r="CC508" s="6" t="str">
        <f t="shared" si="219"/>
        <v>Exceso relativo de Omega 6</v>
      </c>
    </row>
    <row r="509" spans="1:81" ht="15" customHeight="1" x14ac:dyDescent="0.3">
      <c r="A509" s="2">
        <f t="shared" si="220"/>
        <v>508</v>
      </c>
      <c r="B509" s="3" t="s">
        <v>646</v>
      </c>
      <c r="C509" s="3" t="s">
        <v>656</v>
      </c>
      <c r="D509" s="3" t="s">
        <v>665</v>
      </c>
      <c r="E509" s="3"/>
      <c r="F509" s="4">
        <v>1.5</v>
      </c>
      <c r="G509" s="5">
        <v>1</v>
      </c>
      <c r="H509" s="5">
        <v>0.03</v>
      </c>
      <c r="I509" s="5">
        <v>0.01</v>
      </c>
      <c r="J509" s="5">
        <v>2</v>
      </c>
      <c r="K509" s="5">
        <v>0.1</v>
      </c>
      <c r="L509" s="5">
        <v>11</v>
      </c>
      <c r="M509" s="5">
        <v>0</v>
      </c>
      <c r="N509" s="5">
        <v>0.46</v>
      </c>
      <c r="O509" s="5">
        <v>0</v>
      </c>
      <c r="P509" s="5">
        <v>0</v>
      </c>
      <c r="Q509" s="5">
        <v>130</v>
      </c>
      <c r="R509" s="5">
        <v>180</v>
      </c>
      <c r="S509" s="5">
        <v>2.2000000000000002</v>
      </c>
      <c r="T509" s="5">
        <v>12</v>
      </c>
      <c r="U509" s="5">
        <v>1</v>
      </c>
      <c r="V509" s="5">
        <v>65</v>
      </c>
      <c r="W509" s="5">
        <v>50</v>
      </c>
      <c r="X509" s="5">
        <v>390</v>
      </c>
      <c r="Y509" s="5">
        <v>1.1000000000000001</v>
      </c>
      <c r="Z509" s="5">
        <v>0.48</v>
      </c>
      <c r="AA509" s="5">
        <v>3.8</v>
      </c>
      <c r="AB509" s="5">
        <v>555</v>
      </c>
      <c r="AC509" s="5">
        <v>1.9</v>
      </c>
      <c r="AD509" s="5">
        <v>0</v>
      </c>
      <c r="AE509" s="5">
        <v>6.2</v>
      </c>
      <c r="AF509" s="5">
        <v>57.8</v>
      </c>
      <c r="AG509" s="5">
        <v>1.8</v>
      </c>
      <c r="AH509" s="5">
        <v>56</v>
      </c>
      <c r="AI509" s="5">
        <v>51.5</v>
      </c>
      <c r="AJ509" s="5">
        <v>1.1000000000000001</v>
      </c>
      <c r="AK509" s="5">
        <v>33</v>
      </c>
      <c r="AL509" s="5">
        <v>10.1</v>
      </c>
      <c r="AM509" s="5">
        <v>16.8</v>
      </c>
      <c r="AN509" s="5">
        <v>4.5999999999999996</v>
      </c>
      <c r="AO509" s="5">
        <v>2</v>
      </c>
      <c r="AP509" s="5">
        <v>0.17</v>
      </c>
      <c r="AQ509" s="5">
        <v>0</v>
      </c>
      <c r="AR509" s="5">
        <v>1</v>
      </c>
      <c r="AS509" s="5">
        <v>0</v>
      </c>
      <c r="AT509" s="5">
        <v>3</v>
      </c>
      <c r="AU509" s="5">
        <v>5.0999999999999996</v>
      </c>
      <c r="AV509" s="5">
        <f>IFERROR(VLOOKUP(IFERROR(VLOOKUP(D509,Mapa_Similitud!$A$2:$B$2000,2,FALSE()),D509),Hoja1!$A$2:$K$1000,2,FALSE()),IFERROR(VLOOKUP(IFERROR(VLOOKUP(D509,Mapa_Similitud!$A$2:$B$2000,2,FALSE()),D509),Omega3_Referencia!$A$2:$E$100,3,FALSE()),0))</f>
        <v>0.02</v>
      </c>
      <c r="AW509" s="3" t="str">
        <f>IFERROR(VLOOKUP(IFERROR(VLOOKUP(D509,Mapa_Similitud!$A$2:$B$2000,2,FALSE()),D509),Hoja1!$A$2:$K$1000,3,FALSE()),IFERROR(VLOOKUP(IFERROR(VLOOKUP(D509,Mapa_Similitud!$A$2:$B$2000,2,FALSE()),D509),Omega3_Referencia!$A$2:$E$100,4,FALSE()),"N/A"))</f>
        <v>ALA</v>
      </c>
      <c r="AX509" s="5">
        <f>IFERROR(VLOOKUP(IFERROR(VLOOKUP(D509,Mapa_Similitud!$A$2:$B$2000,2,FALSE()),D509),Hoja1!$A$2:$K$1000,5,FALSE()),0)</f>
        <v>0.3</v>
      </c>
      <c r="AY509" s="5">
        <f>IFERROR(VLOOKUP(IFERROR(VLOOKUP(D509,Mapa_Similitud!$A$2:$B$2000,2,FALSE()),D509),Hoja1!$A$2:$K$1000,7,FALSE()),0)</f>
        <v>120</v>
      </c>
      <c r="AZ509" s="5">
        <f>IFERROR(VLOOKUP(IFERROR(VLOOKUP(D509,Mapa_Similitud!$A$2:$B$2000,2,FALSE()),D509),Hoja1!$A$2:$K$1000,9,FALSE()),0)</f>
        <v>0</v>
      </c>
      <c r="BA509" s="25">
        <f t="shared" si="203"/>
        <v>3.3333333333333335</v>
      </c>
      <c r="BB509" s="25">
        <f t="shared" si="204"/>
        <v>0</v>
      </c>
      <c r="BC509" s="25">
        <f t="shared" si="205"/>
        <v>1100</v>
      </c>
      <c r="BD509" s="25">
        <f t="shared" si="206"/>
        <v>560</v>
      </c>
      <c r="BE509" s="25">
        <f t="shared" si="207"/>
        <v>0</v>
      </c>
      <c r="BF509" s="25">
        <f t="shared" si="208"/>
        <v>6.6666666666666666E-2</v>
      </c>
      <c r="BG509" s="25">
        <f t="shared" si="209"/>
        <v>3.2673267326732676</v>
      </c>
      <c r="BH509" s="25">
        <f t="shared" si="210"/>
        <v>1.3846153846153846</v>
      </c>
      <c r="BI509" s="25">
        <f t="shared" si="211"/>
        <v>0</v>
      </c>
      <c r="BJ509" s="25">
        <f t="shared" si="212"/>
        <v>4.1818181818181817E-2</v>
      </c>
      <c r="BK509" s="25">
        <f t="shared" si="213"/>
        <v>0</v>
      </c>
      <c r="BL509" s="25">
        <f t="shared" si="214"/>
        <v>39000</v>
      </c>
      <c r="BM509" s="25">
        <f t="shared" si="215"/>
        <v>5.666666666666667</v>
      </c>
      <c r="BN509" s="18" t="str">
        <f t="shared" si="221"/>
        <v>Muy alta fuente de proteína</v>
      </c>
      <c r="BO509" s="18" t="str">
        <f t="shared" si="222"/>
        <v>Baja fuente de fibra</v>
      </c>
      <c r="BP509" s="18" t="str">
        <f t="shared" si="223"/>
        <v>Alta fuente de calcio</v>
      </c>
      <c r="BQ509" s="18" t="str">
        <f t="shared" si="224"/>
        <v>Alta fuente de hierro</v>
      </c>
      <c r="BR509" s="18" t="str">
        <f t="shared" si="225"/>
        <v>Bajo en sodio</v>
      </c>
      <c r="BS509" s="6" t="str">
        <f t="shared" si="216"/>
        <v>Proinflamatorio</v>
      </c>
      <c r="BT509" s="6" t="str">
        <f t="shared" si="217"/>
        <v>Muy alto en grasas</v>
      </c>
      <c r="BU509" s="18" t="str">
        <f t="shared" si="226"/>
        <v>Equilibrio de líquidos ideal</v>
      </c>
      <c r="BV509" s="18" t="str">
        <f t="shared" si="227"/>
        <v>Alta fuente de magnesio</v>
      </c>
      <c r="BW509" s="18" t="str">
        <f t="shared" si="228"/>
        <v>Sin aporte de Omega 3</v>
      </c>
      <c r="BX509" s="18" t="str">
        <f t="shared" si="229"/>
        <v>Contiene grasas trans</v>
      </c>
      <c r="BY509" s="18" t="str">
        <f t="shared" si="230"/>
        <v>Alto poder antioxidante</v>
      </c>
      <c r="BZ509" s="6" t="str">
        <f t="shared" si="218"/>
        <v>Sin probióticos</v>
      </c>
      <c r="CA509" s="18" t="str">
        <f t="shared" si="231"/>
        <v>Altamente inflamatorio</v>
      </c>
      <c r="CB509" s="18" t="str">
        <f>IF(ISNUMBER(SEARCH("miel", D509)), "No irritante (Uso condicionado SII)", IF(OR(J509&gt;0, ISNUMBER(SEARCH("cacao", D509)), ISNUMBER(SEARCH("chocolate puro", D509))), "Altamente irritante", IF(OR(AND(O509&gt;15, BI509&gt;1), ISNUMBER(SEARCH("chocolate", D509))), "Moderadamente irritante", "No irritante")))</f>
        <v>Altamente irritante</v>
      </c>
      <c r="CC509" s="6" t="str">
        <f t="shared" si="219"/>
        <v>Exceso relativo de Omega 6</v>
      </c>
    </row>
    <row r="510" spans="1:81" ht="15" customHeight="1" x14ac:dyDescent="0.3">
      <c r="A510" s="2">
        <f t="shared" si="220"/>
        <v>509</v>
      </c>
      <c r="B510" s="3" t="s">
        <v>646</v>
      </c>
      <c r="C510" s="3" t="s">
        <v>666</v>
      </c>
      <c r="D510" s="3" t="s">
        <v>667</v>
      </c>
      <c r="E510" s="3"/>
      <c r="F510" s="4">
        <v>1.5</v>
      </c>
      <c r="G510" s="5">
        <v>1</v>
      </c>
      <c r="H510" s="5">
        <v>513</v>
      </c>
      <c r="I510" s="5">
        <v>1.2</v>
      </c>
      <c r="J510" s="5">
        <v>0</v>
      </c>
      <c r="K510" s="5">
        <v>9.4</v>
      </c>
      <c r="L510" s="5">
        <v>60.5</v>
      </c>
      <c r="M510" s="5">
        <v>3.5</v>
      </c>
      <c r="N510" s="5">
        <v>53.5</v>
      </c>
      <c r="O510" s="5">
        <v>49.5</v>
      </c>
      <c r="P510" s="5">
        <v>2.7</v>
      </c>
      <c r="Q510" s="5">
        <v>25.4</v>
      </c>
      <c r="R510" s="5">
        <v>9.8000000000000007</v>
      </c>
      <c r="S510" s="5">
        <v>12</v>
      </c>
      <c r="T510" s="5">
        <v>2.5</v>
      </c>
      <c r="U510" s="5">
        <v>7.5</v>
      </c>
      <c r="V510" s="5">
        <v>103</v>
      </c>
      <c r="W510" s="5">
        <v>103</v>
      </c>
      <c r="X510" s="5">
        <v>0</v>
      </c>
      <c r="Y510" s="5">
        <v>0.04</v>
      </c>
      <c r="Z510" s="5">
        <v>2.9</v>
      </c>
      <c r="AA510" s="5">
        <v>0</v>
      </c>
      <c r="AB510" s="5">
        <v>0.06</v>
      </c>
      <c r="AC510" s="5">
        <v>0.22</v>
      </c>
      <c r="AD510" s="5">
        <v>0.1</v>
      </c>
      <c r="AE510" s="5">
        <v>0.05</v>
      </c>
      <c r="AF510" s="5">
        <v>5.4</v>
      </c>
      <c r="AG510" s="5">
        <v>0.54</v>
      </c>
      <c r="AH510" s="5">
        <v>0</v>
      </c>
      <c r="AI510" s="5">
        <v>0</v>
      </c>
      <c r="AJ510" s="5">
        <v>1.2</v>
      </c>
      <c r="AK510" s="5">
        <v>112</v>
      </c>
      <c r="AL510" s="5">
        <v>230</v>
      </c>
      <c r="AM510" s="5">
        <v>1.6</v>
      </c>
      <c r="AN510" s="5">
        <v>7.2</v>
      </c>
      <c r="AO510" s="5">
        <v>4.0999999999999996</v>
      </c>
      <c r="AP510" s="5">
        <v>146</v>
      </c>
      <c r="AQ510" s="5">
        <v>65</v>
      </c>
      <c r="AR510" s="5">
        <v>117</v>
      </c>
      <c r="AS510" s="5">
        <v>0</v>
      </c>
      <c r="AT510" s="5">
        <v>0</v>
      </c>
      <c r="AU510" s="5">
        <v>1</v>
      </c>
      <c r="AV510" s="5">
        <f>IFERROR(VLOOKUP(IFERROR(VLOOKUP(D510,Mapa_Similitud!$A$2:$B$2000,2,FALSE()),D510),Hoja1!$A$2:$K$1000,2,FALSE()),IFERROR(VLOOKUP(IFERROR(VLOOKUP(D510,Mapa_Similitud!$A$2:$B$2000,2,FALSE()),D510),Omega3_Referencia!$A$2:$E$100,3,FALSE()),0))</f>
        <v>0.01</v>
      </c>
      <c r="AW510" s="3" t="str">
        <f>IFERROR(VLOOKUP(IFERROR(VLOOKUP(D510,Mapa_Similitud!$A$2:$B$2000,2,FALSE()),D510),Hoja1!$A$2:$K$1000,3,FALSE()),IFERROR(VLOOKUP(IFERROR(VLOOKUP(D510,Mapa_Similitud!$A$2:$B$2000,2,FALSE()),D510),Omega3_Referencia!$A$2:$E$100,4,FALSE()),"N/A"))</f>
        <v>ALA</v>
      </c>
      <c r="AX510" s="5">
        <f>IFERROR(VLOOKUP(IFERROR(VLOOKUP(D510,Mapa_Similitud!$A$2:$B$2000,2,FALSE()),D510),Hoja1!$A$2:$K$1000,5,FALSE()),0)</f>
        <v>0.2</v>
      </c>
      <c r="AY510" s="5">
        <f>IFERROR(VLOOKUP(IFERROR(VLOOKUP(D510,Mapa_Similitud!$A$2:$B$2000,2,FALSE()),D510),Hoja1!$A$2:$K$1000,7,FALSE()),0)</f>
        <v>80</v>
      </c>
      <c r="AZ510" s="5">
        <f>IFERROR(VLOOKUP(IFERROR(VLOOKUP(D510,Mapa_Similitud!$A$2:$B$2000,2,FALSE()),D510),Hoja1!$A$2:$K$1000,9,FALSE()),0)</f>
        <v>0</v>
      </c>
      <c r="BA510" s="25">
        <f t="shared" si="203"/>
        <v>1.8323586744639377E-2</v>
      </c>
      <c r="BB510" s="25">
        <f t="shared" si="204"/>
        <v>5.2631578947368429E-3</v>
      </c>
      <c r="BC510" s="25">
        <f t="shared" si="205"/>
        <v>0.21832358674463936</v>
      </c>
      <c r="BD510" s="25">
        <f t="shared" si="206"/>
        <v>3.1189083820662772E-3</v>
      </c>
      <c r="BE510" s="25">
        <f t="shared" si="207"/>
        <v>0.12670565302144249</v>
      </c>
      <c r="BF510" s="25">
        <f t="shared" si="208"/>
        <v>0.25510204081632654</v>
      </c>
      <c r="BG510" s="25">
        <f t="shared" si="209"/>
        <v>0.48695652173913045</v>
      </c>
      <c r="BH510" s="25">
        <f t="shared" si="210"/>
        <v>0.38582677165354334</v>
      </c>
      <c r="BI510" s="25">
        <f t="shared" si="211"/>
        <v>0.55555555555555558</v>
      </c>
      <c r="BJ510" s="25">
        <f t="shared" si="212"/>
        <v>0.88429752066115708</v>
      </c>
      <c r="BK510" s="25">
        <f t="shared" si="213"/>
        <v>4.4628099173553724E-2</v>
      </c>
      <c r="BL510" s="25">
        <f t="shared" si="214"/>
        <v>0.4456140350877193</v>
      </c>
      <c r="BM510" s="25">
        <f t="shared" si="215"/>
        <v>0.28460038986354774</v>
      </c>
      <c r="BN510" s="18" t="str">
        <f t="shared" si="221"/>
        <v>Baja fuente de proteína</v>
      </c>
      <c r="BO510" s="18" t="str">
        <f t="shared" si="222"/>
        <v>Baja fuente de fibra</v>
      </c>
      <c r="BP510" s="18" t="str">
        <f t="shared" si="223"/>
        <v>Baja fuente de calcio</v>
      </c>
      <c r="BQ510" s="18" t="str">
        <f t="shared" si="224"/>
        <v>Baja fuente de hierro</v>
      </c>
      <c r="BR510" s="18" t="str">
        <f t="shared" si="225"/>
        <v>Bajo en sodio</v>
      </c>
      <c r="BS510" s="6" t="str">
        <f t="shared" si="216"/>
        <v>Proinflamatorio</v>
      </c>
      <c r="BT510" s="6" t="str">
        <f t="shared" si="217"/>
        <v>Muy alto en grasas</v>
      </c>
      <c r="BU510" s="18" t="str">
        <f t="shared" si="226"/>
        <v>Riesgo moderado de retención</v>
      </c>
      <c r="BV510" s="18" t="str">
        <f t="shared" si="227"/>
        <v>Media fuente de magnesio</v>
      </c>
      <c r="BW510" s="18" t="str">
        <f t="shared" si="228"/>
        <v>Sin aporte de Omega 3</v>
      </c>
      <c r="BX510" s="18" t="str">
        <f t="shared" si="229"/>
        <v>Contiene grasas trans</v>
      </c>
      <c r="BY510" s="18" t="str">
        <f t="shared" si="230"/>
        <v>Alto poder antioxidante</v>
      </c>
      <c r="BZ510" s="6" t="str">
        <f t="shared" si="218"/>
        <v>Sin probióticos</v>
      </c>
      <c r="CA510" s="18" t="str">
        <f t="shared" si="231"/>
        <v>Altamente inflamatorio</v>
      </c>
      <c r="CB510" s="18" t="str">
        <f>IF(ISNUMBER(SEARCH("miel", D510)), "No irritante (Uso condicionado SII)", IF(OR(J510&gt;0, ISNUMBER(SEARCH("cacao", D510)), ISNUMBER(SEARCH("chocolate puro", D510))), "Altamente irritante", IF(OR(AND(O510&gt;15, BI510&gt;1), ISNUMBER(SEARCH("chocolate", D510))), "Moderadamente irritante", "No irritante")))</f>
        <v>Moderadamente irritante</v>
      </c>
      <c r="CC510" s="6" t="str">
        <f t="shared" si="219"/>
        <v>Exceso relativo de Omega 6</v>
      </c>
    </row>
    <row r="511" spans="1:81" ht="15" customHeight="1" x14ac:dyDescent="0.3">
      <c r="A511" s="2">
        <f t="shared" si="220"/>
        <v>510</v>
      </c>
      <c r="B511" s="3" t="s">
        <v>646</v>
      </c>
      <c r="C511" s="3" t="s">
        <v>666</v>
      </c>
      <c r="D511" s="3" t="s">
        <v>668</v>
      </c>
      <c r="E511" s="3"/>
      <c r="F511" s="4">
        <v>1.5</v>
      </c>
      <c r="G511" s="5">
        <v>1</v>
      </c>
      <c r="H511" s="5">
        <v>321</v>
      </c>
      <c r="I511" s="5">
        <v>26.6</v>
      </c>
      <c r="J511" s="5">
        <v>0</v>
      </c>
      <c r="K511" s="5">
        <v>5.2</v>
      </c>
      <c r="L511" s="5">
        <v>62</v>
      </c>
      <c r="M511" s="5">
        <v>0.6</v>
      </c>
      <c r="N511" s="5">
        <v>61.3</v>
      </c>
      <c r="O511" s="5">
        <v>61.3</v>
      </c>
      <c r="P511" s="5">
        <v>0.7</v>
      </c>
      <c r="Q511" s="5">
        <v>5.6</v>
      </c>
      <c r="R511" s="5">
        <v>4.2</v>
      </c>
      <c r="S511" s="5">
        <v>1</v>
      </c>
      <c r="T511" s="5">
        <v>0.14000000000000001</v>
      </c>
      <c r="U511" s="5">
        <v>12</v>
      </c>
      <c r="V511" s="5">
        <v>74</v>
      </c>
      <c r="W511" s="5">
        <v>73</v>
      </c>
      <c r="X511" s="5">
        <v>14</v>
      </c>
      <c r="Y511" s="5">
        <v>0.15</v>
      </c>
      <c r="Z511" s="5">
        <v>0.2</v>
      </c>
      <c r="AA511" s="5">
        <v>1.3</v>
      </c>
      <c r="AB511" s="5">
        <v>1.6E-2</v>
      </c>
      <c r="AC511" s="5">
        <v>0.41</v>
      </c>
      <c r="AD511" s="5">
        <v>0.21</v>
      </c>
      <c r="AE511" s="5">
        <v>1.6E-2</v>
      </c>
      <c r="AF511" s="5">
        <v>11</v>
      </c>
      <c r="AG511" s="5">
        <v>0.31</v>
      </c>
      <c r="AH511" s="5">
        <v>0</v>
      </c>
      <c r="AI511" s="5">
        <v>0</v>
      </c>
      <c r="AJ511" s="5">
        <v>2.6</v>
      </c>
      <c r="AK511" s="5">
        <v>215</v>
      </c>
      <c r="AL511" s="5">
        <v>193</v>
      </c>
      <c r="AM511" s="5">
        <v>0.17</v>
      </c>
      <c r="AN511" s="5">
        <v>0</v>
      </c>
      <c r="AO511" s="5">
        <v>0.79</v>
      </c>
      <c r="AP511" s="5">
        <v>22</v>
      </c>
      <c r="AQ511" s="5">
        <v>52</v>
      </c>
      <c r="AR511" s="5">
        <v>157</v>
      </c>
      <c r="AS511" s="5">
        <v>0</v>
      </c>
      <c r="AT511" s="5">
        <v>0</v>
      </c>
      <c r="AU511" s="5">
        <v>0</v>
      </c>
      <c r="AV511" s="5">
        <f>IFERROR(VLOOKUP(IFERROR(VLOOKUP(D511,Mapa_Similitud!$A$2:$B$2000,2,FALSE()),D511),Hoja1!$A$2:$K$1000,2,FALSE()),IFERROR(VLOOKUP(IFERROR(VLOOKUP(D511,Mapa_Similitud!$A$2:$B$2000,2,FALSE()),D511),Omega3_Referencia!$A$2:$E$100,3,FALSE()),0))</f>
        <v>0</v>
      </c>
      <c r="AW511" s="3" t="str">
        <f>IFERROR(VLOOKUP(IFERROR(VLOOKUP(D511,Mapa_Similitud!$A$2:$B$2000,2,FALSE()),D511),Hoja1!$A$2:$K$1000,3,FALSE()),IFERROR(VLOOKUP(IFERROR(VLOOKUP(D511,Mapa_Similitud!$A$2:$B$2000,2,FALSE()),D511),Omega3_Referencia!$A$2:$E$100,4,FALSE()),"N/A"))</f>
        <v>N/A</v>
      </c>
      <c r="AX511" s="5">
        <f>IFERROR(VLOOKUP(IFERROR(VLOOKUP(D511,Mapa_Similitud!$A$2:$B$2000,2,FALSE()),D511),Hoja1!$A$2:$K$1000,5,FALSE()),0)</f>
        <v>0.1</v>
      </c>
      <c r="AY511" s="5">
        <f>IFERROR(VLOOKUP(IFERROR(VLOOKUP(D511,Mapa_Similitud!$A$2:$B$2000,2,FALSE()),D511),Hoja1!$A$2:$K$1000,7,FALSE()),0)</f>
        <v>0</v>
      </c>
      <c r="AZ511" s="5">
        <f>IFERROR(VLOOKUP(IFERROR(VLOOKUP(D511,Mapa_Similitud!$A$2:$B$2000,2,FALSE()),D511),Hoja1!$A$2:$K$1000,9,FALSE()),0)</f>
        <v>0</v>
      </c>
      <c r="BA511" s="25">
        <f t="shared" si="203"/>
        <v>1.61993769470405E-2</v>
      </c>
      <c r="BB511" s="25">
        <f t="shared" si="204"/>
        <v>2.1806853582554517E-3</v>
      </c>
      <c r="BC511" s="25">
        <f t="shared" si="205"/>
        <v>0.66978193146417442</v>
      </c>
      <c r="BD511" s="25">
        <f t="shared" si="206"/>
        <v>5.2959501557632398E-4</v>
      </c>
      <c r="BE511" s="25">
        <f t="shared" si="207"/>
        <v>0.16199376947040497</v>
      </c>
      <c r="BF511" s="25">
        <f t="shared" si="208"/>
        <v>3.3333333333333333E-2</v>
      </c>
      <c r="BG511" s="25">
        <f t="shared" si="209"/>
        <v>1.1139896373056994</v>
      </c>
      <c r="BH511" s="25">
        <f t="shared" si="210"/>
        <v>0.75000000000000011</v>
      </c>
      <c r="BI511" s="25">
        <f t="shared" si="211"/>
        <v>0.33121019108280253</v>
      </c>
      <c r="BJ511" s="25">
        <f t="shared" si="212"/>
        <v>0.98870967741935478</v>
      </c>
      <c r="BK511" s="25">
        <f t="shared" si="213"/>
        <v>1.1290322580645161E-2</v>
      </c>
      <c r="BL511" s="25">
        <f t="shared" si="214"/>
        <v>0.15700934579439252</v>
      </c>
      <c r="BM511" s="25">
        <f t="shared" si="215"/>
        <v>6.8535825545171333E-2</v>
      </c>
      <c r="BN511" s="18" t="str">
        <f t="shared" si="221"/>
        <v>Baja fuente de proteína</v>
      </c>
      <c r="BO511" s="18" t="str">
        <f t="shared" si="222"/>
        <v>Baja fuente de fibra</v>
      </c>
      <c r="BP511" s="18" t="str">
        <f t="shared" si="223"/>
        <v>Baja fuente de calcio</v>
      </c>
      <c r="BQ511" s="18" t="str">
        <f t="shared" si="224"/>
        <v>Baja fuente de hierro</v>
      </c>
      <c r="BR511" s="18" t="str">
        <f t="shared" si="225"/>
        <v>Bajo en sodio</v>
      </c>
      <c r="BS511" s="6" t="str">
        <f t="shared" si="216"/>
        <v>Proinflamatorio</v>
      </c>
      <c r="BT511" s="6" t="str">
        <f t="shared" si="217"/>
        <v>Bajo en grasas</v>
      </c>
      <c r="BU511" s="18" t="str">
        <f t="shared" si="226"/>
        <v>Equilibrio de líquidos ideal</v>
      </c>
      <c r="BV511" s="18" t="str">
        <f t="shared" si="227"/>
        <v>Baja fuente de magnesio</v>
      </c>
      <c r="BW511" s="18" t="str">
        <f t="shared" si="228"/>
        <v>Sin aporte de Omega 3</v>
      </c>
      <c r="BX511" s="18" t="str">
        <f t="shared" si="229"/>
        <v>Contiene grasas trans</v>
      </c>
      <c r="BY511" s="18" t="str">
        <f t="shared" si="230"/>
        <v>Bajo poder antioxidante</v>
      </c>
      <c r="BZ511" s="6" t="str">
        <f t="shared" si="218"/>
        <v>Sin probióticos</v>
      </c>
      <c r="CA511" s="18" t="str">
        <f t="shared" si="231"/>
        <v>Altamente inflamatorio</v>
      </c>
      <c r="CB511" s="18" t="str">
        <f>IF(ISNUMBER(SEARCH("miel", D511)), "No irritante (Uso condicionado SII)", IF(OR(J511&gt;0, ISNUMBER(SEARCH("cacao", D511)), ISNUMBER(SEARCH("chocolate puro", D511))), "Altamente irritante", IF(OR(AND(O511&gt;15, BI511&gt;1), ISNUMBER(SEARCH("chocolate", D511))), "Moderadamente irritante", "No irritante")))</f>
        <v>No irritante</v>
      </c>
      <c r="CC511" s="6" t="str">
        <f t="shared" si="219"/>
        <v>Sin Omega 3 para evaluar</v>
      </c>
    </row>
    <row r="512" spans="1:81" ht="15" customHeight="1" x14ac:dyDescent="0.3">
      <c r="A512" s="2">
        <f t="shared" si="220"/>
        <v>511</v>
      </c>
      <c r="B512" s="3" t="s">
        <v>646</v>
      </c>
      <c r="C512" s="3" t="s">
        <v>666</v>
      </c>
      <c r="D512" s="3" t="s">
        <v>669</v>
      </c>
      <c r="E512" s="3"/>
      <c r="F512" s="4">
        <v>1.5</v>
      </c>
      <c r="G512" s="5">
        <v>1</v>
      </c>
      <c r="H512" s="5">
        <v>503</v>
      </c>
      <c r="I512" s="5">
        <v>2.4</v>
      </c>
      <c r="J512" s="5">
        <v>0</v>
      </c>
      <c r="K512" s="5">
        <v>8</v>
      </c>
      <c r="L512" s="5">
        <v>58.7</v>
      </c>
      <c r="M512" s="5">
        <v>9.6999999999999993</v>
      </c>
      <c r="N512" s="5">
        <v>49</v>
      </c>
      <c r="O512" s="5">
        <v>49</v>
      </c>
      <c r="P512" s="5">
        <v>6</v>
      </c>
      <c r="Q512" s="5">
        <v>24.9</v>
      </c>
      <c r="R512" s="5">
        <v>2</v>
      </c>
      <c r="S512" s="5">
        <v>17.100000000000001</v>
      </c>
      <c r="T512" s="5">
        <v>4.7</v>
      </c>
      <c r="U512" s="5">
        <v>53.3</v>
      </c>
      <c r="V512" s="5">
        <v>14</v>
      </c>
      <c r="W512" s="5">
        <v>14</v>
      </c>
      <c r="X512" s="5">
        <v>0</v>
      </c>
      <c r="Y512" s="5">
        <v>0.1</v>
      </c>
      <c r="Z512" s="5">
        <v>10.8</v>
      </c>
      <c r="AA512" s="5">
        <v>1.5</v>
      </c>
      <c r="AB512" s="5">
        <v>0.1</v>
      </c>
      <c r="AC512" s="5">
        <v>0.45</v>
      </c>
      <c r="AD512" s="5">
        <v>3.2</v>
      </c>
      <c r="AE512" s="5">
        <v>0.06</v>
      </c>
      <c r="AF512" s="5">
        <v>25</v>
      </c>
      <c r="AG512" s="5">
        <v>0.2</v>
      </c>
      <c r="AH512" s="5">
        <v>0.35</v>
      </c>
      <c r="AI512" s="5">
        <v>2</v>
      </c>
      <c r="AJ512" s="5">
        <v>2</v>
      </c>
      <c r="AK512" s="5">
        <v>43</v>
      </c>
      <c r="AL512" s="5">
        <v>220</v>
      </c>
      <c r="AM512" s="5">
        <v>2</v>
      </c>
      <c r="AN512" s="5">
        <v>5</v>
      </c>
      <c r="AO512" s="5">
        <v>1.5</v>
      </c>
      <c r="AP512" s="5">
        <v>120</v>
      </c>
      <c r="AQ512" s="5">
        <v>5</v>
      </c>
      <c r="AR512" s="5">
        <v>209</v>
      </c>
      <c r="AS512" s="5">
        <v>0.8</v>
      </c>
      <c r="AT512" s="5">
        <v>0.08</v>
      </c>
      <c r="AU512" s="5">
        <v>3</v>
      </c>
      <c r="AV512" s="5">
        <f>IFERROR(VLOOKUP(IFERROR(VLOOKUP(D512,Mapa_Similitud!$A$2:$B$2000,2,FALSE()),D512),Hoja1!$A$2:$K$1000,2,FALSE()),IFERROR(VLOOKUP(IFERROR(VLOOKUP(D512,Mapa_Similitud!$A$2:$B$2000,2,FALSE()),D512),Omega3_Referencia!$A$2:$E$100,3,FALSE()),0))</f>
        <v>0</v>
      </c>
      <c r="AW512" s="3" t="str">
        <f>IFERROR(VLOOKUP(IFERROR(VLOOKUP(D512,Mapa_Similitud!$A$2:$B$2000,2,FALSE()),D512),Hoja1!$A$2:$K$1000,3,FALSE()),IFERROR(VLOOKUP(IFERROR(VLOOKUP(D512,Mapa_Similitud!$A$2:$B$2000,2,FALSE()),D512),Omega3_Referencia!$A$2:$E$100,4,FALSE()),"N/A"))</f>
        <v>N/A</v>
      </c>
      <c r="AX512" s="5">
        <f>IFERROR(VLOOKUP(IFERROR(VLOOKUP(D512,Mapa_Similitud!$A$2:$B$2000,2,FALSE()),D512),Hoja1!$A$2:$K$1000,5,FALSE()),0)</f>
        <v>0.1</v>
      </c>
      <c r="AY512" s="5">
        <f>IFERROR(VLOOKUP(IFERROR(VLOOKUP(D512,Mapa_Similitud!$A$2:$B$2000,2,FALSE()),D512),Hoja1!$A$2:$K$1000,7,FALSE()),0)</f>
        <v>0</v>
      </c>
      <c r="AZ512" s="5">
        <f>IFERROR(VLOOKUP(IFERROR(VLOOKUP(D512,Mapa_Similitud!$A$2:$B$2000,2,FALSE()),D512),Hoja1!$A$2:$K$1000,9,FALSE()),0)</f>
        <v>0</v>
      </c>
      <c r="BA512" s="25">
        <f t="shared" si="203"/>
        <v>1.5904572564612324E-2</v>
      </c>
      <c r="BB512" s="25">
        <f t="shared" si="204"/>
        <v>1.1928429423459244E-2</v>
      </c>
      <c r="BC512" s="25">
        <f t="shared" si="205"/>
        <v>8.5487077534791248E-2</v>
      </c>
      <c r="BD512" s="25">
        <f t="shared" si="206"/>
        <v>3.9761431411530811E-3</v>
      </c>
      <c r="BE512" s="25">
        <f t="shared" si="207"/>
        <v>9.9403578528827041E-3</v>
      </c>
      <c r="BF512" s="25">
        <f t="shared" si="208"/>
        <v>2.35</v>
      </c>
      <c r="BG512" s="25">
        <f t="shared" si="209"/>
        <v>0.19545454545454546</v>
      </c>
      <c r="BH512" s="25">
        <f t="shared" si="210"/>
        <v>8.0321285140562249E-2</v>
      </c>
      <c r="BI512" s="25">
        <f t="shared" si="211"/>
        <v>2.3923444976076555E-2</v>
      </c>
      <c r="BJ512" s="25">
        <f t="shared" si="212"/>
        <v>0.83475298126064734</v>
      </c>
      <c r="BK512" s="25">
        <f t="shared" si="213"/>
        <v>0.10221465076660988</v>
      </c>
      <c r="BL512" s="25">
        <f t="shared" si="214"/>
        <v>0.44552683896620277</v>
      </c>
      <c r="BM512" s="25">
        <f t="shared" si="215"/>
        <v>0.23856858846918488</v>
      </c>
      <c r="BN512" s="18" t="str">
        <f t="shared" si="221"/>
        <v>Baja fuente de proteína</v>
      </c>
      <c r="BO512" s="18" t="str">
        <f t="shared" si="222"/>
        <v>Baja fuente de fibra</v>
      </c>
      <c r="BP512" s="18" t="str">
        <f t="shared" si="223"/>
        <v>Baja fuente de calcio</v>
      </c>
      <c r="BQ512" s="18" t="str">
        <f t="shared" si="224"/>
        <v>Baja fuente de hierro</v>
      </c>
      <c r="BR512" s="18" t="str">
        <f t="shared" si="225"/>
        <v>Bajo en sodio</v>
      </c>
      <c r="BS512" s="6" t="str">
        <f t="shared" si="216"/>
        <v>Altamente antiinflamatorio</v>
      </c>
      <c r="BT512" s="6" t="str">
        <f t="shared" si="217"/>
        <v>Muy alto en grasas</v>
      </c>
      <c r="BU512" s="18" t="str">
        <f t="shared" si="226"/>
        <v>Equilibrio de líquidos ideal</v>
      </c>
      <c r="BV512" s="18" t="str">
        <f t="shared" si="227"/>
        <v>Media fuente de magnesio</v>
      </c>
      <c r="BW512" s="18" t="str">
        <f t="shared" si="228"/>
        <v>Sin aporte de Omega 3</v>
      </c>
      <c r="BX512" s="18" t="str">
        <f t="shared" si="229"/>
        <v>Contiene grasas trans</v>
      </c>
      <c r="BY512" s="18" t="str">
        <f t="shared" si="230"/>
        <v>Bajo poder antioxidante</v>
      </c>
      <c r="BZ512" s="6" t="str">
        <f t="shared" si="218"/>
        <v>Sin probióticos</v>
      </c>
      <c r="CA512" s="18" t="str">
        <f t="shared" si="231"/>
        <v>Altamente inflamatorio</v>
      </c>
      <c r="CB512" s="18" t="str">
        <f>IF(ISNUMBER(SEARCH("miel", D512)), "No irritante (Uso condicionado SII)", IF(OR(J512&gt;0, ISNUMBER(SEARCH("cacao", D512)), ISNUMBER(SEARCH("chocolate puro", D512))), "Altamente irritante", IF(OR(AND(O512&gt;15, BI512&gt;1), ISNUMBER(SEARCH("chocolate", D512))), "Moderadamente irritante", "No irritante")))</f>
        <v>No irritante</v>
      </c>
      <c r="CC512" s="6" t="str">
        <f t="shared" si="219"/>
        <v>Sin Omega 3 para evaluar</v>
      </c>
    </row>
    <row r="513" spans="1:81" ht="15" customHeight="1" x14ac:dyDescent="0.3">
      <c r="A513" s="2">
        <f t="shared" si="220"/>
        <v>512</v>
      </c>
      <c r="B513" s="3" t="s">
        <v>646</v>
      </c>
      <c r="C513" s="3" t="s">
        <v>666</v>
      </c>
      <c r="D513" s="3" t="s">
        <v>670</v>
      </c>
      <c r="E513" s="3"/>
      <c r="F513" s="4">
        <v>1.5</v>
      </c>
      <c r="G513" s="5">
        <v>1</v>
      </c>
      <c r="H513" s="5">
        <v>416</v>
      </c>
      <c r="I513" s="5">
        <v>1.2</v>
      </c>
      <c r="J513" s="5">
        <v>5.4</v>
      </c>
      <c r="K513" s="5">
        <v>0</v>
      </c>
      <c r="L513" s="5">
        <v>91.6</v>
      </c>
      <c r="M513" s="5">
        <v>0</v>
      </c>
      <c r="N513" s="5">
        <v>91.6</v>
      </c>
      <c r="O513" s="5">
        <v>91.6</v>
      </c>
      <c r="P513" s="5">
        <v>0</v>
      </c>
      <c r="Q513" s="5">
        <v>1.3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0.25</v>
      </c>
      <c r="AD513" s="5">
        <v>0.1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5</v>
      </c>
      <c r="AL513" s="5">
        <v>22</v>
      </c>
      <c r="AM513" s="5">
        <v>0.2</v>
      </c>
      <c r="AN513" s="5">
        <v>0</v>
      </c>
      <c r="AO513" s="5">
        <v>0</v>
      </c>
      <c r="AP513" s="5">
        <v>5</v>
      </c>
      <c r="AQ513" s="5">
        <v>100</v>
      </c>
      <c r="AR513" s="5">
        <v>90</v>
      </c>
      <c r="AS513" s="5">
        <v>0</v>
      </c>
      <c r="AT513" s="5">
        <v>0</v>
      </c>
      <c r="AU513" s="5">
        <v>0</v>
      </c>
      <c r="AV513" s="5">
        <f>IFERROR(VLOOKUP(IFERROR(VLOOKUP(D513,Mapa_Similitud!$A$2:$B$2000,2,FALSE()),D513),Hoja1!$A$2:$K$1000,2,FALSE()),IFERROR(VLOOKUP(IFERROR(VLOOKUP(D513,Mapa_Similitud!$A$2:$B$2000,2,FALSE()),D513),Omega3_Referencia!$A$2:$E$100,3,FALSE()),0))</f>
        <v>0</v>
      </c>
      <c r="AW513" s="3" t="str">
        <f>IFERROR(VLOOKUP(IFERROR(VLOOKUP(D513,Mapa_Similitud!$A$2:$B$2000,2,FALSE()),D513),Hoja1!$A$2:$K$1000,3,FALSE()),IFERROR(VLOOKUP(IFERROR(VLOOKUP(D513,Mapa_Similitud!$A$2:$B$2000,2,FALSE()),D513),Omega3_Referencia!$A$2:$E$100,4,FALSE()),"N/A"))</f>
        <v>N/A</v>
      </c>
      <c r="AX513" s="5">
        <f>IFERROR(VLOOKUP(IFERROR(VLOOKUP(D513,Mapa_Similitud!$A$2:$B$2000,2,FALSE()),D513),Hoja1!$A$2:$K$1000,5,FALSE()),0)</f>
        <v>0.1</v>
      </c>
      <c r="AY513" s="5">
        <f>IFERROR(VLOOKUP(IFERROR(VLOOKUP(D513,Mapa_Similitud!$A$2:$B$2000,2,FALSE()),D513),Hoja1!$A$2:$K$1000,7,FALSE()),0)</f>
        <v>0</v>
      </c>
      <c r="AZ513" s="5">
        <f>IFERROR(VLOOKUP(IFERROR(VLOOKUP(D513,Mapa_Similitud!$A$2:$B$2000,2,FALSE()),D513),Hoja1!$A$2:$K$1000,9,FALSE()),0)</f>
        <v>0</v>
      </c>
      <c r="BA513" s="25">
        <f t="shared" si="203"/>
        <v>0</v>
      </c>
      <c r="BB513" s="25">
        <f t="shared" si="204"/>
        <v>0</v>
      </c>
      <c r="BC513" s="25">
        <f t="shared" si="205"/>
        <v>1.201923076923077E-2</v>
      </c>
      <c r="BD513" s="25">
        <f t="shared" si="206"/>
        <v>4.807692307692308E-4</v>
      </c>
      <c r="BE513" s="25">
        <f t="shared" si="207"/>
        <v>0.24038461538461539</v>
      </c>
      <c r="BF513" s="25">
        <f t="shared" si="208"/>
        <v>0</v>
      </c>
      <c r="BG513" s="25">
        <f t="shared" si="209"/>
        <v>0.22727272727272727</v>
      </c>
      <c r="BH513" s="25">
        <f t="shared" si="210"/>
        <v>0</v>
      </c>
      <c r="BI513" s="25">
        <f t="shared" si="211"/>
        <v>1.1111111111111112</v>
      </c>
      <c r="BJ513" s="25">
        <f t="shared" si="212"/>
        <v>1</v>
      </c>
      <c r="BK513" s="25">
        <f t="shared" si="213"/>
        <v>0</v>
      </c>
      <c r="BL513" s="25">
        <f t="shared" si="214"/>
        <v>2.8125000000000004E-2</v>
      </c>
      <c r="BM513" s="25">
        <f t="shared" si="215"/>
        <v>1.201923076923077E-2</v>
      </c>
      <c r="BN513" s="18" t="str">
        <f t="shared" si="221"/>
        <v>Baja fuente de proteína</v>
      </c>
      <c r="BO513" s="18" t="str">
        <f t="shared" si="222"/>
        <v>Baja fuente de fibra</v>
      </c>
      <c r="BP513" s="18" t="str">
        <f t="shared" si="223"/>
        <v>Baja fuente de calcio</v>
      </c>
      <c r="BQ513" s="18" t="str">
        <f t="shared" si="224"/>
        <v>Baja fuente de hierro</v>
      </c>
      <c r="BR513" s="18" t="str">
        <f t="shared" si="225"/>
        <v>Bajo en sodio</v>
      </c>
      <c r="BS513" s="6" t="str">
        <f t="shared" si="216"/>
        <v>Proinflamatorio</v>
      </c>
      <c r="BT513" s="6" t="str">
        <f t="shared" si="217"/>
        <v>Bajo en grasas</v>
      </c>
      <c r="BU513" s="18" t="str">
        <f t="shared" si="226"/>
        <v>Alto riesgo de retención de líquidos</v>
      </c>
      <c r="BV513" s="18" t="str">
        <f t="shared" si="227"/>
        <v>Baja fuente de magnesio</v>
      </c>
      <c r="BW513" s="18" t="str">
        <f t="shared" si="228"/>
        <v>Sin aporte de Omega 3</v>
      </c>
      <c r="BX513" s="18" t="str">
        <f t="shared" si="229"/>
        <v>Contiene grasas trans</v>
      </c>
      <c r="BY513" s="18" t="str">
        <f t="shared" si="230"/>
        <v>Bajo poder antioxidante</v>
      </c>
      <c r="BZ513" s="6" t="str">
        <f t="shared" si="218"/>
        <v>Sin probióticos</v>
      </c>
      <c r="CA513" s="18" t="str">
        <f t="shared" si="231"/>
        <v>Altamente inflamatorio</v>
      </c>
      <c r="CB513" s="18" t="str">
        <f>IF(ISNUMBER(SEARCH("miel", D513)), "No irritante (Uso condicionado SII)", IF(OR(J513&gt;0, ISNUMBER(SEARCH("cacao", D513)), ISNUMBER(SEARCH("chocolate puro", D513))), "Altamente irritante", IF(OR(AND(O513&gt;15, BI513&gt;1), ISNUMBER(SEARCH("chocolate", D513))), "Moderadamente irritante", "No irritante")))</f>
        <v>Altamente irritante</v>
      </c>
      <c r="CC513" s="6" t="str">
        <f t="shared" si="219"/>
        <v>Sin Omega 3 para evaluar</v>
      </c>
    </row>
    <row r="514" spans="1:81" ht="15" customHeight="1" x14ac:dyDescent="0.3">
      <c r="A514" s="2">
        <f t="shared" si="220"/>
        <v>513</v>
      </c>
      <c r="B514" s="3" t="s">
        <v>646</v>
      </c>
      <c r="C514" s="3" t="s">
        <v>671</v>
      </c>
      <c r="D514" s="3" t="s">
        <v>672</v>
      </c>
      <c r="E514" s="3"/>
      <c r="F514" s="4">
        <v>1.5</v>
      </c>
      <c r="G514" s="5">
        <v>1</v>
      </c>
      <c r="H514" s="5">
        <v>427</v>
      </c>
      <c r="I514" s="5">
        <v>13.4</v>
      </c>
      <c r="J514" s="5">
        <v>0</v>
      </c>
      <c r="K514" s="5">
        <v>10</v>
      </c>
      <c r="L514" s="5">
        <v>42.9</v>
      </c>
      <c r="M514" s="5">
        <v>27.5</v>
      </c>
      <c r="N514" s="5">
        <v>15.4</v>
      </c>
      <c r="O514" s="5">
        <v>12.3</v>
      </c>
      <c r="P514" s="5">
        <v>12.5</v>
      </c>
      <c r="Q514" s="5">
        <v>21.2</v>
      </c>
      <c r="R514" s="5">
        <v>10.199999999999999</v>
      </c>
      <c r="S514" s="5">
        <v>7.6</v>
      </c>
      <c r="T514" s="5">
        <v>1.3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4</v>
      </c>
      <c r="AB514" s="5">
        <v>1.3</v>
      </c>
      <c r="AC514" s="5">
        <v>1.4</v>
      </c>
      <c r="AD514" s="5">
        <v>2.4</v>
      </c>
      <c r="AE514" s="5">
        <v>1.7</v>
      </c>
      <c r="AF514" s="5">
        <v>19</v>
      </c>
      <c r="AG514" s="5">
        <v>0</v>
      </c>
      <c r="AH514" s="5">
        <v>0.49</v>
      </c>
      <c r="AI514" s="5">
        <v>0</v>
      </c>
      <c r="AJ514" s="5">
        <v>0</v>
      </c>
      <c r="AK514" s="5">
        <v>333</v>
      </c>
      <c r="AL514" s="5">
        <v>133</v>
      </c>
      <c r="AM514" s="5">
        <v>15</v>
      </c>
      <c r="AN514" s="5">
        <v>0</v>
      </c>
      <c r="AO514" s="5">
        <v>12.5</v>
      </c>
      <c r="AP514" s="5">
        <v>28</v>
      </c>
      <c r="AQ514" s="5">
        <v>300</v>
      </c>
      <c r="AR514" s="5">
        <v>90</v>
      </c>
      <c r="AS514" s="5">
        <v>0.78</v>
      </c>
      <c r="AT514" s="5">
        <v>0.3</v>
      </c>
      <c r="AU514" s="5">
        <v>7.3</v>
      </c>
      <c r="AV514" s="5">
        <f>IFERROR(VLOOKUP(IFERROR(VLOOKUP(D514,Mapa_Similitud!$A$2:$B$2000,2,FALSE()),D514),Hoja1!$A$2:$K$1000,2,FALSE()),IFERROR(VLOOKUP(IFERROR(VLOOKUP(D514,Mapa_Similitud!$A$2:$B$2000,2,FALSE()),D514),Omega3_Referencia!$A$2:$E$100,3,FALSE()),0))</f>
        <v>0.05</v>
      </c>
      <c r="AW514" s="3" t="str">
        <f>IFERROR(VLOOKUP(IFERROR(VLOOKUP(D514,Mapa_Similitud!$A$2:$B$2000,2,FALSE()),D514),Hoja1!$A$2:$K$1000,3,FALSE()),IFERROR(VLOOKUP(IFERROR(VLOOKUP(D514,Mapa_Similitud!$A$2:$B$2000,2,FALSE()),D514),Omega3_Referencia!$A$2:$E$100,4,FALSE()),"N/A"))</f>
        <v>ALA</v>
      </c>
      <c r="AX514" s="5">
        <f>IFERROR(VLOOKUP(IFERROR(VLOOKUP(D514,Mapa_Similitud!$A$2:$B$2000,2,FALSE()),D514),Hoja1!$A$2:$K$1000,5,FALSE()),0)</f>
        <v>1.5</v>
      </c>
      <c r="AY514" s="5">
        <f>IFERROR(VLOOKUP(IFERROR(VLOOKUP(D514,Mapa_Similitud!$A$2:$B$2000,2,FALSE()),D514),Hoja1!$A$2:$K$1000,7,FALSE()),0)</f>
        <v>10</v>
      </c>
      <c r="AZ514" s="5">
        <f>IFERROR(VLOOKUP(IFERROR(VLOOKUP(D514,Mapa_Similitud!$A$2:$B$2000,2,FALSE()),D514),Hoja1!$A$2:$K$1000,9,FALSE()),0)</f>
        <v>0</v>
      </c>
      <c r="BA514" s="25">
        <f t="shared" ref="BA514:BA571" si="232">IFERROR(K514/H514,0)</f>
        <v>2.3419203747072601E-2</v>
      </c>
      <c r="BB514" s="25">
        <f t="shared" ref="BB514:BB571" si="233">IFERROR(P514/H514,0)</f>
        <v>2.9274004683840751E-2</v>
      </c>
      <c r="BC514" s="25">
        <f t="shared" ref="BC514:BC571" si="234">IFERROR(AK514/H514,0)</f>
        <v>0.77985948477751754</v>
      </c>
      <c r="BD514" s="25">
        <f t="shared" ref="BD514:BD571" si="235">IFERROR(AM514/H514,0)</f>
        <v>3.5128805620608897E-2</v>
      </c>
      <c r="BE514" s="25">
        <f t="shared" ref="BE514:BE571" si="236">IFERROR(AQ514/H514,0)</f>
        <v>0.70257611241217799</v>
      </c>
      <c r="BF514" s="25">
        <f t="shared" ref="BF514:BF571" si="237">IFERROR(T514/R514,0)</f>
        <v>0.12745098039215688</v>
      </c>
      <c r="BG514" s="25">
        <f t="shared" ref="BG514:BG571" si="238">IFERROR(AK514/AL514,0)</f>
        <v>2.5037593984962405</v>
      </c>
      <c r="BH514" s="25">
        <f t="shared" ref="BH514:BH571" si="239">IFERROR(R514/Q514,0)</f>
        <v>0.48113207547169812</v>
      </c>
      <c r="BI514" s="25">
        <f t="shared" ref="BI514:BI571" si="240">IFERROR(AQ514/AR514,0)</f>
        <v>3.3333333333333335</v>
      </c>
      <c r="BJ514" s="25">
        <f t="shared" ref="BJ514:BJ571" si="241">IFERROR(N514/L514,0)</f>
        <v>0.35897435897435898</v>
      </c>
      <c r="BK514" s="25">
        <f t="shared" ref="BK514:BK571" si="242">IFERROR(P514/L514,0)</f>
        <v>0.29137529137529139</v>
      </c>
      <c r="BL514" s="25">
        <f t="shared" ref="BL514:BL571" si="243">IFERROR((Q514*9)/H514,0)</f>
        <v>0.44683840749414516</v>
      </c>
      <c r="BM514" s="25">
        <f t="shared" ref="BM514:BM571" si="244">IFERROR(AP514/H514,0)</f>
        <v>6.5573770491803282E-2</v>
      </c>
      <c r="BN514" s="18" t="str">
        <f t="shared" si="221"/>
        <v>Baja fuente de proteína</v>
      </c>
      <c r="BO514" s="18" t="str">
        <f t="shared" si="222"/>
        <v>Media fuente de fibra</v>
      </c>
      <c r="BP514" s="18" t="str">
        <f t="shared" si="223"/>
        <v>Baja fuente de calcio</v>
      </c>
      <c r="BQ514" s="18" t="str">
        <f t="shared" si="224"/>
        <v>Alta fuente de hierro</v>
      </c>
      <c r="BR514" s="18" t="str">
        <f t="shared" si="225"/>
        <v>Moderado en sodio</v>
      </c>
      <c r="BS514" s="6" t="str">
        <f t="shared" ref="BS514:BS571" si="245">IF(BF514&gt;2,"Altamente antiinflamatorio",IF(BF514&gt;1,"Ligeramente antiinflamatorio",IF(BF514&gt;0.5,"Neutro","Proinflamatorio")))</f>
        <v>Proinflamatorio</v>
      </c>
      <c r="BT514" s="6" t="str">
        <f t="shared" ref="BT514:BT571" si="246">IF(BL514&gt;0.4,"Muy alto en grasas",IF(BL514&gt;0.3,"Alto en grasas",IF(BL514&gt;0.2,"Moderado en grasas","Bajo en grasas")))</f>
        <v>Muy alto en grasas</v>
      </c>
      <c r="BU514" s="18" t="str">
        <f t="shared" si="226"/>
        <v>Alto riesgo de retención de líquidos</v>
      </c>
      <c r="BV514" s="18" t="str">
        <f t="shared" si="227"/>
        <v>Baja fuente de magnesio</v>
      </c>
      <c r="BW514" s="18" t="str">
        <f t="shared" si="228"/>
        <v>Sin aporte de Omega 3</v>
      </c>
      <c r="BX514" s="18" t="str">
        <f t="shared" si="229"/>
        <v>Alerta: Alto en grasas trans</v>
      </c>
      <c r="BY514" s="18" t="str">
        <f t="shared" si="230"/>
        <v>Medio poder antioxidante</v>
      </c>
      <c r="BZ514" s="6" t="str">
        <f t="shared" ref="BZ514:BZ571" si="247">IF(AZ514&gt;=1,"Probiótico activo","Sin probióticos")</f>
        <v>Sin probióticos</v>
      </c>
      <c r="CA514" s="18" t="str">
        <f t="shared" si="231"/>
        <v>Altamente inflamatorio</v>
      </c>
      <c r="CB514" s="18" t="str">
        <f>IF(ISNUMBER(SEARCH("miel", D514)), "No irritante (Uso condicionado SII)", IF(OR(J514&gt;0, ISNUMBER(SEARCH("cacao", D514)), ISNUMBER(SEARCH("chocolate puro", D514))), "Altamente irritante", IF(OR(AND(O514&gt;15, BI514&gt;1), ISNUMBER(SEARCH("chocolate", D514))), "Moderadamente irritante", "No irritante")))</f>
        <v>No irritante</v>
      </c>
      <c r="CC514" s="6" t="str">
        <f t="shared" ref="CC514:CC571" si="248">IF(AV514=0,"Sin Omega 3 para evaluar",IFERROR(IF(((T514-AV514)/AV514)&gt;4,"Exceso relativo de Omega 6","Balance de omegas favorable"),"Sin Omega 3 para evaluar"))</f>
        <v>Exceso relativo de Omega 6</v>
      </c>
    </row>
    <row r="515" spans="1:81" ht="15" customHeight="1" x14ac:dyDescent="0.3">
      <c r="A515" s="2">
        <f t="shared" ref="A515:A571" si="249">1+A514</f>
        <v>514</v>
      </c>
      <c r="B515" s="3" t="s">
        <v>646</v>
      </c>
      <c r="C515" s="3" t="s">
        <v>671</v>
      </c>
      <c r="D515" s="3" t="s">
        <v>673</v>
      </c>
      <c r="E515" s="3"/>
      <c r="F515" s="4">
        <v>1.5</v>
      </c>
      <c r="G515" s="5">
        <v>1</v>
      </c>
      <c r="H515" s="5">
        <v>476</v>
      </c>
      <c r="I515" s="5">
        <v>5.2</v>
      </c>
      <c r="J515" s="5">
        <v>0</v>
      </c>
      <c r="K515" s="5">
        <v>6.2</v>
      </c>
      <c r="L515" s="5">
        <v>64</v>
      </c>
      <c r="M515" s="5">
        <v>32</v>
      </c>
      <c r="N515" s="5">
        <v>32</v>
      </c>
      <c r="O515" s="5">
        <v>28.9</v>
      </c>
      <c r="P515" s="5">
        <v>3.3</v>
      </c>
      <c r="Q515" s="5">
        <v>21</v>
      </c>
      <c r="R515" s="5">
        <v>10.3</v>
      </c>
      <c r="S515" s="5">
        <v>7.7</v>
      </c>
      <c r="T515" s="5">
        <v>1.8</v>
      </c>
      <c r="U515" s="5">
        <v>88</v>
      </c>
      <c r="V515" s="5">
        <v>18</v>
      </c>
      <c r="W515" s="5">
        <v>18</v>
      </c>
      <c r="X515" s="5">
        <v>0</v>
      </c>
      <c r="Y515" s="5">
        <v>2.2000000000000002</v>
      </c>
      <c r="Z515" s="5">
        <v>2.2999999999999998</v>
      </c>
      <c r="AA515" s="5">
        <v>4</v>
      </c>
      <c r="AB515" s="5">
        <v>0.12</v>
      </c>
      <c r="AC515" s="5">
        <v>0.08</v>
      </c>
      <c r="AD515" s="5">
        <v>2.2000000000000002</v>
      </c>
      <c r="AE515" s="5">
        <v>7.0000000000000007E-2</v>
      </c>
      <c r="AF515" s="5">
        <v>5</v>
      </c>
      <c r="AG515" s="5">
        <v>0</v>
      </c>
      <c r="AH515" s="5">
        <v>0.49</v>
      </c>
      <c r="AI515" s="5">
        <v>0</v>
      </c>
      <c r="AJ515" s="5">
        <v>0</v>
      </c>
      <c r="AK515" s="5">
        <v>78</v>
      </c>
      <c r="AL515" s="5">
        <v>82</v>
      </c>
      <c r="AM515" s="5">
        <v>1.3</v>
      </c>
      <c r="AN515" s="5">
        <v>0</v>
      </c>
      <c r="AO515" s="5">
        <v>0.7</v>
      </c>
      <c r="AP515" s="5">
        <v>23</v>
      </c>
      <c r="AQ515" s="5">
        <v>216</v>
      </c>
      <c r="AR515" s="5">
        <v>139</v>
      </c>
      <c r="AS515" s="5">
        <v>0.17</v>
      </c>
      <c r="AT515" s="5">
        <v>0.2</v>
      </c>
      <c r="AU515" s="5">
        <v>8.4</v>
      </c>
      <c r="AV515" s="5">
        <f>IFERROR(VLOOKUP(IFERROR(VLOOKUP(D515,Mapa_Similitud!$A$2:$B$2000,2,FALSE()),D515),Hoja1!$A$2:$K$1000,2,FALSE()),IFERROR(VLOOKUP(IFERROR(VLOOKUP(D515,Mapa_Similitud!$A$2:$B$2000,2,FALSE()),D515),Omega3_Referencia!$A$2:$E$100,3,FALSE()),0))</f>
        <v>0</v>
      </c>
      <c r="AW515" s="3" t="str">
        <f>IFERROR(VLOOKUP(IFERROR(VLOOKUP(D515,Mapa_Similitud!$A$2:$B$2000,2,FALSE()),D515),Hoja1!$A$2:$K$1000,3,FALSE()),IFERROR(VLOOKUP(IFERROR(VLOOKUP(D515,Mapa_Similitud!$A$2:$B$2000,2,FALSE()),D515),Omega3_Referencia!$A$2:$E$100,4,FALSE()),"N/A"))</f>
        <v>N/A</v>
      </c>
      <c r="AX515" s="5">
        <f>IFERROR(VLOOKUP(IFERROR(VLOOKUP(D515,Mapa_Similitud!$A$2:$B$2000,2,FALSE()),D515),Hoja1!$A$2:$K$1000,5,FALSE()),0)</f>
        <v>0</v>
      </c>
      <c r="AY515" s="5">
        <f>IFERROR(VLOOKUP(IFERROR(VLOOKUP(D515,Mapa_Similitud!$A$2:$B$2000,2,FALSE()),D515),Hoja1!$A$2:$K$1000,7,FALSE()),0)</f>
        <v>0</v>
      </c>
      <c r="AZ515" s="5">
        <f>IFERROR(VLOOKUP(IFERROR(VLOOKUP(D515,Mapa_Similitud!$A$2:$B$2000,2,FALSE()),D515),Hoja1!$A$2:$K$1000,9,FALSE()),0)</f>
        <v>0</v>
      </c>
      <c r="BA515" s="25">
        <f t="shared" si="232"/>
        <v>1.3025210084033614E-2</v>
      </c>
      <c r="BB515" s="25">
        <f t="shared" si="233"/>
        <v>6.9327731092436971E-3</v>
      </c>
      <c r="BC515" s="25">
        <f t="shared" si="234"/>
        <v>0.1638655462184874</v>
      </c>
      <c r="BD515" s="25">
        <f t="shared" si="235"/>
        <v>2.7310924369747902E-3</v>
      </c>
      <c r="BE515" s="25">
        <f t="shared" si="236"/>
        <v>0.45378151260504201</v>
      </c>
      <c r="BF515" s="25">
        <f t="shared" si="237"/>
        <v>0.17475728155339806</v>
      </c>
      <c r="BG515" s="25">
        <f t="shared" si="238"/>
        <v>0.95121951219512191</v>
      </c>
      <c r="BH515" s="25">
        <f t="shared" si="239"/>
        <v>0.49047619047619051</v>
      </c>
      <c r="BI515" s="25">
        <f t="shared" si="240"/>
        <v>1.5539568345323742</v>
      </c>
      <c r="BJ515" s="25">
        <f t="shared" si="241"/>
        <v>0.5</v>
      </c>
      <c r="BK515" s="25">
        <f t="shared" si="242"/>
        <v>5.1562499999999997E-2</v>
      </c>
      <c r="BL515" s="25">
        <f t="shared" si="243"/>
        <v>0.39705882352941174</v>
      </c>
      <c r="BM515" s="25">
        <f t="shared" si="244"/>
        <v>4.8319327731092439E-2</v>
      </c>
      <c r="BN515" s="18" t="str">
        <f t="shared" ref="BN515:BN571" si="250">IF(BA515&gt;0.2,"Muy alta fuente de proteína",IF(BA515&gt;0.15,"Alta fuente de proteína",IF(BA515&gt;0.1,"Media fuente de proteína","Baja fuente de proteína")))</f>
        <v>Baja fuente de proteína</v>
      </c>
      <c r="BO515" s="18" t="str">
        <f t="shared" ref="BO515:BO571" si="251">IF(BB515&gt;0.03,"Alta",IF(BB515&gt;0.015,"Media","Baja")) &amp; " fuente de fibra"</f>
        <v>Baja fuente de fibra</v>
      </c>
      <c r="BP515" s="18" t="str">
        <f t="shared" ref="BP515:BP571" si="252">IF(BC515&gt;1.5,"Alta fuente de calcio",IF(BC515&gt;0.8,"Media fuente de calcio","Baja fuente de calcio"))</f>
        <v>Baja fuente de calcio</v>
      </c>
      <c r="BQ515" s="18" t="str">
        <f t="shared" ref="BQ515:BQ571" si="253">IF(BD515&gt;0.015,"Alta fuente de hierro",IF(BD515&gt;0.008,"Media fuente de hierro","Baja fuente de hierro"))</f>
        <v>Baja fuente de hierro</v>
      </c>
      <c r="BR515" s="18" t="str">
        <f t="shared" ref="BR515:BR571" si="254">IF(BE515&gt;2,"Muy alto",IF(BE515&gt;1,"Alto",IF(BE515&gt;0.5,"Moderado","Bajo"))) &amp; " en sodio"</f>
        <v>Bajo en sodio</v>
      </c>
      <c r="BS515" s="6" t="str">
        <f t="shared" si="245"/>
        <v>Proinflamatorio</v>
      </c>
      <c r="BT515" s="6" t="str">
        <f t="shared" si="246"/>
        <v>Alto en grasas</v>
      </c>
      <c r="BU515" s="18" t="str">
        <f t="shared" ref="BU515:BU571" si="255">IF(BI515&gt;1,"Alto riesgo de retención de líquidos",IF(BI515&gt;0.5,"Riesgo moderado de retención","Equilibrio de líquidos ideal"))</f>
        <v>Alto riesgo de retención de líquidos</v>
      </c>
      <c r="BV515" s="18" t="str">
        <f t="shared" ref="BV515:BV571" si="256">IF(BM515&gt;0.5,"Alta",IF(BM515&gt;0.2,"Media","Baja")) &amp; " fuente de magnesio"</f>
        <v>Baja fuente de magnesio</v>
      </c>
      <c r="BW515" s="18" t="str">
        <f t="shared" ref="BW515:BW571" si="257">IF(AV515&gt;=0.5,"Alta fuente de Omega 3",IF(AV515&gt;0.1,"Ligera fuente de Omega 3","Sin aporte de Omega 3"))</f>
        <v>Sin aporte de Omega 3</v>
      </c>
      <c r="BX515" s="18" t="str">
        <f t="shared" ref="BX515:BX571" si="258">IF(AX515&gt;0.5,"Alerta: Alto en grasas trans",IF(AX515&gt;0,"Contiene grasas trans","Libre de grasas trans"))</f>
        <v>Libre de grasas trans</v>
      </c>
      <c r="BY515" s="18" t="str">
        <f t="shared" ref="BY515:BY571" si="259">IF(AY515&gt;=50,"Alto",IF(AY515&gt;=10,"Medio","Bajo")) &amp; " poder antioxidante"</f>
        <v>Bajo poder antioxidante</v>
      </c>
      <c r="BZ515" s="6" t="str">
        <f t="shared" si="247"/>
        <v>Sin probióticos</v>
      </c>
      <c r="CA515" s="18" t="str">
        <f t="shared" ref="CA515:CA571" si="260">IF(OR(AX515&gt;0.5, O515&gt;15, J515&gt;0), "Altamente inflamatorio", IF(OR(AV515&gt;=0.5, AY515&gt;=50), "Antiinflamatorio", IF(OR(AX515&gt;0, O515&gt;5), "Moderadamente inflamatorio", "Poco inflamatorio")))</f>
        <v>Altamente inflamatorio</v>
      </c>
      <c r="CB515" s="18" t="str">
        <f>IF(ISNUMBER(SEARCH("miel", D515)), "No irritante (Uso condicionado SII)", IF(OR(J515&gt;0, ISNUMBER(SEARCH("cacao", D515)), ISNUMBER(SEARCH("chocolate puro", D515))), "Altamente irritante", IF(OR(AND(O515&gt;15, BI515&gt;1), ISNUMBER(SEARCH("chocolate", D515))), "Moderadamente irritante", "No irritante")))</f>
        <v>Moderadamente irritante</v>
      </c>
      <c r="CC515" s="6" t="str">
        <f t="shared" si="248"/>
        <v>Sin Omega 3 para evaluar</v>
      </c>
    </row>
    <row r="516" spans="1:81" ht="15" customHeight="1" x14ac:dyDescent="0.3">
      <c r="A516" s="2">
        <f t="shared" si="249"/>
        <v>515</v>
      </c>
      <c r="B516" s="3" t="s">
        <v>646</v>
      </c>
      <c r="C516" s="3" t="s">
        <v>671</v>
      </c>
      <c r="D516" s="3" t="s">
        <v>674</v>
      </c>
      <c r="E516" s="3"/>
      <c r="F516" s="4">
        <v>1.5</v>
      </c>
      <c r="G516" s="5">
        <v>1</v>
      </c>
      <c r="H516" s="5">
        <v>469</v>
      </c>
      <c r="I516" s="5">
        <v>5.8</v>
      </c>
      <c r="J516" s="5">
        <v>0</v>
      </c>
      <c r="K516" s="5">
        <v>6.3</v>
      </c>
      <c r="L516" s="5">
        <v>63</v>
      </c>
      <c r="M516" s="5">
        <v>50</v>
      </c>
      <c r="N516" s="5">
        <v>13</v>
      </c>
      <c r="O516" s="5">
        <v>9.9</v>
      </c>
      <c r="P516" s="5">
        <v>4.5999999999999996</v>
      </c>
      <c r="Q516" s="5">
        <v>20.3</v>
      </c>
      <c r="R516" s="5">
        <v>9</v>
      </c>
      <c r="S516" s="5">
        <v>8.3000000000000007</v>
      </c>
      <c r="T516" s="5">
        <v>2</v>
      </c>
      <c r="U516" s="5">
        <v>41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4</v>
      </c>
      <c r="AB516" s="5">
        <v>0.14000000000000001</v>
      </c>
      <c r="AC516" s="5">
        <v>0.11</v>
      </c>
      <c r="AD516" s="5">
        <v>2.4</v>
      </c>
      <c r="AE516" s="5">
        <v>0.09</v>
      </c>
      <c r="AF516" s="5">
        <v>13</v>
      </c>
      <c r="AG516" s="5">
        <v>0</v>
      </c>
      <c r="AH516" s="5">
        <v>0.49</v>
      </c>
      <c r="AI516" s="5">
        <v>0</v>
      </c>
      <c r="AJ516" s="5">
        <v>0</v>
      </c>
      <c r="AK516" s="5">
        <v>92</v>
      </c>
      <c r="AL516" s="5">
        <v>88</v>
      </c>
      <c r="AM516" s="5">
        <v>3.2</v>
      </c>
      <c r="AN516" s="5">
        <v>0</v>
      </c>
      <c r="AO516" s="5">
        <v>0.5</v>
      </c>
      <c r="AP516" s="5">
        <v>23</v>
      </c>
      <c r="AQ516" s="5">
        <v>285</v>
      </c>
      <c r="AR516" s="5">
        <v>170</v>
      </c>
      <c r="AS516" s="5">
        <v>0.5</v>
      </c>
      <c r="AT516" s="5">
        <v>0.28000000000000003</v>
      </c>
      <c r="AU516" s="5">
        <v>7.3</v>
      </c>
      <c r="AV516" s="5">
        <f>IFERROR(VLOOKUP(IFERROR(VLOOKUP(D516,Mapa_Similitud!$A$2:$B$2000,2,FALSE()),D516),Hoja1!$A$2:$K$1000,2,FALSE()),IFERROR(VLOOKUP(IFERROR(VLOOKUP(D516,Mapa_Similitud!$A$2:$B$2000,2,FALSE()),D516),Omega3_Referencia!$A$2:$E$100,3,FALSE()),0))</f>
        <v>0.04</v>
      </c>
      <c r="AW516" s="3" t="str">
        <f>IFERROR(VLOOKUP(IFERROR(VLOOKUP(D516,Mapa_Similitud!$A$2:$B$2000,2,FALSE()),D516),Hoja1!$A$2:$K$1000,3,FALSE()),IFERROR(VLOOKUP(IFERROR(VLOOKUP(D516,Mapa_Similitud!$A$2:$B$2000,2,FALSE()),D516),Omega3_Referencia!$A$2:$E$100,4,FALSE()),"N/A"))</f>
        <v>ALA</v>
      </c>
      <c r="AX516" s="5">
        <f>IFERROR(VLOOKUP(IFERROR(VLOOKUP(D516,Mapa_Similitud!$A$2:$B$2000,2,FALSE()),D516),Hoja1!$A$2:$K$1000,5,FALSE()),0)</f>
        <v>1.2</v>
      </c>
      <c r="AY516" s="5">
        <f>IFERROR(VLOOKUP(IFERROR(VLOOKUP(D516,Mapa_Similitud!$A$2:$B$2000,2,FALSE()),D516),Hoja1!$A$2:$K$1000,7,FALSE()),0)</f>
        <v>15</v>
      </c>
      <c r="AZ516" s="5">
        <f>IFERROR(VLOOKUP(IFERROR(VLOOKUP(D516,Mapa_Similitud!$A$2:$B$2000,2,FALSE()),D516),Hoja1!$A$2:$K$1000,9,FALSE()),0)</f>
        <v>0</v>
      </c>
      <c r="BA516" s="25">
        <f t="shared" si="232"/>
        <v>1.3432835820895522E-2</v>
      </c>
      <c r="BB516" s="25">
        <f t="shared" si="233"/>
        <v>9.8081023454157767E-3</v>
      </c>
      <c r="BC516" s="25">
        <f t="shared" si="234"/>
        <v>0.19616204690831557</v>
      </c>
      <c r="BD516" s="25">
        <f t="shared" si="235"/>
        <v>6.8230277185501072E-3</v>
      </c>
      <c r="BE516" s="25">
        <f t="shared" si="236"/>
        <v>0.60767590618336886</v>
      </c>
      <c r="BF516" s="25">
        <f t="shared" si="237"/>
        <v>0.22222222222222221</v>
      </c>
      <c r="BG516" s="25">
        <f t="shared" si="238"/>
        <v>1.0454545454545454</v>
      </c>
      <c r="BH516" s="25">
        <f t="shared" si="239"/>
        <v>0.44334975369458124</v>
      </c>
      <c r="BI516" s="25">
        <f t="shared" si="240"/>
        <v>1.6764705882352942</v>
      </c>
      <c r="BJ516" s="25">
        <f t="shared" si="241"/>
        <v>0.20634920634920634</v>
      </c>
      <c r="BK516" s="25">
        <f t="shared" si="242"/>
        <v>7.3015873015873006E-2</v>
      </c>
      <c r="BL516" s="25">
        <f t="shared" si="243"/>
        <v>0.38955223880597017</v>
      </c>
      <c r="BM516" s="25">
        <f t="shared" si="244"/>
        <v>4.9040511727078892E-2</v>
      </c>
      <c r="BN516" s="18" t="str">
        <f t="shared" si="250"/>
        <v>Baja fuente de proteína</v>
      </c>
      <c r="BO516" s="18" t="str">
        <f t="shared" si="251"/>
        <v>Baja fuente de fibra</v>
      </c>
      <c r="BP516" s="18" t="str">
        <f t="shared" si="252"/>
        <v>Baja fuente de calcio</v>
      </c>
      <c r="BQ516" s="18" t="str">
        <f t="shared" si="253"/>
        <v>Baja fuente de hierro</v>
      </c>
      <c r="BR516" s="18" t="str">
        <f t="shared" si="254"/>
        <v>Moderado en sodio</v>
      </c>
      <c r="BS516" s="6" t="str">
        <f t="shared" si="245"/>
        <v>Proinflamatorio</v>
      </c>
      <c r="BT516" s="6" t="str">
        <f t="shared" si="246"/>
        <v>Alto en grasas</v>
      </c>
      <c r="BU516" s="18" t="str">
        <f t="shared" si="255"/>
        <v>Alto riesgo de retención de líquidos</v>
      </c>
      <c r="BV516" s="18" t="str">
        <f t="shared" si="256"/>
        <v>Baja fuente de magnesio</v>
      </c>
      <c r="BW516" s="18" t="str">
        <f t="shared" si="257"/>
        <v>Sin aporte de Omega 3</v>
      </c>
      <c r="BX516" s="18" t="str">
        <f t="shared" si="258"/>
        <v>Alerta: Alto en grasas trans</v>
      </c>
      <c r="BY516" s="18" t="str">
        <f t="shared" si="259"/>
        <v>Medio poder antioxidante</v>
      </c>
      <c r="BZ516" s="6" t="str">
        <f t="shared" si="247"/>
        <v>Sin probióticos</v>
      </c>
      <c r="CA516" s="18" t="str">
        <f t="shared" si="260"/>
        <v>Altamente inflamatorio</v>
      </c>
      <c r="CB516" s="18" t="str">
        <f>IF(ISNUMBER(SEARCH("miel", D516)), "No irritante (Uso condicionado SII)", IF(OR(J516&gt;0, ISNUMBER(SEARCH("cacao", D516)), ISNUMBER(SEARCH("chocolate puro", D516))), "Altamente irritante", IF(OR(AND(O516&gt;15, BI516&gt;1), ISNUMBER(SEARCH("chocolate", D516))), "Moderadamente irritante", "No irritante")))</f>
        <v>No irritante</v>
      </c>
      <c r="CC516" s="6" t="str">
        <f t="shared" si="248"/>
        <v>Exceso relativo de Omega 6</v>
      </c>
    </row>
    <row r="517" spans="1:81" ht="15" customHeight="1" x14ac:dyDescent="0.3">
      <c r="A517" s="2">
        <f t="shared" si="249"/>
        <v>516</v>
      </c>
      <c r="B517" s="3" t="s">
        <v>646</v>
      </c>
      <c r="C517" s="3" t="s">
        <v>671</v>
      </c>
      <c r="D517" s="3" t="s">
        <v>675</v>
      </c>
      <c r="E517" s="3"/>
      <c r="F517" s="4">
        <v>1.5</v>
      </c>
      <c r="G517" s="5">
        <v>1</v>
      </c>
      <c r="H517" s="5">
        <v>501</v>
      </c>
      <c r="I517" s="5">
        <v>4.3</v>
      </c>
      <c r="J517" s="5">
        <v>0</v>
      </c>
      <c r="K517" s="5">
        <v>6.8</v>
      </c>
      <c r="L517" s="5">
        <v>62.6</v>
      </c>
      <c r="M517" s="5">
        <v>34.9</v>
      </c>
      <c r="N517" s="5">
        <v>27.8</v>
      </c>
      <c r="O517" s="5">
        <v>24.7</v>
      </c>
      <c r="P517" s="5">
        <v>3.1</v>
      </c>
      <c r="Q517" s="5">
        <v>24.1</v>
      </c>
      <c r="R517" s="5">
        <v>12.2</v>
      </c>
      <c r="S517" s="5">
        <v>8.9</v>
      </c>
      <c r="T517" s="5">
        <v>1.6</v>
      </c>
      <c r="U517" s="5">
        <v>51</v>
      </c>
      <c r="V517" s="5">
        <v>0</v>
      </c>
      <c r="W517" s="5">
        <v>0</v>
      </c>
      <c r="X517" s="5">
        <v>0</v>
      </c>
      <c r="Y517" s="5">
        <v>0</v>
      </c>
      <c r="Z517" s="5">
        <v>1.1000000000000001</v>
      </c>
      <c r="AA517" s="5">
        <v>4</v>
      </c>
      <c r="AB517" s="5">
        <v>0.08</v>
      </c>
      <c r="AC517" s="5">
        <v>0.11</v>
      </c>
      <c r="AD517" s="5">
        <v>2.7</v>
      </c>
      <c r="AE517" s="5">
        <v>0.08</v>
      </c>
      <c r="AF517" s="5">
        <v>11</v>
      </c>
      <c r="AG517" s="5">
        <v>0</v>
      </c>
      <c r="AH517" s="5">
        <v>0.17</v>
      </c>
      <c r="AI517" s="5">
        <v>0</v>
      </c>
      <c r="AJ517" s="5">
        <v>0</v>
      </c>
      <c r="AK517" s="5">
        <v>84</v>
      </c>
      <c r="AL517" s="5">
        <v>130</v>
      </c>
      <c r="AM517" s="5">
        <v>2.1</v>
      </c>
      <c r="AN517" s="5">
        <v>0</v>
      </c>
      <c r="AO517" s="5">
        <v>1</v>
      </c>
      <c r="AP517" s="5">
        <v>41</v>
      </c>
      <c r="AQ517" s="5">
        <v>285</v>
      </c>
      <c r="AR517" s="5">
        <v>210</v>
      </c>
      <c r="AS517" s="5">
        <v>0.36</v>
      </c>
      <c r="AT517" s="5">
        <v>0.24</v>
      </c>
      <c r="AU517" s="5">
        <v>2.4</v>
      </c>
      <c r="AV517" s="5">
        <f>IFERROR(VLOOKUP(IFERROR(VLOOKUP(D517,Mapa_Similitud!$A$2:$B$2000,2,FALSE()),D517),Hoja1!$A$2:$K$1000,2,FALSE()),IFERROR(VLOOKUP(IFERROR(VLOOKUP(D517,Mapa_Similitud!$A$2:$B$2000,2,FALSE()),D517),Omega3_Referencia!$A$2:$E$100,3,FALSE()),0))</f>
        <v>0</v>
      </c>
      <c r="AW517" s="3" t="str">
        <f>IFERROR(VLOOKUP(IFERROR(VLOOKUP(D517,Mapa_Similitud!$A$2:$B$2000,2,FALSE()),D517),Hoja1!$A$2:$K$1000,3,FALSE()),IFERROR(VLOOKUP(IFERROR(VLOOKUP(D517,Mapa_Similitud!$A$2:$B$2000,2,FALSE()),D517),Omega3_Referencia!$A$2:$E$100,4,FALSE()),"N/A"))</f>
        <v>N/A</v>
      </c>
      <c r="AX517" s="5">
        <f>IFERROR(VLOOKUP(IFERROR(VLOOKUP(D517,Mapa_Similitud!$A$2:$B$2000,2,FALSE()),D517),Hoja1!$A$2:$K$1000,5,FALSE()),0)</f>
        <v>0</v>
      </c>
      <c r="AY517" s="5">
        <f>IFERROR(VLOOKUP(IFERROR(VLOOKUP(D517,Mapa_Similitud!$A$2:$B$2000,2,FALSE()),D517),Hoja1!$A$2:$K$1000,7,FALSE()),0)</f>
        <v>0</v>
      </c>
      <c r="AZ517" s="5">
        <f>IFERROR(VLOOKUP(IFERROR(VLOOKUP(D517,Mapa_Similitud!$A$2:$B$2000,2,FALSE()),D517),Hoja1!$A$2:$K$1000,9,FALSE()),0)</f>
        <v>0</v>
      </c>
      <c r="BA517" s="25">
        <f t="shared" si="232"/>
        <v>1.3572854291417165E-2</v>
      </c>
      <c r="BB517" s="25">
        <f t="shared" si="233"/>
        <v>6.1876247504990024E-3</v>
      </c>
      <c r="BC517" s="25">
        <f t="shared" si="234"/>
        <v>0.16766467065868262</v>
      </c>
      <c r="BD517" s="25">
        <f t="shared" si="235"/>
        <v>4.1916167664670665E-3</v>
      </c>
      <c r="BE517" s="25">
        <f t="shared" si="236"/>
        <v>0.56886227544910184</v>
      </c>
      <c r="BF517" s="25">
        <f t="shared" si="237"/>
        <v>0.13114754098360656</v>
      </c>
      <c r="BG517" s="25">
        <f t="shared" si="238"/>
        <v>0.64615384615384619</v>
      </c>
      <c r="BH517" s="25">
        <f t="shared" si="239"/>
        <v>0.50622406639004147</v>
      </c>
      <c r="BI517" s="25">
        <f t="shared" si="240"/>
        <v>1.3571428571428572</v>
      </c>
      <c r="BJ517" s="25">
        <f t="shared" si="241"/>
        <v>0.44408945686900958</v>
      </c>
      <c r="BK517" s="25">
        <f t="shared" si="242"/>
        <v>4.9520766773162937E-2</v>
      </c>
      <c r="BL517" s="25">
        <f t="shared" si="243"/>
        <v>0.43293413173652695</v>
      </c>
      <c r="BM517" s="25">
        <f t="shared" si="244"/>
        <v>8.1836327345309379E-2</v>
      </c>
      <c r="BN517" s="18" t="str">
        <f t="shared" si="250"/>
        <v>Baja fuente de proteína</v>
      </c>
      <c r="BO517" s="18" t="str">
        <f t="shared" si="251"/>
        <v>Baja fuente de fibra</v>
      </c>
      <c r="BP517" s="18" t="str">
        <f t="shared" si="252"/>
        <v>Baja fuente de calcio</v>
      </c>
      <c r="BQ517" s="18" t="str">
        <f t="shared" si="253"/>
        <v>Baja fuente de hierro</v>
      </c>
      <c r="BR517" s="18" t="str">
        <f t="shared" si="254"/>
        <v>Moderado en sodio</v>
      </c>
      <c r="BS517" s="6" t="str">
        <f t="shared" si="245"/>
        <v>Proinflamatorio</v>
      </c>
      <c r="BT517" s="6" t="str">
        <f t="shared" si="246"/>
        <v>Muy alto en grasas</v>
      </c>
      <c r="BU517" s="18" t="str">
        <f t="shared" si="255"/>
        <v>Alto riesgo de retención de líquidos</v>
      </c>
      <c r="BV517" s="18" t="str">
        <f t="shared" si="256"/>
        <v>Baja fuente de magnesio</v>
      </c>
      <c r="BW517" s="18" t="str">
        <f t="shared" si="257"/>
        <v>Sin aporte de Omega 3</v>
      </c>
      <c r="BX517" s="18" t="str">
        <f t="shared" si="258"/>
        <v>Libre de grasas trans</v>
      </c>
      <c r="BY517" s="18" t="str">
        <f t="shared" si="259"/>
        <v>Bajo poder antioxidante</v>
      </c>
      <c r="BZ517" s="6" t="str">
        <f t="shared" si="247"/>
        <v>Sin probióticos</v>
      </c>
      <c r="CA517" s="18" t="str">
        <f t="shared" si="260"/>
        <v>Altamente inflamatorio</v>
      </c>
      <c r="CB517" s="18" t="str">
        <f>IF(ISNUMBER(SEARCH("miel", D517)), "No irritante (Uso condicionado SII)", IF(OR(J517&gt;0, ISNUMBER(SEARCH("cacao", D517)), ISNUMBER(SEARCH("chocolate puro", D517))), "Altamente irritante", IF(OR(AND(O517&gt;15, BI517&gt;1), ISNUMBER(SEARCH("chocolate", D517))), "Moderadamente irritante", "No irritante")))</f>
        <v>Moderadamente irritante</v>
      </c>
      <c r="CC517" s="6" t="str">
        <f t="shared" si="248"/>
        <v>Sin Omega 3 para evaluar</v>
      </c>
    </row>
    <row r="518" spans="1:81" ht="15" customHeight="1" x14ac:dyDescent="0.3">
      <c r="A518" s="2">
        <f t="shared" si="249"/>
        <v>517</v>
      </c>
      <c r="B518" s="3" t="s">
        <v>646</v>
      </c>
      <c r="C518" s="3" t="s">
        <v>671</v>
      </c>
      <c r="D518" s="3" t="s">
        <v>676</v>
      </c>
      <c r="E518" s="3"/>
      <c r="F518" s="4">
        <v>1.5</v>
      </c>
      <c r="G518" s="5">
        <v>1</v>
      </c>
      <c r="H518" s="5">
        <v>482</v>
      </c>
      <c r="I518" s="5">
        <v>1.8</v>
      </c>
      <c r="J518" s="5">
        <v>0</v>
      </c>
      <c r="K518" s="5">
        <v>7.1</v>
      </c>
      <c r="L518" s="5">
        <v>69</v>
      </c>
      <c r="M518" s="5">
        <v>44.2</v>
      </c>
      <c r="N518" s="5">
        <v>24.8</v>
      </c>
      <c r="O518" s="5">
        <v>22.8</v>
      </c>
      <c r="P518" s="5">
        <v>3.1</v>
      </c>
      <c r="Q518" s="5">
        <v>19</v>
      </c>
      <c r="R518" s="5">
        <v>9.6999999999999993</v>
      </c>
      <c r="S518" s="5">
        <v>5.7</v>
      </c>
      <c r="T518" s="5">
        <v>2.5</v>
      </c>
      <c r="U518" s="5">
        <v>65.900000000000006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4</v>
      </c>
      <c r="AB518" s="5">
        <v>0.1</v>
      </c>
      <c r="AC518" s="5">
        <v>0.08</v>
      </c>
      <c r="AD518" s="5">
        <v>2.1</v>
      </c>
      <c r="AE518" s="5">
        <v>0.08</v>
      </c>
      <c r="AF518" s="5">
        <v>8</v>
      </c>
      <c r="AG518" s="5">
        <v>0</v>
      </c>
      <c r="AH518" s="5">
        <v>0.49</v>
      </c>
      <c r="AI518" s="5">
        <v>2</v>
      </c>
      <c r="AJ518" s="5">
        <v>0</v>
      </c>
      <c r="AK518" s="5">
        <v>118</v>
      </c>
      <c r="AL518" s="5">
        <v>90</v>
      </c>
      <c r="AM518" s="5">
        <v>2</v>
      </c>
      <c r="AN518" s="5">
        <v>0</v>
      </c>
      <c r="AO518" s="5">
        <v>0.59</v>
      </c>
      <c r="AP518" s="5">
        <v>25</v>
      </c>
      <c r="AQ518" s="5">
        <v>212</v>
      </c>
      <c r="AR518" s="5">
        <v>110</v>
      </c>
      <c r="AS518" s="5">
        <v>0.5</v>
      </c>
      <c r="AT518" s="5">
        <v>0.28000000000000003</v>
      </c>
      <c r="AU518" s="5">
        <v>7.3</v>
      </c>
      <c r="AV518" s="5">
        <f>IFERROR(VLOOKUP(IFERROR(VLOOKUP(D518,Mapa_Similitud!$A$2:$B$2000,2,FALSE()),D518),Hoja1!$A$2:$K$1000,2,FALSE()),IFERROR(VLOOKUP(IFERROR(VLOOKUP(D518,Mapa_Similitud!$A$2:$B$2000,2,FALSE()),D518),Omega3_Referencia!$A$2:$E$100,3,FALSE()),0))</f>
        <v>0.03</v>
      </c>
      <c r="AW518" s="3" t="str">
        <f>IFERROR(VLOOKUP(IFERROR(VLOOKUP(D518,Mapa_Similitud!$A$2:$B$2000,2,FALSE()),D518),Hoja1!$A$2:$K$1000,3,FALSE()),IFERROR(VLOOKUP(IFERROR(VLOOKUP(D518,Mapa_Similitud!$A$2:$B$2000,2,FALSE()),D518),Omega3_Referencia!$A$2:$E$100,4,FALSE()),"N/A"))</f>
        <v>ALA</v>
      </c>
      <c r="AX518" s="5">
        <f>IFERROR(VLOOKUP(IFERROR(VLOOKUP(D518,Mapa_Similitud!$A$2:$B$2000,2,FALSE()),D518),Hoja1!$A$2:$K$1000,5,FALSE()),0)</f>
        <v>1.8</v>
      </c>
      <c r="AY518" s="5">
        <f>IFERROR(VLOOKUP(IFERROR(VLOOKUP(D518,Mapa_Similitud!$A$2:$B$2000,2,FALSE()),D518),Hoja1!$A$2:$K$1000,7,FALSE()),0)</f>
        <v>5</v>
      </c>
      <c r="AZ518" s="5">
        <f>IFERROR(VLOOKUP(IFERROR(VLOOKUP(D518,Mapa_Similitud!$A$2:$B$2000,2,FALSE()),D518),Hoja1!$A$2:$K$1000,9,FALSE()),0)</f>
        <v>0</v>
      </c>
      <c r="BA518" s="25">
        <f t="shared" si="232"/>
        <v>1.4730290456431535E-2</v>
      </c>
      <c r="BB518" s="25">
        <f t="shared" si="233"/>
        <v>6.4315352697095441E-3</v>
      </c>
      <c r="BC518" s="25">
        <f t="shared" si="234"/>
        <v>0.24481327800829875</v>
      </c>
      <c r="BD518" s="25">
        <f t="shared" si="235"/>
        <v>4.1493775933609959E-3</v>
      </c>
      <c r="BE518" s="25">
        <f t="shared" si="236"/>
        <v>0.43983402489626555</v>
      </c>
      <c r="BF518" s="25">
        <f t="shared" si="237"/>
        <v>0.25773195876288663</v>
      </c>
      <c r="BG518" s="25">
        <f t="shared" si="238"/>
        <v>1.3111111111111111</v>
      </c>
      <c r="BH518" s="25">
        <f t="shared" si="239"/>
        <v>0.51052631578947361</v>
      </c>
      <c r="BI518" s="25">
        <f t="shared" si="240"/>
        <v>1.9272727272727272</v>
      </c>
      <c r="BJ518" s="25">
        <f t="shared" si="241"/>
        <v>0.35942028985507246</v>
      </c>
      <c r="BK518" s="25">
        <f t="shared" si="242"/>
        <v>4.4927536231884058E-2</v>
      </c>
      <c r="BL518" s="25">
        <f t="shared" si="243"/>
        <v>0.35477178423236516</v>
      </c>
      <c r="BM518" s="25">
        <f t="shared" si="244"/>
        <v>5.1867219917012451E-2</v>
      </c>
      <c r="BN518" s="18" t="str">
        <f t="shared" si="250"/>
        <v>Baja fuente de proteína</v>
      </c>
      <c r="BO518" s="18" t="str">
        <f t="shared" si="251"/>
        <v>Baja fuente de fibra</v>
      </c>
      <c r="BP518" s="18" t="str">
        <f t="shared" si="252"/>
        <v>Baja fuente de calcio</v>
      </c>
      <c r="BQ518" s="18" t="str">
        <f t="shared" si="253"/>
        <v>Baja fuente de hierro</v>
      </c>
      <c r="BR518" s="18" t="str">
        <f t="shared" si="254"/>
        <v>Bajo en sodio</v>
      </c>
      <c r="BS518" s="6" t="str">
        <f t="shared" si="245"/>
        <v>Proinflamatorio</v>
      </c>
      <c r="BT518" s="6" t="str">
        <f t="shared" si="246"/>
        <v>Alto en grasas</v>
      </c>
      <c r="BU518" s="18" t="str">
        <f t="shared" si="255"/>
        <v>Alto riesgo de retención de líquidos</v>
      </c>
      <c r="BV518" s="18" t="str">
        <f t="shared" si="256"/>
        <v>Baja fuente de magnesio</v>
      </c>
      <c r="BW518" s="18" t="str">
        <f t="shared" si="257"/>
        <v>Sin aporte de Omega 3</v>
      </c>
      <c r="BX518" s="18" t="str">
        <f t="shared" si="258"/>
        <v>Alerta: Alto en grasas trans</v>
      </c>
      <c r="BY518" s="18" t="str">
        <f t="shared" si="259"/>
        <v>Bajo poder antioxidante</v>
      </c>
      <c r="BZ518" s="6" t="str">
        <f t="shared" si="247"/>
        <v>Sin probióticos</v>
      </c>
      <c r="CA518" s="18" t="str">
        <f t="shared" si="260"/>
        <v>Altamente inflamatorio</v>
      </c>
      <c r="CB518" s="18" t="str">
        <f>IF(ISNUMBER(SEARCH("miel", D518)), "No irritante (Uso condicionado SII)", IF(OR(J518&gt;0, ISNUMBER(SEARCH("cacao", D518)), ISNUMBER(SEARCH("chocolate puro", D518))), "Altamente irritante", IF(OR(AND(O518&gt;15, BI518&gt;1), ISNUMBER(SEARCH("chocolate", D518))), "Moderadamente irritante", "No irritante")))</f>
        <v>Moderadamente irritante</v>
      </c>
      <c r="CC518" s="6" t="str">
        <f t="shared" si="248"/>
        <v>Exceso relativo de Omega 6</v>
      </c>
    </row>
    <row r="519" spans="1:81" ht="15" customHeight="1" x14ac:dyDescent="0.3">
      <c r="A519" s="2">
        <f t="shared" si="249"/>
        <v>518</v>
      </c>
      <c r="B519" s="3" t="s">
        <v>646</v>
      </c>
      <c r="C519" s="3" t="s">
        <v>671</v>
      </c>
      <c r="D519" s="3" t="s">
        <v>677</v>
      </c>
      <c r="E519" s="3"/>
      <c r="F519" s="4">
        <v>1.5</v>
      </c>
      <c r="G519" s="5">
        <v>1</v>
      </c>
      <c r="H519" s="5">
        <v>447</v>
      </c>
      <c r="I519" s="5">
        <v>8.8000000000000007</v>
      </c>
      <c r="J519" s="5">
        <v>0</v>
      </c>
      <c r="K519" s="5">
        <v>2.9</v>
      </c>
      <c r="L519" s="5">
        <v>67.7</v>
      </c>
      <c r="M519" s="5">
        <v>25.6</v>
      </c>
      <c r="N519" s="5">
        <v>41.2</v>
      </c>
      <c r="O519" s="5">
        <v>38</v>
      </c>
      <c r="P519" s="5">
        <v>2.9</v>
      </c>
      <c r="Q519" s="5">
        <v>17.7</v>
      </c>
      <c r="R519" s="5">
        <v>5.9</v>
      </c>
      <c r="S519" s="5">
        <v>5.9</v>
      </c>
      <c r="T519" s="5">
        <v>2.9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3.2</v>
      </c>
      <c r="AN519" s="5">
        <v>0</v>
      </c>
      <c r="AO519" s="5">
        <v>0</v>
      </c>
      <c r="AP519" s="5">
        <v>0</v>
      </c>
      <c r="AQ519" s="5">
        <v>471</v>
      </c>
      <c r="AR519" s="5">
        <v>162</v>
      </c>
      <c r="AS519" s="5">
        <v>0</v>
      </c>
      <c r="AT519" s="5">
        <v>0</v>
      </c>
      <c r="AU519" s="5">
        <v>0</v>
      </c>
      <c r="AV519" s="5">
        <f>IFERROR(VLOOKUP(IFERROR(VLOOKUP(D519,Mapa_Similitud!$A$2:$B$2000,2,FALSE()),D519),Hoja1!$A$2:$K$1000,2,FALSE()),IFERROR(VLOOKUP(IFERROR(VLOOKUP(D519,Mapa_Similitud!$A$2:$B$2000,2,FALSE()),D519),Omega3_Referencia!$A$2:$E$100,3,FALSE()),0))</f>
        <v>0</v>
      </c>
      <c r="AW519" s="3" t="str">
        <f>IFERROR(VLOOKUP(IFERROR(VLOOKUP(D519,Mapa_Similitud!$A$2:$B$2000,2,FALSE()),D519),Hoja1!$A$2:$K$1000,3,FALSE()),IFERROR(VLOOKUP(IFERROR(VLOOKUP(D519,Mapa_Similitud!$A$2:$B$2000,2,FALSE()),D519),Omega3_Referencia!$A$2:$E$100,4,FALSE()),"N/A"))</f>
        <v>N/A</v>
      </c>
      <c r="AX519" s="5">
        <f>IFERROR(VLOOKUP(IFERROR(VLOOKUP(D519,Mapa_Similitud!$A$2:$B$2000,2,FALSE()),D519),Hoja1!$A$2:$K$1000,5,FALSE()),0)</f>
        <v>0</v>
      </c>
      <c r="AY519" s="5">
        <f>IFERROR(VLOOKUP(IFERROR(VLOOKUP(D519,Mapa_Similitud!$A$2:$B$2000,2,FALSE()),D519),Hoja1!$A$2:$K$1000,7,FALSE()),0)</f>
        <v>0</v>
      </c>
      <c r="AZ519" s="5">
        <f>IFERROR(VLOOKUP(IFERROR(VLOOKUP(D519,Mapa_Similitud!$A$2:$B$2000,2,FALSE()),D519),Hoja1!$A$2:$K$1000,9,FALSE()),0)</f>
        <v>0</v>
      </c>
      <c r="BA519" s="25">
        <f t="shared" si="232"/>
        <v>6.487695749440716E-3</v>
      </c>
      <c r="BB519" s="25">
        <f t="shared" si="233"/>
        <v>6.487695749440716E-3</v>
      </c>
      <c r="BC519" s="25">
        <f t="shared" si="234"/>
        <v>0</v>
      </c>
      <c r="BD519" s="25">
        <f t="shared" si="235"/>
        <v>7.1588366890380315E-3</v>
      </c>
      <c r="BE519" s="25">
        <f t="shared" si="236"/>
        <v>1.0536912751677852</v>
      </c>
      <c r="BF519" s="25">
        <f t="shared" si="237"/>
        <v>0.49152542372881353</v>
      </c>
      <c r="BG519" s="25">
        <f t="shared" si="238"/>
        <v>0</v>
      </c>
      <c r="BH519" s="25">
        <f t="shared" si="239"/>
        <v>0.33333333333333337</v>
      </c>
      <c r="BI519" s="25">
        <f t="shared" si="240"/>
        <v>2.9074074074074074</v>
      </c>
      <c r="BJ519" s="25">
        <f t="shared" si="241"/>
        <v>0.60856720827178734</v>
      </c>
      <c r="BK519" s="25">
        <f t="shared" si="242"/>
        <v>4.2836041358936483E-2</v>
      </c>
      <c r="BL519" s="25">
        <f t="shared" si="243"/>
        <v>0.35637583892617447</v>
      </c>
      <c r="BM519" s="25">
        <f t="shared" si="244"/>
        <v>0</v>
      </c>
      <c r="BN519" s="18" t="str">
        <f t="shared" si="250"/>
        <v>Baja fuente de proteína</v>
      </c>
      <c r="BO519" s="18" t="str">
        <f t="shared" si="251"/>
        <v>Baja fuente de fibra</v>
      </c>
      <c r="BP519" s="18" t="str">
        <f t="shared" si="252"/>
        <v>Baja fuente de calcio</v>
      </c>
      <c r="BQ519" s="18" t="str">
        <f t="shared" si="253"/>
        <v>Baja fuente de hierro</v>
      </c>
      <c r="BR519" s="18" t="str">
        <f t="shared" si="254"/>
        <v>Alto en sodio</v>
      </c>
      <c r="BS519" s="6" t="str">
        <f t="shared" si="245"/>
        <v>Proinflamatorio</v>
      </c>
      <c r="BT519" s="6" t="str">
        <f t="shared" si="246"/>
        <v>Alto en grasas</v>
      </c>
      <c r="BU519" s="18" t="str">
        <f t="shared" si="255"/>
        <v>Alto riesgo de retención de líquidos</v>
      </c>
      <c r="BV519" s="18" t="str">
        <f t="shared" si="256"/>
        <v>Baja fuente de magnesio</v>
      </c>
      <c r="BW519" s="18" t="str">
        <f t="shared" si="257"/>
        <v>Sin aporte de Omega 3</v>
      </c>
      <c r="BX519" s="18" t="str">
        <f t="shared" si="258"/>
        <v>Libre de grasas trans</v>
      </c>
      <c r="BY519" s="18" t="str">
        <f t="shared" si="259"/>
        <v>Bajo poder antioxidante</v>
      </c>
      <c r="BZ519" s="6" t="str">
        <f t="shared" si="247"/>
        <v>Sin probióticos</v>
      </c>
      <c r="CA519" s="18" t="str">
        <f t="shared" si="260"/>
        <v>Altamente inflamatorio</v>
      </c>
      <c r="CB519" s="18" t="str">
        <f>IF(ISNUMBER(SEARCH("miel", D519)), "No irritante (Uso condicionado SII)", IF(OR(J519&gt;0, ISNUMBER(SEARCH("cacao", D519)), ISNUMBER(SEARCH("chocolate puro", D519))), "Altamente irritante", IF(OR(AND(O519&gt;15, BI519&gt;1), ISNUMBER(SEARCH("chocolate", D519))), "Moderadamente irritante", "No irritante")))</f>
        <v>Moderadamente irritante</v>
      </c>
      <c r="CC519" s="6" t="str">
        <f t="shared" si="248"/>
        <v>Sin Omega 3 para evaluar</v>
      </c>
    </row>
    <row r="520" spans="1:81" ht="15" customHeight="1" x14ac:dyDescent="0.3">
      <c r="A520" s="2">
        <f t="shared" si="249"/>
        <v>519</v>
      </c>
      <c r="B520" s="3" t="s">
        <v>646</v>
      </c>
      <c r="C520" s="3" t="s">
        <v>678</v>
      </c>
      <c r="D520" s="3" t="s">
        <v>679</v>
      </c>
      <c r="E520" s="3"/>
      <c r="F520" s="4">
        <v>1.5</v>
      </c>
      <c r="G520" s="5">
        <v>1</v>
      </c>
      <c r="H520" s="5">
        <v>382</v>
      </c>
      <c r="I520" s="5">
        <v>4.5999999999999996</v>
      </c>
      <c r="J520" s="5">
        <v>0</v>
      </c>
      <c r="K520" s="5">
        <v>0.4</v>
      </c>
      <c r="L520" s="5">
        <v>95</v>
      </c>
      <c r="M520" s="5">
        <v>0</v>
      </c>
      <c r="N520" s="5">
        <v>95</v>
      </c>
      <c r="O520" s="5">
        <v>95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0.01</v>
      </c>
      <c r="AI520" s="5">
        <v>0</v>
      </c>
      <c r="AJ520" s="5">
        <v>0</v>
      </c>
      <c r="AK520" s="5">
        <v>4</v>
      </c>
      <c r="AL520" s="5">
        <v>8</v>
      </c>
      <c r="AM520" s="5">
        <v>0.4</v>
      </c>
      <c r="AN520" s="5">
        <v>0</v>
      </c>
      <c r="AO520" s="5">
        <v>0.2</v>
      </c>
      <c r="AP520" s="5">
        <v>3</v>
      </c>
      <c r="AQ520" s="5">
        <v>41</v>
      </c>
      <c r="AR520" s="5">
        <v>23</v>
      </c>
      <c r="AS520" s="5">
        <v>0</v>
      </c>
      <c r="AT520" s="5">
        <v>0</v>
      </c>
      <c r="AU520" s="5">
        <v>2.6</v>
      </c>
      <c r="AV520" s="5">
        <f>IFERROR(VLOOKUP(IFERROR(VLOOKUP(D520,Mapa_Similitud!$A$2:$B$2000,2,FALSE()),D520),Hoja1!$A$2:$K$1000,2,FALSE()),IFERROR(VLOOKUP(IFERROR(VLOOKUP(D520,Mapa_Similitud!$A$2:$B$2000,2,FALSE()),D520),Omega3_Referencia!$A$2:$E$100,3,FALSE()),0))</f>
        <v>0</v>
      </c>
      <c r="AW520" s="3" t="str">
        <f>IFERROR(VLOOKUP(IFERROR(VLOOKUP(D520,Mapa_Similitud!$A$2:$B$2000,2,FALSE()),D520),Hoja1!$A$2:$K$1000,3,FALSE()),IFERROR(VLOOKUP(IFERROR(VLOOKUP(D520,Mapa_Similitud!$A$2:$B$2000,2,FALSE()),D520),Omega3_Referencia!$A$2:$E$100,4,FALSE()),"N/A"))</f>
        <v>N/A</v>
      </c>
      <c r="AX520" s="5">
        <f>IFERROR(VLOOKUP(IFERROR(VLOOKUP(D520,Mapa_Similitud!$A$2:$B$2000,2,FALSE()),D520),Hoja1!$A$2:$K$1000,5,FALSE()),0)</f>
        <v>0</v>
      </c>
      <c r="AY520" s="5">
        <f>IFERROR(VLOOKUP(IFERROR(VLOOKUP(D520,Mapa_Similitud!$A$2:$B$2000,2,FALSE()),D520),Hoja1!$A$2:$K$1000,7,FALSE()),0)</f>
        <v>0</v>
      </c>
      <c r="AZ520" s="5">
        <f>IFERROR(VLOOKUP(IFERROR(VLOOKUP(D520,Mapa_Similitud!$A$2:$B$2000,2,FALSE()),D520),Hoja1!$A$2:$K$1000,9,FALSE()),0)</f>
        <v>0</v>
      </c>
      <c r="BA520" s="25">
        <f t="shared" si="232"/>
        <v>1.0471204188481676E-3</v>
      </c>
      <c r="BB520" s="25">
        <f t="shared" si="233"/>
        <v>0</v>
      </c>
      <c r="BC520" s="25">
        <f t="shared" si="234"/>
        <v>1.0471204188481676E-2</v>
      </c>
      <c r="BD520" s="25">
        <f t="shared" si="235"/>
        <v>1.0471204188481676E-3</v>
      </c>
      <c r="BE520" s="25">
        <f t="shared" si="236"/>
        <v>0.10732984293193717</v>
      </c>
      <c r="BF520" s="25">
        <f t="shared" si="237"/>
        <v>0</v>
      </c>
      <c r="BG520" s="25">
        <f t="shared" si="238"/>
        <v>0.5</v>
      </c>
      <c r="BH520" s="25">
        <f t="shared" si="239"/>
        <v>0</v>
      </c>
      <c r="BI520" s="25">
        <f t="shared" si="240"/>
        <v>1.7826086956521738</v>
      </c>
      <c r="BJ520" s="25">
        <f t="shared" si="241"/>
        <v>1</v>
      </c>
      <c r="BK520" s="25">
        <f t="shared" si="242"/>
        <v>0</v>
      </c>
      <c r="BL520" s="25">
        <f t="shared" si="243"/>
        <v>0</v>
      </c>
      <c r="BM520" s="25">
        <f t="shared" si="244"/>
        <v>7.8534031413612562E-3</v>
      </c>
      <c r="BN520" s="18" t="str">
        <f t="shared" si="250"/>
        <v>Baja fuente de proteína</v>
      </c>
      <c r="BO520" s="18" t="str">
        <f t="shared" si="251"/>
        <v>Baja fuente de fibra</v>
      </c>
      <c r="BP520" s="18" t="str">
        <f t="shared" si="252"/>
        <v>Baja fuente de calcio</v>
      </c>
      <c r="BQ520" s="18" t="str">
        <f t="shared" si="253"/>
        <v>Baja fuente de hierro</v>
      </c>
      <c r="BR520" s="18" t="str">
        <f t="shared" si="254"/>
        <v>Bajo en sodio</v>
      </c>
      <c r="BS520" s="6" t="str">
        <f t="shared" si="245"/>
        <v>Proinflamatorio</v>
      </c>
      <c r="BT520" s="6" t="str">
        <f t="shared" si="246"/>
        <v>Bajo en grasas</v>
      </c>
      <c r="BU520" s="18" t="str">
        <f t="shared" si="255"/>
        <v>Alto riesgo de retención de líquidos</v>
      </c>
      <c r="BV520" s="18" t="str">
        <f t="shared" si="256"/>
        <v>Baja fuente de magnesio</v>
      </c>
      <c r="BW520" s="18" t="str">
        <f t="shared" si="257"/>
        <v>Sin aporte de Omega 3</v>
      </c>
      <c r="BX520" s="18" t="str">
        <f t="shared" si="258"/>
        <v>Libre de grasas trans</v>
      </c>
      <c r="BY520" s="18" t="str">
        <f t="shared" si="259"/>
        <v>Bajo poder antioxidante</v>
      </c>
      <c r="BZ520" s="6" t="str">
        <f t="shared" si="247"/>
        <v>Sin probióticos</v>
      </c>
      <c r="CA520" s="18" t="str">
        <f t="shared" si="260"/>
        <v>Altamente inflamatorio</v>
      </c>
      <c r="CB520" s="18" t="str">
        <f>IF(ISNUMBER(SEARCH("miel", D520)), "No irritante (Uso condicionado SII)", IF(OR(J520&gt;0, ISNUMBER(SEARCH("cacao", D520)), ISNUMBER(SEARCH("chocolate puro", D520))), "Altamente irritante", IF(OR(AND(O520&gt;15, BI520&gt;1), ISNUMBER(SEARCH("chocolate", D520))), "Moderadamente irritante", "No irritante")))</f>
        <v>Moderadamente irritante</v>
      </c>
      <c r="CC520" s="6" t="str">
        <f t="shared" si="248"/>
        <v>Sin Omega 3 para evaluar</v>
      </c>
    </row>
    <row r="521" spans="1:81" ht="15" customHeight="1" x14ac:dyDescent="0.3">
      <c r="A521" s="2">
        <f t="shared" si="249"/>
        <v>520</v>
      </c>
      <c r="B521" s="3" t="s">
        <v>646</v>
      </c>
      <c r="C521" s="3" t="s">
        <v>678</v>
      </c>
      <c r="D521" s="3" t="s">
        <v>680</v>
      </c>
      <c r="E521" s="3"/>
      <c r="F521" s="4">
        <v>1.5</v>
      </c>
      <c r="G521" s="5">
        <v>1</v>
      </c>
      <c r="H521" s="5">
        <v>390</v>
      </c>
      <c r="I521" s="5">
        <v>3</v>
      </c>
      <c r="J521" s="5">
        <v>0</v>
      </c>
      <c r="K521" s="5">
        <v>0</v>
      </c>
      <c r="L521" s="5">
        <v>96.7</v>
      </c>
      <c r="M521" s="5">
        <v>0</v>
      </c>
      <c r="N521" s="5">
        <v>96.7</v>
      </c>
      <c r="O521" s="5">
        <v>96.7</v>
      </c>
      <c r="P521" s="5">
        <v>0</v>
      </c>
      <c r="Q521" s="5">
        <v>0.3</v>
      </c>
      <c r="R521" s="5">
        <v>4.2000000000000003E-2</v>
      </c>
      <c r="S521" s="5">
        <v>7.9000000000000001E-2</v>
      </c>
      <c r="T521" s="5">
        <v>0.14000000000000001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0.01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6</v>
      </c>
      <c r="AR521" s="5">
        <v>4</v>
      </c>
      <c r="AS521" s="5">
        <v>0</v>
      </c>
      <c r="AT521" s="5">
        <v>0</v>
      </c>
      <c r="AU521" s="5">
        <v>0.6</v>
      </c>
      <c r="AV521" s="5">
        <f>IFERROR(VLOOKUP(IFERROR(VLOOKUP(D521,Mapa_Similitud!$A$2:$B$2000,2,FALSE()),D521),Hoja1!$A$2:$K$1000,2,FALSE()),IFERROR(VLOOKUP(IFERROR(VLOOKUP(D521,Mapa_Similitud!$A$2:$B$2000,2,FALSE()),D521),Omega3_Referencia!$A$2:$E$100,3,FALSE()),0))</f>
        <v>0</v>
      </c>
      <c r="AW521" s="3" t="str">
        <f>IFERROR(VLOOKUP(IFERROR(VLOOKUP(D521,Mapa_Similitud!$A$2:$B$2000,2,FALSE()),D521),Hoja1!$A$2:$K$1000,3,FALSE()),IFERROR(VLOOKUP(IFERROR(VLOOKUP(D521,Mapa_Similitud!$A$2:$B$2000,2,FALSE()),D521),Omega3_Referencia!$A$2:$E$100,4,FALSE()),"N/A"))</f>
        <v>N/A</v>
      </c>
      <c r="AX521" s="5">
        <f>IFERROR(VLOOKUP(IFERROR(VLOOKUP(D521,Mapa_Similitud!$A$2:$B$2000,2,FALSE()),D521),Hoja1!$A$2:$K$1000,5,FALSE()),0)</f>
        <v>0</v>
      </c>
      <c r="AY521" s="5">
        <f>IFERROR(VLOOKUP(IFERROR(VLOOKUP(D521,Mapa_Similitud!$A$2:$B$2000,2,FALSE()),D521),Hoja1!$A$2:$K$1000,7,FALSE()),0)</f>
        <v>0</v>
      </c>
      <c r="AZ521" s="5">
        <f>IFERROR(VLOOKUP(IFERROR(VLOOKUP(D521,Mapa_Similitud!$A$2:$B$2000,2,FALSE()),D521),Hoja1!$A$2:$K$1000,9,FALSE()),0)</f>
        <v>0</v>
      </c>
      <c r="BA521" s="25">
        <f t="shared" si="232"/>
        <v>0</v>
      </c>
      <c r="BB521" s="25">
        <f t="shared" si="233"/>
        <v>0</v>
      </c>
      <c r="BC521" s="25">
        <f t="shared" si="234"/>
        <v>0</v>
      </c>
      <c r="BD521" s="25">
        <f t="shared" si="235"/>
        <v>0</v>
      </c>
      <c r="BE521" s="25">
        <f t="shared" si="236"/>
        <v>1.5384615384615385E-2</v>
      </c>
      <c r="BF521" s="25">
        <f t="shared" si="237"/>
        <v>3.3333333333333335</v>
      </c>
      <c r="BG521" s="25">
        <f t="shared" si="238"/>
        <v>0</v>
      </c>
      <c r="BH521" s="25">
        <f t="shared" si="239"/>
        <v>0.14000000000000001</v>
      </c>
      <c r="BI521" s="25">
        <f t="shared" si="240"/>
        <v>1.5</v>
      </c>
      <c r="BJ521" s="25">
        <f t="shared" si="241"/>
        <v>1</v>
      </c>
      <c r="BK521" s="25">
        <f t="shared" si="242"/>
        <v>0</v>
      </c>
      <c r="BL521" s="25">
        <f t="shared" si="243"/>
        <v>6.9230769230769224E-3</v>
      </c>
      <c r="BM521" s="25">
        <f t="shared" si="244"/>
        <v>0</v>
      </c>
      <c r="BN521" s="18" t="str">
        <f t="shared" si="250"/>
        <v>Baja fuente de proteína</v>
      </c>
      <c r="BO521" s="18" t="str">
        <f t="shared" si="251"/>
        <v>Baja fuente de fibra</v>
      </c>
      <c r="BP521" s="18" t="str">
        <f t="shared" si="252"/>
        <v>Baja fuente de calcio</v>
      </c>
      <c r="BQ521" s="18" t="str">
        <f t="shared" si="253"/>
        <v>Baja fuente de hierro</v>
      </c>
      <c r="BR521" s="18" t="str">
        <f t="shared" si="254"/>
        <v>Bajo en sodio</v>
      </c>
      <c r="BS521" s="6" t="str">
        <f t="shared" si="245"/>
        <v>Altamente antiinflamatorio</v>
      </c>
      <c r="BT521" s="6" t="str">
        <f t="shared" si="246"/>
        <v>Bajo en grasas</v>
      </c>
      <c r="BU521" s="18" t="str">
        <f t="shared" si="255"/>
        <v>Alto riesgo de retención de líquidos</v>
      </c>
      <c r="BV521" s="18" t="str">
        <f t="shared" si="256"/>
        <v>Baja fuente de magnesio</v>
      </c>
      <c r="BW521" s="18" t="str">
        <f t="shared" si="257"/>
        <v>Sin aporte de Omega 3</v>
      </c>
      <c r="BX521" s="18" t="str">
        <f t="shared" si="258"/>
        <v>Libre de grasas trans</v>
      </c>
      <c r="BY521" s="18" t="str">
        <f t="shared" si="259"/>
        <v>Bajo poder antioxidante</v>
      </c>
      <c r="BZ521" s="6" t="str">
        <f t="shared" si="247"/>
        <v>Sin probióticos</v>
      </c>
      <c r="CA521" s="18" t="str">
        <f t="shared" si="260"/>
        <v>Altamente inflamatorio</v>
      </c>
      <c r="CB521" s="18" t="str">
        <f>IF(ISNUMBER(SEARCH("miel", D521)), "No irritante (Uso condicionado SII)", IF(OR(J521&gt;0, ISNUMBER(SEARCH("cacao", D521)), ISNUMBER(SEARCH("chocolate puro", D521))), "Altamente irritante", IF(OR(AND(O521&gt;15, BI521&gt;1), ISNUMBER(SEARCH("chocolate", D521))), "Moderadamente irritante", "No irritante")))</f>
        <v>Moderadamente irritante</v>
      </c>
      <c r="CC521" s="6" t="str">
        <f t="shared" si="248"/>
        <v>Sin Omega 3 para evaluar</v>
      </c>
    </row>
    <row r="522" spans="1:81" ht="15" customHeight="1" x14ac:dyDescent="0.3">
      <c r="A522" s="2">
        <f t="shared" si="249"/>
        <v>521</v>
      </c>
      <c r="B522" s="3" t="s">
        <v>646</v>
      </c>
      <c r="C522" s="3" t="s">
        <v>678</v>
      </c>
      <c r="D522" s="3" t="s">
        <v>681</v>
      </c>
      <c r="E522" s="3"/>
      <c r="F522" s="4">
        <v>1.5</v>
      </c>
      <c r="G522" s="5">
        <v>1</v>
      </c>
      <c r="H522" s="5">
        <v>2.7</v>
      </c>
      <c r="I522" s="5">
        <v>3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0.3</v>
      </c>
      <c r="R522" s="5">
        <v>4.2000000000000003E-2</v>
      </c>
      <c r="S522" s="5">
        <v>7.9000000000000001E-2</v>
      </c>
      <c r="T522" s="5">
        <v>0.14000000000000001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0.01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6</v>
      </c>
      <c r="AR522" s="5">
        <v>4</v>
      </c>
      <c r="AS522" s="5">
        <v>0</v>
      </c>
      <c r="AT522" s="5">
        <v>0</v>
      </c>
      <c r="AU522" s="5">
        <v>0.6</v>
      </c>
      <c r="AV522" s="5">
        <f>IFERROR(VLOOKUP(IFERROR(VLOOKUP(D522,Mapa_Similitud!$A$2:$B$2000,2,FALSE()),D522),Hoja1!$A$2:$K$1000,2,FALSE()),IFERROR(VLOOKUP(IFERROR(VLOOKUP(D522,Mapa_Similitud!$A$2:$B$2000,2,FALSE()),D522),Omega3_Referencia!$A$2:$E$100,3,FALSE()),0))</f>
        <v>0</v>
      </c>
      <c r="AW522" s="3" t="str">
        <f>IFERROR(VLOOKUP(IFERROR(VLOOKUP(D522,Mapa_Similitud!$A$2:$B$2000,2,FALSE()),D522),Hoja1!$A$2:$K$1000,3,FALSE()),IFERROR(VLOOKUP(IFERROR(VLOOKUP(D522,Mapa_Similitud!$A$2:$B$2000,2,FALSE()),D522),Omega3_Referencia!$A$2:$E$100,4,FALSE()),"N/A"))</f>
        <v>N/A</v>
      </c>
      <c r="AX522" s="5">
        <f>IFERROR(VLOOKUP(IFERROR(VLOOKUP(D522,Mapa_Similitud!$A$2:$B$2000,2,FALSE()),D522),Hoja1!$A$2:$K$1000,5,FALSE()),0)</f>
        <v>0</v>
      </c>
      <c r="AY522" s="5">
        <f>IFERROR(VLOOKUP(IFERROR(VLOOKUP(D522,Mapa_Similitud!$A$2:$B$2000,2,FALSE()),D522),Hoja1!$A$2:$K$1000,7,FALSE()),0)</f>
        <v>0</v>
      </c>
      <c r="AZ522" s="5">
        <f>IFERROR(VLOOKUP(IFERROR(VLOOKUP(D522,Mapa_Similitud!$A$2:$B$2000,2,FALSE()),D522),Hoja1!$A$2:$K$1000,9,FALSE()),0)</f>
        <v>0</v>
      </c>
      <c r="BA522" s="25">
        <f t="shared" si="232"/>
        <v>0</v>
      </c>
      <c r="BB522" s="25">
        <f t="shared" si="233"/>
        <v>0</v>
      </c>
      <c r="BC522" s="25">
        <f t="shared" si="234"/>
        <v>0</v>
      </c>
      <c r="BD522" s="25">
        <f t="shared" si="235"/>
        <v>0</v>
      </c>
      <c r="BE522" s="25">
        <f t="shared" si="236"/>
        <v>2.2222222222222219</v>
      </c>
      <c r="BF522" s="25">
        <f t="shared" si="237"/>
        <v>3.3333333333333335</v>
      </c>
      <c r="BG522" s="25">
        <f t="shared" si="238"/>
        <v>0</v>
      </c>
      <c r="BH522" s="25">
        <f t="shared" si="239"/>
        <v>0.14000000000000001</v>
      </c>
      <c r="BI522" s="25">
        <f t="shared" si="240"/>
        <v>1.5</v>
      </c>
      <c r="BJ522" s="25">
        <f t="shared" si="241"/>
        <v>0</v>
      </c>
      <c r="BK522" s="25">
        <f t="shared" si="242"/>
        <v>0</v>
      </c>
      <c r="BL522" s="25">
        <f t="shared" si="243"/>
        <v>0.99999999999999989</v>
      </c>
      <c r="BM522" s="25">
        <f t="shared" si="244"/>
        <v>0</v>
      </c>
      <c r="BN522" s="18" t="str">
        <f t="shared" si="250"/>
        <v>Baja fuente de proteína</v>
      </c>
      <c r="BO522" s="18" t="str">
        <f t="shared" si="251"/>
        <v>Baja fuente de fibra</v>
      </c>
      <c r="BP522" s="18" t="str">
        <f t="shared" si="252"/>
        <v>Baja fuente de calcio</v>
      </c>
      <c r="BQ522" s="18" t="str">
        <f t="shared" si="253"/>
        <v>Baja fuente de hierro</v>
      </c>
      <c r="BR522" s="18" t="str">
        <f t="shared" si="254"/>
        <v>Muy alto en sodio</v>
      </c>
      <c r="BS522" s="6" t="str">
        <f t="shared" si="245"/>
        <v>Altamente antiinflamatorio</v>
      </c>
      <c r="BT522" s="6" t="str">
        <f t="shared" si="246"/>
        <v>Muy alto en grasas</v>
      </c>
      <c r="BU522" s="18" t="str">
        <f t="shared" si="255"/>
        <v>Alto riesgo de retención de líquidos</v>
      </c>
      <c r="BV522" s="18" t="str">
        <f t="shared" si="256"/>
        <v>Baja fuente de magnesio</v>
      </c>
      <c r="BW522" s="18" t="str">
        <f t="shared" si="257"/>
        <v>Sin aporte de Omega 3</v>
      </c>
      <c r="BX522" s="18" t="str">
        <f t="shared" si="258"/>
        <v>Libre de grasas trans</v>
      </c>
      <c r="BY522" s="18" t="str">
        <f t="shared" si="259"/>
        <v>Bajo poder antioxidante</v>
      </c>
      <c r="BZ522" s="6" t="str">
        <f t="shared" si="247"/>
        <v>Sin probióticos</v>
      </c>
      <c r="CA522" s="18" t="str">
        <f t="shared" si="260"/>
        <v>Poco inflamatorio</v>
      </c>
      <c r="CB522" s="18" t="str">
        <f>IF(ISNUMBER(SEARCH("miel", D522)), "No irritante (Uso condicionado SII)", IF(OR(J522&gt;0, ISNUMBER(SEARCH("cacao", D522)), ISNUMBER(SEARCH("chocolate puro", D522))), "Altamente irritante", IF(OR(AND(O522&gt;15, BI522&gt;1), ISNUMBER(SEARCH("chocolate", D522))), "Moderadamente irritante", "No irritante")))</f>
        <v>No irritante</v>
      </c>
      <c r="CC522" s="6" t="str">
        <f t="shared" si="248"/>
        <v>Sin Omega 3 para evaluar</v>
      </c>
    </row>
    <row r="523" spans="1:81" ht="15" customHeight="1" x14ac:dyDescent="0.3">
      <c r="A523" s="2">
        <f t="shared" si="249"/>
        <v>522</v>
      </c>
      <c r="B523" s="3" t="s">
        <v>646</v>
      </c>
      <c r="C523" s="3" t="s">
        <v>678</v>
      </c>
      <c r="D523" s="3" t="s">
        <v>682</v>
      </c>
      <c r="E523" s="3"/>
      <c r="F523" s="4">
        <v>1.5</v>
      </c>
      <c r="G523" s="5">
        <v>1</v>
      </c>
      <c r="H523" s="5">
        <v>134</v>
      </c>
      <c r="I523" s="5">
        <v>68.2</v>
      </c>
      <c r="J523" s="5">
        <v>0</v>
      </c>
      <c r="K523" s="5">
        <v>1</v>
      </c>
      <c r="L523" s="5">
        <v>29.5</v>
      </c>
      <c r="M523" s="5">
        <v>0</v>
      </c>
      <c r="N523" s="5">
        <v>29.5</v>
      </c>
      <c r="O523" s="5">
        <v>29.5</v>
      </c>
      <c r="P523" s="5">
        <v>0</v>
      </c>
      <c r="Q523" s="5">
        <v>1.3</v>
      </c>
      <c r="R523" s="5">
        <v>0.9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0.1</v>
      </c>
      <c r="AA523" s="5">
        <v>0</v>
      </c>
      <c r="AB523" s="5">
        <v>0.05</v>
      </c>
      <c r="AC523" s="5">
        <v>0.22</v>
      </c>
      <c r="AD523" s="5">
        <v>0.8</v>
      </c>
      <c r="AE523" s="5">
        <v>0.05</v>
      </c>
      <c r="AF523" s="5">
        <v>12</v>
      </c>
      <c r="AG523" s="5">
        <v>0.4</v>
      </c>
      <c r="AH523" s="5">
        <v>0.4</v>
      </c>
      <c r="AI523" s="5">
        <v>2.8</v>
      </c>
      <c r="AJ523" s="5">
        <v>0</v>
      </c>
      <c r="AK523" s="5">
        <v>29</v>
      </c>
      <c r="AL523" s="5">
        <v>109</v>
      </c>
      <c r="AM523" s="5">
        <v>0.2</v>
      </c>
      <c r="AN523" s="5">
        <v>0</v>
      </c>
      <c r="AO523" s="5">
        <v>0.4</v>
      </c>
      <c r="AP523" s="5">
        <v>5</v>
      </c>
      <c r="AQ523" s="5">
        <v>24</v>
      </c>
      <c r="AR523" s="5">
        <v>64</v>
      </c>
      <c r="AS523" s="5">
        <v>0</v>
      </c>
      <c r="AT523" s="5">
        <v>8.9999999999999993E-3</v>
      </c>
      <c r="AU523" s="5">
        <v>0</v>
      </c>
      <c r="AV523" s="5">
        <f>IFERROR(VLOOKUP(IFERROR(VLOOKUP(D523,Mapa_Similitud!$A$2:$B$2000,2,FALSE()),D523),Hoja1!$A$2:$K$1000,2,FALSE()),IFERROR(VLOOKUP(IFERROR(VLOOKUP(D523,Mapa_Similitud!$A$2:$B$2000,2,FALSE()),D523),Omega3_Referencia!$A$2:$E$100,3,FALSE()),0))</f>
        <v>0</v>
      </c>
      <c r="AW523" s="3" t="str">
        <f>IFERROR(VLOOKUP(IFERROR(VLOOKUP(D523,Mapa_Similitud!$A$2:$B$2000,2,FALSE()),D523),Hoja1!$A$2:$K$1000,3,FALSE()),IFERROR(VLOOKUP(IFERROR(VLOOKUP(D523,Mapa_Similitud!$A$2:$B$2000,2,FALSE()),D523),Omega3_Referencia!$A$2:$E$100,4,FALSE()),"N/A"))</f>
        <v>N/A</v>
      </c>
      <c r="AX523" s="5">
        <f>IFERROR(VLOOKUP(IFERROR(VLOOKUP(D523,Mapa_Similitud!$A$2:$B$2000,2,FALSE()),D523),Hoja1!$A$2:$K$1000,5,FALSE()),0)</f>
        <v>0</v>
      </c>
      <c r="AY523" s="5">
        <f>IFERROR(VLOOKUP(IFERROR(VLOOKUP(D523,Mapa_Similitud!$A$2:$B$2000,2,FALSE()),D523),Hoja1!$A$2:$K$1000,7,FALSE()),0)</f>
        <v>0</v>
      </c>
      <c r="AZ523" s="5">
        <f>IFERROR(VLOOKUP(IFERROR(VLOOKUP(D523,Mapa_Similitud!$A$2:$B$2000,2,FALSE()),D523),Hoja1!$A$2:$K$1000,9,FALSE()),0)</f>
        <v>0</v>
      </c>
      <c r="BA523" s="25">
        <f t="shared" si="232"/>
        <v>7.462686567164179E-3</v>
      </c>
      <c r="BB523" s="25">
        <f t="shared" si="233"/>
        <v>0</v>
      </c>
      <c r="BC523" s="25">
        <f t="shared" si="234"/>
        <v>0.21641791044776118</v>
      </c>
      <c r="BD523" s="25">
        <f t="shared" si="235"/>
        <v>1.4925373134328358E-3</v>
      </c>
      <c r="BE523" s="25">
        <f t="shared" si="236"/>
        <v>0.17910447761194029</v>
      </c>
      <c r="BF523" s="25">
        <f t="shared" si="237"/>
        <v>0</v>
      </c>
      <c r="BG523" s="25">
        <f t="shared" si="238"/>
        <v>0.26605504587155965</v>
      </c>
      <c r="BH523" s="25">
        <f t="shared" si="239"/>
        <v>0.69230769230769229</v>
      </c>
      <c r="BI523" s="25">
        <f t="shared" si="240"/>
        <v>0.375</v>
      </c>
      <c r="BJ523" s="25">
        <f t="shared" si="241"/>
        <v>1</v>
      </c>
      <c r="BK523" s="25">
        <f t="shared" si="242"/>
        <v>0</v>
      </c>
      <c r="BL523" s="25">
        <f t="shared" si="243"/>
        <v>8.7313432835820909E-2</v>
      </c>
      <c r="BM523" s="25">
        <f t="shared" si="244"/>
        <v>3.7313432835820892E-2</v>
      </c>
      <c r="BN523" s="18" t="str">
        <f t="shared" si="250"/>
        <v>Baja fuente de proteína</v>
      </c>
      <c r="BO523" s="18" t="str">
        <f t="shared" si="251"/>
        <v>Baja fuente de fibra</v>
      </c>
      <c r="BP523" s="18" t="str">
        <f t="shared" si="252"/>
        <v>Baja fuente de calcio</v>
      </c>
      <c r="BQ523" s="18" t="str">
        <f t="shared" si="253"/>
        <v>Baja fuente de hierro</v>
      </c>
      <c r="BR523" s="18" t="str">
        <f t="shared" si="254"/>
        <v>Bajo en sodio</v>
      </c>
      <c r="BS523" s="6" t="str">
        <f t="shared" si="245"/>
        <v>Proinflamatorio</v>
      </c>
      <c r="BT523" s="6" t="str">
        <f t="shared" si="246"/>
        <v>Bajo en grasas</v>
      </c>
      <c r="BU523" s="18" t="str">
        <f t="shared" si="255"/>
        <v>Equilibrio de líquidos ideal</v>
      </c>
      <c r="BV523" s="18" t="str">
        <f t="shared" si="256"/>
        <v>Baja fuente de magnesio</v>
      </c>
      <c r="BW523" s="18" t="str">
        <f t="shared" si="257"/>
        <v>Sin aporte de Omega 3</v>
      </c>
      <c r="BX523" s="18" t="str">
        <f t="shared" si="258"/>
        <v>Libre de grasas trans</v>
      </c>
      <c r="BY523" s="18" t="str">
        <f t="shared" si="259"/>
        <v>Bajo poder antioxidante</v>
      </c>
      <c r="BZ523" s="6" t="str">
        <f t="shared" si="247"/>
        <v>Sin probióticos</v>
      </c>
      <c r="CA523" s="18" t="str">
        <f t="shared" si="260"/>
        <v>Altamente inflamatorio</v>
      </c>
      <c r="CB523" s="18" t="str">
        <f>IF(ISNUMBER(SEARCH("miel", D523)), "No irritante (Uso condicionado SII)", IF(OR(J523&gt;0, ISNUMBER(SEARCH("cacao", D523)), ISNUMBER(SEARCH("chocolate puro", D523))), "Altamente irritante", IF(OR(AND(O523&gt;15, BI523&gt;1), ISNUMBER(SEARCH("chocolate", D523))), "Moderadamente irritante", "No irritante")))</f>
        <v>No irritante</v>
      </c>
      <c r="CC523" s="6" t="str">
        <f t="shared" si="248"/>
        <v>Sin Omega 3 para evaluar</v>
      </c>
    </row>
    <row r="524" spans="1:81" ht="15" customHeight="1" x14ac:dyDescent="0.3">
      <c r="A524" s="2">
        <f t="shared" si="249"/>
        <v>523</v>
      </c>
      <c r="B524" s="3" t="s">
        <v>683</v>
      </c>
      <c r="C524" s="3" t="s">
        <v>684</v>
      </c>
      <c r="D524" s="3" t="s">
        <v>685</v>
      </c>
      <c r="E524" s="3"/>
      <c r="F524" s="4">
        <v>1.5</v>
      </c>
      <c r="G524" s="5">
        <v>1</v>
      </c>
      <c r="H524" s="5">
        <v>466</v>
      </c>
      <c r="I524" s="5">
        <v>7.3</v>
      </c>
      <c r="J524" s="5">
        <v>0</v>
      </c>
      <c r="K524" s="5">
        <v>6.2</v>
      </c>
      <c r="L524" s="5">
        <v>64</v>
      </c>
      <c r="M524" s="5">
        <v>55</v>
      </c>
      <c r="N524" s="5">
        <v>9</v>
      </c>
      <c r="O524" s="5">
        <v>8.9</v>
      </c>
      <c r="P524" s="5">
        <v>2.5</v>
      </c>
      <c r="Q524" s="5">
        <v>20</v>
      </c>
      <c r="R524" s="5">
        <v>1.9</v>
      </c>
      <c r="S524" s="5">
        <v>4.3</v>
      </c>
      <c r="T524" s="5">
        <v>3.3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0.5</v>
      </c>
      <c r="AA524" s="5">
        <v>4</v>
      </c>
      <c r="AB524" s="5">
        <v>0.11</v>
      </c>
      <c r="AC524" s="5">
        <v>0.1</v>
      </c>
      <c r="AD524" s="5">
        <v>0.9</v>
      </c>
      <c r="AE524" s="5">
        <v>0.1</v>
      </c>
      <c r="AF524" s="5">
        <v>10</v>
      </c>
      <c r="AG524" s="5">
        <v>0</v>
      </c>
      <c r="AH524" s="5">
        <v>0.49</v>
      </c>
      <c r="AI524" s="5">
        <v>0</v>
      </c>
      <c r="AJ524" s="5">
        <v>0</v>
      </c>
      <c r="AK524" s="5">
        <v>68</v>
      </c>
      <c r="AL524" s="5">
        <v>150</v>
      </c>
      <c r="AM524" s="5">
        <v>1</v>
      </c>
      <c r="AN524" s="5">
        <v>0</v>
      </c>
      <c r="AO524" s="5">
        <v>0.6</v>
      </c>
      <c r="AP524" s="5">
        <v>30</v>
      </c>
      <c r="AQ524" s="5">
        <v>1000</v>
      </c>
      <c r="AR524" s="5">
        <v>165</v>
      </c>
      <c r="AS524" s="5">
        <v>0.5</v>
      </c>
      <c r="AT524" s="5">
        <v>0.28000000000000003</v>
      </c>
      <c r="AU524" s="5">
        <v>7.3</v>
      </c>
      <c r="AV524" s="5">
        <f>IFERROR(VLOOKUP(IFERROR(VLOOKUP(D524,Mapa_Similitud!$A$2:$B$2000,2,FALSE()),D524),Hoja1!$A$2:$K$1000,2,FALSE()),IFERROR(VLOOKUP(IFERROR(VLOOKUP(D524,Mapa_Similitud!$A$2:$B$2000,2,FALSE()),D524),Omega3_Referencia!$A$2:$E$100,3,FALSE()),0))</f>
        <v>0.02</v>
      </c>
      <c r="AW524" s="3" t="str">
        <f>IFERROR(VLOOKUP(IFERROR(VLOOKUP(D524,Mapa_Similitud!$A$2:$B$2000,2,FALSE()),D524),Hoja1!$A$2:$K$1000,3,FALSE()),IFERROR(VLOOKUP(IFERROR(VLOOKUP(D524,Mapa_Similitud!$A$2:$B$2000,2,FALSE()),D524),Omega3_Referencia!$A$2:$E$100,4,FALSE()),"N/A"))</f>
        <v>ALA</v>
      </c>
      <c r="AX524" s="5">
        <f>IFERROR(VLOOKUP(IFERROR(VLOOKUP(D524,Mapa_Similitud!$A$2:$B$2000,2,FALSE()),D524),Hoja1!$A$2:$K$1000,5,FALSE()),0)</f>
        <v>1</v>
      </c>
      <c r="AY524" s="5">
        <f>IFERROR(VLOOKUP(IFERROR(VLOOKUP(D524,Mapa_Similitud!$A$2:$B$2000,2,FALSE()),D524),Hoja1!$A$2:$K$1000,7,FALSE()),0)</f>
        <v>0</v>
      </c>
      <c r="AZ524" s="5">
        <f>IFERROR(VLOOKUP(IFERROR(VLOOKUP(D524,Mapa_Similitud!$A$2:$B$2000,2,FALSE()),D524),Hoja1!$A$2:$K$1000,9,FALSE()),0)</f>
        <v>0</v>
      </c>
      <c r="BA524" s="25">
        <f t="shared" si="232"/>
        <v>1.3304721030042918E-2</v>
      </c>
      <c r="BB524" s="25">
        <f t="shared" si="233"/>
        <v>5.3648068669527897E-3</v>
      </c>
      <c r="BC524" s="25">
        <f t="shared" si="234"/>
        <v>0.14592274678111589</v>
      </c>
      <c r="BD524" s="25">
        <f t="shared" si="235"/>
        <v>2.1459227467811159E-3</v>
      </c>
      <c r="BE524" s="25">
        <f t="shared" si="236"/>
        <v>2.1459227467811157</v>
      </c>
      <c r="BF524" s="25">
        <f t="shared" si="237"/>
        <v>1.736842105263158</v>
      </c>
      <c r="BG524" s="25">
        <f t="shared" si="238"/>
        <v>0.45333333333333331</v>
      </c>
      <c r="BH524" s="25">
        <f t="shared" si="239"/>
        <v>9.5000000000000001E-2</v>
      </c>
      <c r="BI524" s="25">
        <f t="shared" si="240"/>
        <v>6.0606060606060606</v>
      </c>
      <c r="BJ524" s="25">
        <f t="shared" si="241"/>
        <v>0.140625</v>
      </c>
      <c r="BK524" s="25">
        <f t="shared" si="242"/>
        <v>3.90625E-2</v>
      </c>
      <c r="BL524" s="25">
        <f t="shared" si="243"/>
        <v>0.38626609442060084</v>
      </c>
      <c r="BM524" s="25">
        <f t="shared" si="244"/>
        <v>6.4377682403433473E-2</v>
      </c>
      <c r="BN524" s="18" t="str">
        <f t="shared" si="250"/>
        <v>Baja fuente de proteína</v>
      </c>
      <c r="BO524" s="18" t="str">
        <f t="shared" si="251"/>
        <v>Baja fuente de fibra</v>
      </c>
      <c r="BP524" s="18" t="str">
        <f t="shared" si="252"/>
        <v>Baja fuente de calcio</v>
      </c>
      <c r="BQ524" s="18" t="str">
        <f t="shared" si="253"/>
        <v>Baja fuente de hierro</v>
      </c>
      <c r="BR524" s="18" t="str">
        <f t="shared" si="254"/>
        <v>Muy alto en sodio</v>
      </c>
      <c r="BS524" s="6" t="str">
        <f t="shared" si="245"/>
        <v>Ligeramente antiinflamatorio</v>
      </c>
      <c r="BT524" s="6" t="str">
        <f t="shared" si="246"/>
        <v>Alto en grasas</v>
      </c>
      <c r="BU524" s="18" t="str">
        <f t="shared" si="255"/>
        <v>Alto riesgo de retención de líquidos</v>
      </c>
      <c r="BV524" s="18" t="str">
        <f t="shared" si="256"/>
        <v>Baja fuente de magnesio</v>
      </c>
      <c r="BW524" s="18" t="str">
        <f t="shared" si="257"/>
        <v>Sin aporte de Omega 3</v>
      </c>
      <c r="BX524" s="18" t="str">
        <f t="shared" si="258"/>
        <v>Alerta: Alto en grasas trans</v>
      </c>
      <c r="BY524" s="18" t="str">
        <f t="shared" si="259"/>
        <v>Bajo poder antioxidante</v>
      </c>
      <c r="BZ524" s="6" t="str">
        <f t="shared" si="247"/>
        <v>Sin probióticos</v>
      </c>
      <c r="CA524" s="18" t="str">
        <f t="shared" si="260"/>
        <v>Altamente inflamatorio</v>
      </c>
      <c r="CB524" s="18" t="str">
        <f>IF(ISNUMBER(SEARCH("miel", D524)), "No irritante (Uso condicionado SII)", IF(OR(J524&gt;0, ISNUMBER(SEARCH("cacao", D524)), ISNUMBER(SEARCH("chocolate puro", D524))), "Altamente irritante", IF(OR(AND(O524&gt;15, BI524&gt;1), ISNUMBER(SEARCH("chocolate", D524))), "Moderadamente irritante", "No irritante")))</f>
        <v>No irritante</v>
      </c>
      <c r="CC524" s="6" t="str">
        <f t="shared" si="248"/>
        <v>Exceso relativo de Omega 6</v>
      </c>
    </row>
    <row r="525" spans="1:81" ht="15" customHeight="1" x14ac:dyDescent="0.3">
      <c r="A525" s="2">
        <f t="shared" si="249"/>
        <v>524</v>
      </c>
      <c r="B525" s="3" t="s">
        <v>686</v>
      </c>
      <c r="C525" s="3" t="s">
        <v>687</v>
      </c>
      <c r="D525" s="3" t="s">
        <v>688</v>
      </c>
      <c r="E525" s="3"/>
      <c r="F525" s="4">
        <v>1.5</v>
      </c>
      <c r="G525" s="5">
        <v>1</v>
      </c>
      <c r="H525" s="5">
        <v>28.4</v>
      </c>
      <c r="I525" s="5">
        <v>92.9</v>
      </c>
      <c r="J525" s="5">
        <v>0</v>
      </c>
      <c r="K525" s="5">
        <v>0</v>
      </c>
      <c r="L525" s="5">
        <v>7.1</v>
      </c>
      <c r="M525" s="5">
        <v>0</v>
      </c>
      <c r="N525" s="5">
        <v>7.1</v>
      </c>
      <c r="O525" s="5">
        <v>7.1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0.06</v>
      </c>
      <c r="W525" s="5">
        <v>32</v>
      </c>
      <c r="X525" s="5">
        <v>0</v>
      </c>
      <c r="Y525" s="5">
        <v>0</v>
      </c>
      <c r="Z525" s="5">
        <v>0.6</v>
      </c>
      <c r="AA525" s="5">
        <v>0</v>
      </c>
      <c r="AB525" s="5">
        <v>0.09</v>
      </c>
      <c r="AC525" s="5">
        <v>0.12</v>
      </c>
      <c r="AD525" s="5">
        <v>1.2</v>
      </c>
      <c r="AE525" s="5">
        <v>0.13</v>
      </c>
      <c r="AF525" s="5">
        <v>0.03</v>
      </c>
      <c r="AG525" s="5">
        <v>0</v>
      </c>
      <c r="AH525" s="5">
        <v>0</v>
      </c>
      <c r="AI525" s="5">
        <v>0</v>
      </c>
      <c r="AJ525" s="5">
        <v>10</v>
      </c>
      <c r="AK525" s="5">
        <v>1</v>
      </c>
      <c r="AL525" s="5">
        <v>3</v>
      </c>
      <c r="AM525" s="5">
        <v>0</v>
      </c>
      <c r="AN525" s="5">
        <v>0</v>
      </c>
      <c r="AO525" s="5">
        <v>0</v>
      </c>
      <c r="AP525" s="5">
        <v>12</v>
      </c>
      <c r="AQ525" s="5">
        <v>70</v>
      </c>
      <c r="AR525" s="5">
        <v>18</v>
      </c>
      <c r="AS525" s="5">
        <v>0</v>
      </c>
      <c r="AT525" s="5">
        <v>0</v>
      </c>
      <c r="AU525" s="5">
        <v>0</v>
      </c>
      <c r="AV525" s="5">
        <f>IFERROR(VLOOKUP(IFERROR(VLOOKUP(D525,Mapa_Similitud!$A$2:$B$2000,2,FALSE()),D525),Hoja1!$A$2:$K$1000,2,FALSE()),IFERROR(VLOOKUP(IFERROR(VLOOKUP(D525,Mapa_Similitud!$A$2:$B$2000,2,FALSE()),D525),Omega3_Referencia!$A$2:$E$100,3,FALSE()),0))</f>
        <v>0</v>
      </c>
      <c r="AW525" s="3" t="str">
        <f>IFERROR(VLOOKUP(IFERROR(VLOOKUP(D525,Mapa_Similitud!$A$2:$B$2000,2,FALSE()),D525),Hoja1!$A$2:$K$1000,3,FALSE()),IFERROR(VLOOKUP(IFERROR(VLOOKUP(D525,Mapa_Similitud!$A$2:$B$2000,2,FALSE()),D525),Omega3_Referencia!$A$2:$E$100,4,FALSE()),"N/A"))</f>
        <v>N/A</v>
      </c>
      <c r="AX525" s="5">
        <f>IFERROR(VLOOKUP(IFERROR(VLOOKUP(D525,Mapa_Similitud!$A$2:$B$2000,2,FALSE()),D525),Hoja1!$A$2:$K$1000,5,FALSE()),0)</f>
        <v>0</v>
      </c>
      <c r="AY525" s="5">
        <f>IFERROR(VLOOKUP(IFERROR(VLOOKUP(D525,Mapa_Similitud!$A$2:$B$2000,2,FALSE()),D525),Hoja1!$A$2:$K$1000,7,FALSE()),0)</f>
        <v>0</v>
      </c>
      <c r="AZ525" s="5">
        <f>IFERROR(VLOOKUP(IFERROR(VLOOKUP(D525,Mapa_Similitud!$A$2:$B$2000,2,FALSE()),D525),Hoja1!$A$2:$K$1000,9,FALSE()),0)</f>
        <v>0</v>
      </c>
      <c r="BA525" s="25">
        <f t="shared" si="232"/>
        <v>0</v>
      </c>
      <c r="BB525" s="25">
        <f t="shared" si="233"/>
        <v>0</v>
      </c>
      <c r="BC525" s="25">
        <f t="shared" si="234"/>
        <v>3.5211267605633804E-2</v>
      </c>
      <c r="BD525" s="25">
        <f t="shared" si="235"/>
        <v>0</v>
      </c>
      <c r="BE525" s="25">
        <f t="shared" si="236"/>
        <v>2.4647887323943665</v>
      </c>
      <c r="BF525" s="25">
        <f t="shared" si="237"/>
        <v>0</v>
      </c>
      <c r="BG525" s="25">
        <f t="shared" si="238"/>
        <v>0.33333333333333331</v>
      </c>
      <c r="BH525" s="25">
        <f t="shared" si="239"/>
        <v>0</v>
      </c>
      <c r="BI525" s="25">
        <f t="shared" si="240"/>
        <v>3.8888888888888888</v>
      </c>
      <c r="BJ525" s="25">
        <f t="shared" si="241"/>
        <v>1</v>
      </c>
      <c r="BK525" s="25">
        <f t="shared" si="242"/>
        <v>0</v>
      </c>
      <c r="BL525" s="25">
        <f t="shared" si="243"/>
        <v>0</v>
      </c>
      <c r="BM525" s="25">
        <f t="shared" si="244"/>
        <v>0.42253521126760568</v>
      </c>
      <c r="BN525" s="18" t="str">
        <f t="shared" si="250"/>
        <v>Baja fuente de proteína</v>
      </c>
      <c r="BO525" s="18" t="str">
        <f t="shared" si="251"/>
        <v>Baja fuente de fibra</v>
      </c>
      <c r="BP525" s="18" t="str">
        <f t="shared" si="252"/>
        <v>Baja fuente de calcio</v>
      </c>
      <c r="BQ525" s="18" t="str">
        <f t="shared" si="253"/>
        <v>Baja fuente de hierro</v>
      </c>
      <c r="BR525" s="18" t="str">
        <f t="shared" si="254"/>
        <v>Muy alto en sodio</v>
      </c>
      <c r="BS525" s="6" t="str">
        <f t="shared" si="245"/>
        <v>Proinflamatorio</v>
      </c>
      <c r="BT525" s="6" t="str">
        <f t="shared" si="246"/>
        <v>Bajo en grasas</v>
      </c>
      <c r="BU525" s="18" t="str">
        <f t="shared" si="255"/>
        <v>Alto riesgo de retención de líquidos</v>
      </c>
      <c r="BV525" s="18" t="str">
        <f t="shared" si="256"/>
        <v>Media fuente de magnesio</v>
      </c>
      <c r="BW525" s="18" t="str">
        <f t="shared" si="257"/>
        <v>Sin aporte de Omega 3</v>
      </c>
      <c r="BX525" s="18" t="str">
        <f t="shared" si="258"/>
        <v>Libre de grasas trans</v>
      </c>
      <c r="BY525" s="18" t="str">
        <f t="shared" si="259"/>
        <v>Bajo poder antioxidante</v>
      </c>
      <c r="BZ525" s="6" t="str">
        <f t="shared" si="247"/>
        <v>Sin probióticos</v>
      </c>
      <c r="CA525" s="18" t="str">
        <f t="shared" si="260"/>
        <v>Moderadamente inflamatorio</v>
      </c>
      <c r="CB525" s="18" t="str">
        <f>IF(ISNUMBER(SEARCH("miel", D525)), "No irritante (Uso condicionado SII)", IF(OR(J525&gt;0, ISNUMBER(SEARCH("cacao", D525)), ISNUMBER(SEARCH("chocolate puro", D525))), "Altamente irritante", IF(OR(AND(O525&gt;15, BI525&gt;1), ISNUMBER(SEARCH("chocolate", D525))), "Moderadamente irritante", "No irritante")))</f>
        <v>No irritante</v>
      </c>
      <c r="CC525" s="6" t="str">
        <f t="shared" si="248"/>
        <v>Sin Omega 3 para evaluar</v>
      </c>
    </row>
    <row r="526" spans="1:81" ht="15" customHeight="1" x14ac:dyDescent="0.3">
      <c r="A526" s="2">
        <f t="shared" si="249"/>
        <v>525</v>
      </c>
      <c r="B526" s="3" t="s">
        <v>686</v>
      </c>
      <c r="C526" s="3" t="s">
        <v>689</v>
      </c>
      <c r="D526" s="3" t="s">
        <v>690</v>
      </c>
      <c r="E526" s="3"/>
      <c r="F526" s="4">
        <v>1.5</v>
      </c>
      <c r="G526" s="5">
        <v>1</v>
      </c>
      <c r="H526" s="5">
        <v>0</v>
      </c>
      <c r="I526" s="5">
        <v>100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3</v>
      </c>
      <c r="AL526" s="5">
        <v>0</v>
      </c>
      <c r="AM526" s="5">
        <v>0</v>
      </c>
      <c r="AN526" s="5">
        <v>0</v>
      </c>
      <c r="AO526" s="5">
        <v>0</v>
      </c>
      <c r="AP526" s="5">
        <v>1</v>
      </c>
      <c r="AQ526" s="5">
        <v>111</v>
      </c>
      <c r="AR526" s="5">
        <v>5</v>
      </c>
      <c r="AS526" s="5">
        <v>0</v>
      </c>
      <c r="AT526" s="5">
        <v>0</v>
      </c>
      <c r="AU526" s="5">
        <v>0</v>
      </c>
      <c r="AV526" s="5">
        <f>IFERROR(VLOOKUP(IFERROR(VLOOKUP(D526,Mapa_Similitud!$A$2:$B$2000,2,FALSE()),D526),Hoja1!$A$2:$K$1000,2,FALSE()),IFERROR(VLOOKUP(IFERROR(VLOOKUP(D526,Mapa_Similitud!$A$2:$B$2000,2,FALSE()),D526),Omega3_Referencia!$A$2:$E$100,3,FALSE()),0))</f>
        <v>0</v>
      </c>
      <c r="AW526" s="3" t="str">
        <f>IFERROR(VLOOKUP(IFERROR(VLOOKUP(D526,Mapa_Similitud!$A$2:$B$2000,2,FALSE()),D526),Hoja1!$A$2:$K$1000,3,FALSE()),IFERROR(VLOOKUP(IFERROR(VLOOKUP(D526,Mapa_Similitud!$A$2:$B$2000,2,FALSE()),D526),Omega3_Referencia!$A$2:$E$100,4,FALSE()),"N/A"))</f>
        <v>N/A</v>
      </c>
      <c r="AX526" s="5">
        <f>IFERROR(VLOOKUP(IFERROR(VLOOKUP(D526,Mapa_Similitud!$A$2:$B$2000,2,FALSE()),D526),Hoja1!$A$2:$K$1000,5,FALSE()),0)</f>
        <v>0</v>
      </c>
      <c r="AY526" s="5">
        <f>IFERROR(VLOOKUP(IFERROR(VLOOKUP(D526,Mapa_Similitud!$A$2:$B$2000,2,FALSE()),D526),Hoja1!$A$2:$K$1000,7,FALSE()),0)</f>
        <v>0</v>
      </c>
      <c r="AZ526" s="5">
        <f>IFERROR(VLOOKUP(IFERROR(VLOOKUP(D526,Mapa_Similitud!$A$2:$B$2000,2,FALSE()),D526),Hoja1!$A$2:$K$1000,9,FALSE()),0)</f>
        <v>0</v>
      </c>
      <c r="BA526" s="25">
        <f t="shared" si="232"/>
        <v>0</v>
      </c>
      <c r="BB526" s="25">
        <f t="shared" si="233"/>
        <v>0</v>
      </c>
      <c r="BC526" s="25">
        <f t="shared" si="234"/>
        <v>0</v>
      </c>
      <c r="BD526" s="25">
        <f t="shared" si="235"/>
        <v>0</v>
      </c>
      <c r="BE526" s="25">
        <f t="shared" si="236"/>
        <v>0</v>
      </c>
      <c r="BF526" s="25">
        <f t="shared" si="237"/>
        <v>0</v>
      </c>
      <c r="BG526" s="25">
        <f t="shared" si="238"/>
        <v>0</v>
      </c>
      <c r="BH526" s="25">
        <f t="shared" si="239"/>
        <v>0</v>
      </c>
      <c r="BI526" s="25">
        <f t="shared" si="240"/>
        <v>22.2</v>
      </c>
      <c r="BJ526" s="25">
        <f t="shared" si="241"/>
        <v>0</v>
      </c>
      <c r="BK526" s="25">
        <f t="shared" si="242"/>
        <v>0</v>
      </c>
      <c r="BL526" s="25">
        <f t="shared" si="243"/>
        <v>0</v>
      </c>
      <c r="BM526" s="25">
        <f t="shared" si="244"/>
        <v>0</v>
      </c>
      <c r="BN526" s="18" t="str">
        <f t="shared" si="250"/>
        <v>Baja fuente de proteína</v>
      </c>
      <c r="BO526" s="18" t="str">
        <f t="shared" si="251"/>
        <v>Baja fuente de fibra</v>
      </c>
      <c r="BP526" s="18" t="str">
        <f t="shared" si="252"/>
        <v>Baja fuente de calcio</v>
      </c>
      <c r="BQ526" s="18" t="str">
        <f t="shared" si="253"/>
        <v>Baja fuente de hierro</v>
      </c>
      <c r="BR526" s="18" t="str">
        <f t="shared" si="254"/>
        <v>Bajo en sodio</v>
      </c>
      <c r="BS526" s="6" t="str">
        <f t="shared" si="245"/>
        <v>Proinflamatorio</v>
      </c>
      <c r="BT526" s="6" t="str">
        <f t="shared" si="246"/>
        <v>Bajo en grasas</v>
      </c>
      <c r="BU526" s="18" t="str">
        <f t="shared" si="255"/>
        <v>Alto riesgo de retención de líquidos</v>
      </c>
      <c r="BV526" s="18" t="str">
        <f t="shared" si="256"/>
        <v>Baja fuente de magnesio</v>
      </c>
      <c r="BW526" s="18" t="str">
        <f t="shared" si="257"/>
        <v>Sin aporte de Omega 3</v>
      </c>
      <c r="BX526" s="18" t="str">
        <f t="shared" si="258"/>
        <v>Libre de grasas trans</v>
      </c>
      <c r="BY526" s="18" t="str">
        <f t="shared" si="259"/>
        <v>Bajo poder antioxidante</v>
      </c>
      <c r="BZ526" s="6" t="str">
        <f t="shared" si="247"/>
        <v>Sin probióticos</v>
      </c>
      <c r="CA526" s="18" t="str">
        <f t="shared" si="260"/>
        <v>Poco inflamatorio</v>
      </c>
      <c r="CB526" s="18" t="str">
        <f>IF(ISNUMBER(SEARCH("miel", D526)), "No irritante (Uso condicionado SII)", IF(OR(J526&gt;0, ISNUMBER(SEARCH("cacao", D526)), ISNUMBER(SEARCH("chocolate puro", D526))), "Altamente irritante", IF(OR(AND(O526&gt;15, BI526&gt;1), ISNUMBER(SEARCH("chocolate", D526))), "Moderadamente irritante", "No irritante")))</f>
        <v>No irritante</v>
      </c>
      <c r="CC526" s="6" t="str">
        <f t="shared" si="248"/>
        <v>Sin Omega 3 para evaluar</v>
      </c>
    </row>
    <row r="527" spans="1:81" ht="15" customHeight="1" x14ac:dyDescent="0.3">
      <c r="A527" s="2">
        <f t="shared" si="249"/>
        <v>526</v>
      </c>
      <c r="B527" s="3" t="s">
        <v>686</v>
      </c>
      <c r="C527" s="3" t="s">
        <v>689</v>
      </c>
      <c r="D527" s="3" t="s">
        <v>691</v>
      </c>
      <c r="E527" s="3"/>
      <c r="F527" s="4">
        <v>1.5</v>
      </c>
      <c r="G527" s="5">
        <v>1</v>
      </c>
      <c r="H527" s="5">
        <v>0</v>
      </c>
      <c r="I527" s="5">
        <v>100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f>IFERROR(VLOOKUP(IFERROR(VLOOKUP(D527,Mapa_Similitud!$A$2:$B$2000,2,FALSE()),D527),Hoja1!$A$2:$K$1000,2,FALSE()),IFERROR(VLOOKUP(IFERROR(VLOOKUP(D527,Mapa_Similitud!$A$2:$B$2000,2,FALSE()),D527),Omega3_Referencia!$A$2:$E$100,3,FALSE()),0))</f>
        <v>0</v>
      </c>
      <c r="AW527" s="3" t="str">
        <f>IFERROR(VLOOKUP(IFERROR(VLOOKUP(D527,Mapa_Similitud!$A$2:$B$2000,2,FALSE()),D527),Hoja1!$A$2:$K$1000,3,FALSE()),IFERROR(VLOOKUP(IFERROR(VLOOKUP(D527,Mapa_Similitud!$A$2:$B$2000,2,FALSE()),D527),Omega3_Referencia!$A$2:$E$100,4,FALSE()),"N/A"))</f>
        <v>N/A</v>
      </c>
      <c r="AX527" s="5">
        <f>IFERROR(VLOOKUP(IFERROR(VLOOKUP(D527,Mapa_Similitud!$A$2:$B$2000,2,FALSE()),D527),Hoja1!$A$2:$K$1000,5,FALSE()),0)</f>
        <v>0</v>
      </c>
      <c r="AY527" s="5">
        <f>IFERROR(VLOOKUP(IFERROR(VLOOKUP(D527,Mapa_Similitud!$A$2:$B$2000,2,FALSE()),D527),Hoja1!$A$2:$K$1000,7,FALSE()),0)</f>
        <v>0</v>
      </c>
      <c r="AZ527" s="5">
        <f>IFERROR(VLOOKUP(IFERROR(VLOOKUP(D527,Mapa_Similitud!$A$2:$B$2000,2,FALSE()),D527),Hoja1!$A$2:$K$1000,9,FALSE()),0)</f>
        <v>0</v>
      </c>
      <c r="BA527" s="25">
        <f t="shared" si="232"/>
        <v>0</v>
      </c>
      <c r="BB527" s="25">
        <f t="shared" si="233"/>
        <v>0</v>
      </c>
      <c r="BC527" s="25">
        <f t="shared" si="234"/>
        <v>0</v>
      </c>
      <c r="BD527" s="25">
        <f t="shared" si="235"/>
        <v>0</v>
      </c>
      <c r="BE527" s="25">
        <f t="shared" si="236"/>
        <v>0</v>
      </c>
      <c r="BF527" s="25">
        <f t="shared" si="237"/>
        <v>0</v>
      </c>
      <c r="BG527" s="25">
        <f t="shared" si="238"/>
        <v>0</v>
      </c>
      <c r="BH527" s="25">
        <f t="shared" si="239"/>
        <v>0</v>
      </c>
      <c r="BI527" s="25">
        <f t="shared" si="240"/>
        <v>0</v>
      </c>
      <c r="BJ527" s="25">
        <f t="shared" si="241"/>
        <v>0</v>
      </c>
      <c r="BK527" s="25">
        <f t="shared" si="242"/>
        <v>0</v>
      </c>
      <c r="BL527" s="25">
        <f t="shared" si="243"/>
        <v>0</v>
      </c>
      <c r="BM527" s="25">
        <f t="shared" si="244"/>
        <v>0</v>
      </c>
      <c r="BN527" s="18" t="str">
        <f t="shared" si="250"/>
        <v>Baja fuente de proteína</v>
      </c>
      <c r="BO527" s="18" t="str">
        <f t="shared" si="251"/>
        <v>Baja fuente de fibra</v>
      </c>
      <c r="BP527" s="18" t="str">
        <f t="shared" si="252"/>
        <v>Baja fuente de calcio</v>
      </c>
      <c r="BQ527" s="18" t="str">
        <f t="shared" si="253"/>
        <v>Baja fuente de hierro</v>
      </c>
      <c r="BR527" s="18" t="str">
        <f t="shared" si="254"/>
        <v>Bajo en sodio</v>
      </c>
      <c r="BS527" s="6" t="str">
        <f t="shared" si="245"/>
        <v>Proinflamatorio</v>
      </c>
      <c r="BT527" s="6" t="str">
        <f t="shared" si="246"/>
        <v>Bajo en grasas</v>
      </c>
      <c r="BU527" s="18" t="str">
        <f t="shared" si="255"/>
        <v>Equilibrio de líquidos ideal</v>
      </c>
      <c r="BV527" s="18" t="str">
        <f t="shared" si="256"/>
        <v>Baja fuente de magnesio</v>
      </c>
      <c r="BW527" s="18" t="str">
        <f t="shared" si="257"/>
        <v>Sin aporte de Omega 3</v>
      </c>
      <c r="BX527" s="18" t="str">
        <f t="shared" si="258"/>
        <v>Libre de grasas trans</v>
      </c>
      <c r="BY527" s="18" t="str">
        <f t="shared" si="259"/>
        <v>Bajo poder antioxidante</v>
      </c>
      <c r="BZ527" s="6" t="str">
        <f t="shared" si="247"/>
        <v>Sin probióticos</v>
      </c>
      <c r="CA527" s="18" t="str">
        <f t="shared" si="260"/>
        <v>Poco inflamatorio</v>
      </c>
      <c r="CB527" s="18" t="str">
        <f>IF(ISNUMBER(SEARCH("miel", D527)), "No irritante (Uso condicionado SII)", IF(OR(J527&gt;0, ISNUMBER(SEARCH("cacao", D527)), ISNUMBER(SEARCH("chocolate puro", D527))), "Altamente irritante", IF(OR(AND(O527&gt;15, BI527&gt;1), ISNUMBER(SEARCH("chocolate", D527))), "Moderadamente irritante", "No irritante")))</f>
        <v>No irritante</v>
      </c>
      <c r="CC527" s="6" t="str">
        <f t="shared" si="248"/>
        <v>Sin Omega 3 para evaluar</v>
      </c>
    </row>
    <row r="528" spans="1:81" ht="15" customHeight="1" x14ac:dyDescent="0.3">
      <c r="A528" s="2">
        <f t="shared" si="249"/>
        <v>527</v>
      </c>
      <c r="B528" s="3" t="s">
        <v>686</v>
      </c>
      <c r="C528" s="3" t="s">
        <v>689</v>
      </c>
      <c r="D528" s="3" t="s">
        <v>692</v>
      </c>
      <c r="E528" s="3"/>
      <c r="F528" s="4">
        <v>1.5</v>
      </c>
      <c r="G528" s="5">
        <v>1</v>
      </c>
      <c r="H528" s="5">
        <v>0</v>
      </c>
      <c r="I528" s="5">
        <v>100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6</v>
      </c>
      <c r="AL528" s="5">
        <v>0</v>
      </c>
      <c r="AM528" s="5">
        <v>0</v>
      </c>
      <c r="AN528" s="5">
        <v>0</v>
      </c>
      <c r="AO528" s="5">
        <v>0</v>
      </c>
      <c r="AP528" s="5">
        <v>1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f>IFERROR(VLOOKUP(IFERROR(VLOOKUP(D528,Mapa_Similitud!$A$2:$B$2000,2,FALSE()),D528),Hoja1!$A$2:$K$1000,2,FALSE()),IFERROR(VLOOKUP(IFERROR(VLOOKUP(D528,Mapa_Similitud!$A$2:$B$2000,2,FALSE()),D528),Omega3_Referencia!$A$2:$E$100,3,FALSE()),0))</f>
        <v>0</v>
      </c>
      <c r="AW528" s="3" t="str">
        <f>IFERROR(VLOOKUP(IFERROR(VLOOKUP(D528,Mapa_Similitud!$A$2:$B$2000,2,FALSE()),D528),Hoja1!$A$2:$K$1000,3,FALSE()),IFERROR(VLOOKUP(IFERROR(VLOOKUP(D528,Mapa_Similitud!$A$2:$B$2000,2,FALSE()),D528),Omega3_Referencia!$A$2:$E$100,4,FALSE()),"N/A"))</f>
        <v>N/A</v>
      </c>
      <c r="AX528" s="5">
        <f>IFERROR(VLOOKUP(IFERROR(VLOOKUP(D528,Mapa_Similitud!$A$2:$B$2000,2,FALSE()),D528),Hoja1!$A$2:$K$1000,5,FALSE()),0)</f>
        <v>0</v>
      </c>
      <c r="AY528" s="5">
        <f>IFERROR(VLOOKUP(IFERROR(VLOOKUP(D528,Mapa_Similitud!$A$2:$B$2000,2,FALSE()),D528),Hoja1!$A$2:$K$1000,7,FALSE()),0)</f>
        <v>0</v>
      </c>
      <c r="AZ528" s="5">
        <f>IFERROR(VLOOKUP(IFERROR(VLOOKUP(D528,Mapa_Similitud!$A$2:$B$2000,2,FALSE()),D528),Hoja1!$A$2:$K$1000,9,FALSE()),0)</f>
        <v>0</v>
      </c>
      <c r="BA528" s="25">
        <f t="shared" si="232"/>
        <v>0</v>
      </c>
      <c r="BB528" s="25">
        <f t="shared" si="233"/>
        <v>0</v>
      </c>
      <c r="BC528" s="25">
        <f t="shared" si="234"/>
        <v>0</v>
      </c>
      <c r="BD528" s="25">
        <f t="shared" si="235"/>
        <v>0</v>
      </c>
      <c r="BE528" s="25">
        <f t="shared" si="236"/>
        <v>0</v>
      </c>
      <c r="BF528" s="25">
        <f t="shared" si="237"/>
        <v>0</v>
      </c>
      <c r="BG528" s="25">
        <f t="shared" si="238"/>
        <v>0</v>
      </c>
      <c r="BH528" s="25">
        <f t="shared" si="239"/>
        <v>0</v>
      </c>
      <c r="BI528" s="25">
        <f t="shared" si="240"/>
        <v>0</v>
      </c>
      <c r="BJ528" s="25">
        <f t="shared" si="241"/>
        <v>0</v>
      </c>
      <c r="BK528" s="25">
        <f t="shared" si="242"/>
        <v>0</v>
      </c>
      <c r="BL528" s="25">
        <f t="shared" si="243"/>
        <v>0</v>
      </c>
      <c r="BM528" s="25">
        <f t="shared" si="244"/>
        <v>0</v>
      </c>
      <c r="BN528" s="18" t="str">
        <f t="shared" si="250"/>
        <v>Baja fuente de proteína</v>
      </c>
      <c r="BO528" s="18" t="str">
        <f t="shared" si="251"/>
        <v>Baja fuente de fibra</v>
      </c>
      <c r="BP528" s="18" t="str">
        <f t="shared" si="252"/>
        <v>Baja fuente de calcio</v>
      </c>
      <c r="BQ528" s="18" t="str">
        <f t="shared" si="253"/>
        <v>Baja fuente de hierro</v>
      </c>
      <c r="BR528" s="18" t="str">
        <f t="shared" si="254"/>
        <v>Bajo en sodio</v>
      </c>
      <c r="BS528" s="6" t="str">
        <f t="shared" si="245"/>
        <v>Proinflamatorio</v>
      </c>
      <c r="BT528" s="6" t="str">
        <f t="shared" si="246"/>
        <v>Bajo en grasas</v>
      </c>
      <c r="BU528" s="18" t="str">
        <f t="shared" si="255"/>
        <v>Equilibrio de líquidos ideal</v>
      </c>
      <c r="BV528" s="18" t="str">
        <f t="shared" si="256"/>
        <v>Baja fuente de magnesio</v>
      </c>
      <c r="BW528" s="18" t="str">
        <f t="shared" si="257"/>
        <v>Sin aporte de Omega 3</v>
      </c>
      <c r="BX528" s="18" t="str">
        <f t="shared" si="258"/>
        <v>Libre de grasas trans</v>
      </c>
      <c r="BY528" s="18" t="str">
        <f t="shared" si="259"/>
        <v>Bajo poder antioxidante</v>
      </c>
      <c r="BZ528" s="6" t="str">
        <f t="shared" si="247"/>
        <v>Sin probióticos</v>
      </c>
      <c r="CA528" s="18" t="str">
        <f t="shared" si="260"/>
        <v>Poco inflamatorio</v>
      </c>
      <c r="CB528" s="18" t="str">
        <f>IF(ISNUMBER(SEARCH("miel", D528)), "No irritante (Uso condicionado SII)", IF(OR(J528&gt;0, ISNUMBER(SEARCH("cacao", D528)), ISNUMBER(SEARCH("chocolate puro", D528))), "Altamente irritante", IF(OR(AND(O528&gt;15, BI528&gt;1), ISNUMBER(SEARCH("chocolate", D528))), "Moderadamente irritante", "No irritante")))</f>
        <v>No irritante</v>
      </c>
      <c r="CC528" s="6" t="str">
        <f t="shared" si="248"/>
        <v>Sin Omega 3 para evaluar</v>
      </c>
    </row>
    <row r="529" spans="1:81" ht="15" customHeight="1" x14ac:dyDescent="0.3">
      <c r="A529" s="2">
        <f t="shared" si="249"/>
        <v>528</v>
      </c>
      <c r="B529" s="3" t="s">
        <v>686</v>
      </c>
      <c r="C529" s="3" t="s">
        <v>689</v>
      </c>
      <c r="D529" s="3" t="s">
        <v>693</v>
      </c>
      <c r="E529" s="3"/>
      <c r="F529" s="4">
        <v>1.5</v>
      </c>
      <c r="G529" s="5">
        <v>1</v>
      </c>
      <c r="H529" s="5">
        <v>0</v>
      </c>
      <c r="I529" s="5">
        <v>100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6</v>
      </c>
      <c r="AL529" s="5">
        <v>0</v>
      </c>
      <c r="AM529" s="5">
        <v>0</v>
      </c>
      <c r="AN529" s="5">
        <v>0</v>
      </c>
      <c r="AO529" s="5">
        <v>0</v>
      </c>
      <c r="AP529" s="5">
        <v>3</v>
      </c>
      <c r="AQ529" s="5">
        <v>1</v>
      </c>
      <c r="AR529" s="5">
        <v>0.3</v>
      </c>
      <c r="AS529" s="5">
        <v>0</v>
      </c>
      <c r="AT529" s="5">
        <v>0</v>
      </c>
      <c r="AU529" s="5">
        <v>0</v>
      </c>
      <c r="AV529" s="5">
        <f>IFERROR(VLOOKUP(IFERROR(VLOOKUP(D529,Mapa_Similitud!$A$2:$B$2000,2,FALSE()),D529),Hoja1!$A$2:$K$1000,2,FALSE()),IFERROR(VLOOKUP(IFERROR(VLOOKUP(D529,Mapa_Similitud!$A$2:$B$2000,2,FALSE()),D529),Omega3_Referencia!$A$2:$E$100,3,FALSE()),0))</f>
        <v>0</v>
      </c>
      <c r="AW529" s="3" t="str">
        <f>IFERROR(VLOOKUP(IFERROR(VLOOKUP(D529,Mapa_Similitud!$A$2:$B$2000,2,FALSE()),D529),Hoja1!$A$2:$K$1000,3,FALSE()),IFERROR(VLOOKUP(IFERROR(VLOOKUP(D529,Mapa_Similitud!$A$2:$B$2000,2,FALSE()),D529),Omega3_Referencia!$A$2:$E$100,4,FALSE()),"N/A"))</f>
        <v>N/A</v>
      </c>
      <c r="AX529" s="5">
        <f>IFERROR(VLOOKUP(IFERROR(VLOOKUP(D529,Mapa_Similitud!$A$2:$B$2000,2,FALSE()),D529),Hoja1!$A$2:$K$1000,5,FALSE()),0)</f>
        <v>0</v>
      </c>
      <c r="AY529" s="5">
        <f>IFERROR(VLOOKUP(IFERROR(VLOOKUP(D529,Mapa_Similitud!$A$2:$B$2000,2,FALSE()),D529),Hoja1!$A$2:$K$1000,7,FALSE()),0)</f>
        <v>0</v>
      </c>
      <c r="AZ529" s="5">
        <f>IFERROR(VLOOKUP(IFERROR(VLOOKUP(D529,Mapa_Similitud!$A$2:$B$2000,2,FALSE()),D529),Hoja1!$A$2:$K$1000,9,FALSE()),0)</f>
        <v>0</v>
      </c>
      <c r="BA529" s="25">
        <f t="shared" si="232"/>
        <v>0</v>
      </c>
      <c r="BB529" s="25">
        <f t="shared" si="233"/>
        <v>0</v>
      </c>
      <c r="BC529" s="25">
        <f t="shared" si="234"/>
        <v>0</v>
      </c>
      <c r="BD529" s="25">
        <f t="shared" si="235"/>
        <v>0</v>
      </c>
      <c r="BE529" s="25">
        <f t="shared" si="236"/>
        <v>0</v>
      </c>
      <c r="BF529" s="25">
        <f t="shared" si="237"/>
        <v>0</v>
      </c>
      <c r="BG529" s="25">
        <f t="shared" si="238"/>
        <v>0</v>
      </c>
      <c r="BH529" s="25">
        <f t="shared" si="239"/>
        <v>0</v>
      </c>
      <c r="BI529" s="25">
        <f t="shared" si="240"/>
        <v>3.3333333333333335</v>
      </c>
      <c r="BJ529" s="25">
        <f t="shared" si="241"/>
        <v>0</v>
      </c>
      <c r="BK529" s="25">
        <f t="shared" si="242"/>
        <v>0</v>
      </c>
      <c r="BL529" s="25">
        <f t="shared" si="243"/>
        <v>0</v>
      </c>
      <c r="BM529" s="25">
        <f t="shared" si="244"/>
        <v>0</v>
      </c>
      <c r="BN529" s="18" t="str">
        <f t="shared" si="250"/>
        <v>Baja fuente de proteína</v>
      </c>
      <c r="BO529" s="18" t="str">
        <f t="shared" si="251"/>
        <v>Baja fuente de fibra</v>
      </c>
      <c r="BP529" s="18" t="str">
        <f t="shared" si="252"/>
        <v>Baja fuente de calcio</v>
      </c>
      <c r="BQ529" s="18" t="str">
        <f t="shared" si="253"/>
        <v>Baja fuente de hierro</v>
      </c>
      <c r="BR529" s="18" t="str">
        <f t="shared" si="254"/>
        <v>Bajo en sodio</v>
      </c>
      <c r="BS529" s="6" t="str">
        <f t="shared" si="245"/>
        <v>Proinflamatorio</v>
      </c>
      <c r="BT529" s="6" t="str">
        <f t="shared" si="246"/>
        <v>Bajo en grasas</v>
      </c>
      <c r="BU529" s="18" t="str">
        <f t="shared" si="255"/>
        <v>Alto riesgo de retención de líquidos</v>
      </c>
      <c r="BV529" s="18" t="str">
        <f t="shared" si="256"/>
        <v>Baja fuente de magnesio</v>
      </c>
      <c r="BW529" s="18" t="str">
        <f t="shared" si="257"/>
        <v>Sin aporte de Omega 3</v>
      </c>
      <c r="BX529" s="18" t="str">
        <f t="shared" si="258"/>
        <v>Libre de grasas trans</v>
      </c>
      <c r="BY529" s="18" t="str">
        <f t="shared" si="259"/>
        <v>Bajo poder antioxidante</v>
      </c>
      <c r="BZ529" s="6" t="str">
        <f t="shared" si="247"/>
        <v>Sin probióticos</v>
      </c>
      <c r="CA529" s="18" t="str">
        <f t="shared" si="260"/>
        <v>Poco inflamatorio</v>
      </c>
      <c r="CB529" s="18" t="str">
        <f>IF(ISNUMBER(SEARCH("miel", D529)), "No irritante (Uso condicionado SII)", IF(OR(J529&gt;0, ISNUMBER(SEARCH("cacao", D529)), ISNUMBER(SEARCH("chocolate puro", D529))), "Altamente irritante", IF(OR(AND(O529&gt;15, BI529&gt;1), ISNUMBER(SEARCH("chocolate", D529))), "Moderadamente irritante", "No irritante")))</f>
        <v>No irritante</v>
      </c>
      <c r="CC529" s="6" t="str">
        <f t="shared" si="248"/>
        <v>Sin Omega 3 para evaluar</v>
      </c>
    </row>
    <row r="530" spans="1:81" ht="15" customHeight="1" x14ac:dyDescent="0.3">
      <c r="A530" s="2">
        <f t="shared" si="249"/>
        <v>529</v>
      </c>
      <c r="B530" s="3" t="s">
        <v>686</v>
      </c>
      <c r="C530" s="3" t="s">
        <v>689</v>
      </c>
      <c r="D530" s="3" t="s">
        <v>694</v>
      </c>
      <c r="E530" s="3"/>
      <c r="F530" s="4">
        <v>1.5</v>
      </c>
      <c r="G530" s="5">
        <v>1</v>
      </c>
      <c r="H530" s="5">
        <v>42</v>
      </c>
      <c r="I530" s="5">
        <v>89.5</v>
      </c>
      <c r="J530" s="5">
        <v>0</v>
      </c>
      <c r="K530" s="5">
        <v>0</v>
      </c>
      <c r="L530" s="5">
        <v>10.5</v>
      </c>
      <c r="M530" s="5">
        <v>0</v>
      </c>
      <c r="N530" s="5">
        <v>10.5</v>
      </c>
      <c r="O530" s="5">
        <v>10.5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4</v>
      </c>
      <c r="AL530" s="5">
        <v>15</v>
      </c>
      <c r="AM530" s="5">
        <v>0</v>
      </c>
      <c r="AN530" s="5">
        <v>0</v>
      </c>
      <c r="AO530" s="5">
        <v>0</v>
      </c>
      <c r="AP530" s="5">
        <v>1</v>
      </c>
      <c r="AQ530" s="5">
        <v>8</v>
      </c>
      <c r="AR530" s="5">
        <v>1</v>
      </c>
      <c r="AS530" s="5">
        <v>0</v>
      </c>
      <c r="AT530" s="5">
        <v>0</v>
      </c>
      <c r="AU530" s="5">
        <v>0</v>
      </c>
      <c r="AV530" s="5">
        <f>IFERROR(VLOOKUP(IFERROR(VLOOKUP(D530,Mapa_Similitud!$A$2:$B$2000,2,FALSE()),D530),Hoja1!$A$2:$K$1000,2,FALSE()),IFERROR(VLOOKUP(IFERROR(VLOOKUP(D530,Mapa_Similitud!$A$2:$B$2000,2,FALSE()),D530),Omega3_Referencia!$A$2:$E$100,3,FALSE()),0))</f>
        <v>0</v>
      </c>
      <c r="AW530" s="3" t="str">
        <f>IFERROR(VLOOKUP(IFERROR(VLOOKUP(D530,Mapa_Similitud!$A$2:$B$2000,2,FALSE()),D530),Hoja1!$A$2:$K$1000,3,FALSE()),IFERROR(VLOOKUP(IFERROR(VLOOKUP(D530,Mapa_Similitud!$A$2:$B$2000,2,FALSE()),D530),Omega3_Referencia!$A$2:$E$100,4,FALSE()),"N/A"))</f>
        <v>N/A</v>
      </c>
      <c r="AX530" s="5">
        <f>IFERROR(VLOOKUP(IFERROR(VLOOKUP(D530,Mapa_Similitud!$A$2:$B$2000,2,FALSE()),D530),Hoja1!$A$2:$K$1000,5,FALSE()),0)</f>
        <v>0</v>
      </c>
      <c r="AY530" s="5">
        <f>IFERROR(VLOOKUP(IFERROR(VLOOKUP(D530,Mapa_Similitud!$A$2:$B$2000,2,FALSE()),D530),Hoja1!$A$2:$K$1000,7,FALSE()),0)</f>
        <v>5</v>
      </c>
      <c r="AZ530" s="5">
        <f>IFERROR(VLOOKUP(IFERROR(VLOOKUP(D530,Mapa_Similitud!$A$2:$B$2000,2,FALSE()),D530),Hoja1!$A$2:$K$1000,9,FALSE()),0)</f>
        <v>0</v>
      </c>
      <c r="BA530" s="25">
        <f t="shared" si="232"/>
        <v>0</v>
      </c>
      <c r="BB530" s="25">
        <f t="shared" si="233"/>
        <v>0</v>
      </c>
      <c r="BC530" s="25">
        <f t="shared" si="234"/>
        <v>9.5238095238095233E-2</v>
      </c>
      <c r="BD530" s="25">
        <f t="shared" si="235"/>
        <v>0</v>
      </c>
      <c r="BE530" s="25">
        <f t="shared" si="236"/>
        <v>0.19047619047619047</v>
      </c>
      <c r="BF530" s="25">
        <f t="shared" si="237"/>
        <v>0</v>
      </c>
      <c r="BG530" s="25">
        <f t="shared" si="238"/>
        <v>0.26666666666666666</v>
      </c>
      <c r="BH530" s="25">
        <f t="shared" si="239"/>
        <v>0</v>
      </c>
      <c r="BI530" s="25">
        <f t="shared" si="240"/>
        <v>8</v>
      </c>
      <c r="BJ530" s="25">
        <f t="shared" si="241"/>
        <v>1</v>
      </c>
      <c r="BK530" s="25">
        <f t="shared" si="242"/>
        <v>0</v>
      </c>
      <c r="BL530" s="25">
        <f t="shared" si="243"/>
        <v>0</v>
      </c>
      <c r="BM530" s="25">
        <f t="shared" si="244"/>
        <v>2.3809523809523808E-2</v>
      </c>
      <c r="BN530" s="18" t="str">
        <f t="shared" si="250"/>
        <v>Baja fuente de proteína</v>
      </c>
      <c r="BO530" s="18" t="str">
        <f t="shared" si="251"/>
        <v>Baja fuente de fibra</v>
      </c>
      <c r="BP530" s="18" t="str">
        <f t="shared" si="252"/>
        <v>Baja fuente de calcio</v>
      </c>
      <c r="BQ530" s="18" t="str">
        <f t="shared" si="253"/>
        <v>Baja fuente de hierro</v>
      </c>
      <c r="BR530" s="18" t="str">
        <f t="shared" si="254"/>
        <v>Bajo en sodio</v>
      </c>
      <c r="BS530" s="6" t="str">
        <f t="shared" si="245"/>
        <v>Proinflamatorio</v>
      </c>
      <c r="BT530" s="6" t="str">
        <f t="shared" si="246"/>
        <v>Bajo en grasas</v>
      </c>
      <c r="BU530" s="18" t="str">
        <f t="shared" si="255"/>
        <v>Alto riesgo de retención de líquidos</v>
      </c>
      <c r="BV530" s="18" t="str">
        <f t="shared" si="256"/>
        <v>Baja fuente de magnesio</v>
      </c>
      <c r="BW530" s="18" t="str">
        <f t="shared" si="257"/>
        <v>Sin aporte de Omega 3</v>
      </c>
      <c r="BX530" s="18" t="str">
        <f t="shared" si="258"/>
        <v>Libre de grasas trans</v>
      </c>
      <c r="BY530" s="18" t="str">
        <f t="shared" si="259"/>
        <v>Bajo poder antioxidante</v>
      </c>
      <c r="BZ530" s="6" t="str">
        <f t="shared" si="247"/>
        <v>Sin probióticos</v>
      </c>
      <c r="CA530" s="18" t="str">
        <f t="shared" si="260"/>
        <v>Moderadamente inflamatorio</v>
      </c>
      <c r="CB530" s="18" t="str">
        <f>IF(ISNUMBER(SEARCH("miel", D530)), "No irritante (Uso condicionado SII)", IF(OR(J530&gt;0, ISNUMBER(SEARCH("cacao", D530)), ISNUMBER(SEARCH("chocolate puro", D530))), "Altamente irritante", IF(OR(AND(O530&gt;15, BI530&gt;1), ISNUMBER(SEARCH("chocolate", D530))), "Moderadamente irritante", "No irritante")))</f>
        <v>No irritante</v>
      </c>
      <c r="CC530" s="6" t="str">
        <f t="shared" si="248"/>
        <v>Sin Omega 3 para evaluar</v>
      </c>
    </row>
    <row r="531" spans="1:81" ht="15" customHeight="1" x14ac:dyDescent="0.3">
      <c r="A531" s="2">
        <f t="shared" si="249"/>
        <v>530</v>
      </c>
      <c r="B531" s="3" t="s">
        <v>686</v>
      </c>
      <c r="C531" s="3" t="s">
        <v>689</v>
      </c>
      <c r="D531" s="3" t="s">
        <v>695</v>
      </c>
      <c r="E531" s="3"/>
      <c r="F531" s="4">
        <v>1.5</v>
      </c>
      <c r="G531" s="5">
        <v>1</v>
      </c>
      <c r="H531" s="5">
        <v>21.6</v>
      </c>
      <c r="I531" s="5">
        <v>94.6</v>
      </c>
      <c r="J531" s="5">
        <v>0</v>
      </c>
      <c r="K531" s="5">
        <v>0</v>
      </c>
      <c r="L531" s="5">
        <v>5.4</v>
      </c>
      <c r="M531" s="5">
        <v>0</v>
      </c>
      <c r="N531" s="5">
        <v>5.4</v>
      </c>
      <c r="O531" s="5">
        <v>5.4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5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7</v>
      </c>
      <c r="AR531" s="5">
        <v>1</v>
      </c>
      <c r="AS531" s="5">
        <v>1E-3</v>
      </c>
      <c r="AT531" s="5">
        <v>0.01</v>
      </c>
      <c r="AU531" s="5">
        <v>0</v>
      </c>
      <c r="AV531" s="5">
        <f>IFERROR(VLOOKUP(IFERROR(VLOOKUP(D531,Mapa_Similitud!$A$2:$B$2000,2,FALSE()),D531),Hoja1!$A$2:$K$1000,2,FALSE()),IFERROR(VLOOKUP(IFERROR(VLOOKUP(D531,Mapa_Similitud!$A$2:$B$2000,2,FALSE()),D531),Omega3_Referencia!$A$2:$E$100,3,FALSE()),0))</f>
        <v>0</v>
      </c>
      <c r="AW531" s="3" t="str">
        <f>IFERROR(VLOOKUP(IFERROR(VLOOKUP(D531,Mapa_Similitud!$A$2:$B$2000,2,FALSE()),D531),Hoja1!$A$2:$K$1000,3,FALSE()),IFERROR(VLOOKUP(IFERROR(VLOOKUP(D531,Mapa_Similitud!$A$2:$B$2000,2,FALSE()),D531),Omega3_Referencia!$A$2:$E$100,4,FALSE()),"N/A"))</f>
        <v>N/A</v>
      </c>
      <c r="AX531" s="5">
        <f>IFERROR(VLOOKUP(IFERROR(VLOOKUP(D531,Mapa_Similitud!$A$2:$B$2000,2,FALSE()),D531),Hoja1!$A$2:$K$1000,5,FALSE()),0)</f>
        <v>0</v>
      </c>
      <c r="AY531" s="5">
        <f>IFERROR(VLOOKUP(IFERROR(VLOOKUP(D531,Mapa_Similitud!$A$2:$B$2000,2,FALSE()),D531),Hoja1!$A$2:$K$1000,7,FALSE()),0)</f>
        <v>0</v>
      </c>
      <c r="AZ531" s="5">
        <f>IFERROR(VLOOKUP(IFERROR(VLOOKUP(D531,Mapa_Similitud!$A$2:$B$2000,2,FALSE()),D531),Hoja1!$A$2:$K$1000,9,FALSE()),0)</f>
        <v>0</v>
      </c>
      <c r="BA531" s="25">
        <f t="shared" si="232"/>
        <v>0</v>
      </c>
      <c r="BB531" s="25">
        <f t="shared" si="233"/>
        <v>0</v>
      </c>
      <c r="BC531" s="25">
        <f t="shared" si="234"/>
        <v>0.23148148148148145</v>
      </c>
      <c r="BD531" s="25">
        <f t="shared" si="235"/>
        <v>0</v>
      </c>
      <c r="BE531" s="25">
        <f t="shared" si="236"/>
        <v>0.32407407407407407</v>
      </c>
      <c r="BF531" s="25">
        <f t="shared" si="237"/>
        <v>0</v>
      </c>
      <c r="BG531" s="25">
        <f t="shared" si="238"/>
        <v>0</v>
      </c>
      <c r="BH531" s="25">
        <f t="shared" si="239"/>
        <v>0</v>
      </c>
      <c r="BI531" s="25">
        <f t="shared" si="240"/>
        <v>7</v>
      </c>
      <c r="BJ531" s="25">
        <f t="shared" si="241"/>
        <v>1</v>
      </c>
      <c r="BK531" s="25">
        <f t="shared" si="242"/>
        <v>0</v>
      </c>
      <c r="BL531" s="25">
        <f t="shared" si="243"/>
        <v>0</v>
      </c>
      <c r="BM531" s="25">
        <f t="shared" si="244"/>
        <v>0</v>
      </c>
      <c r="BN531" s="18" t="str">
        <f t="shared" si="250"/>
        <v>Baja fuente de proteína</v>
      </c>
      <c r="BO531" s="18" t="str">
        <f t="shared" si="251"/>
        <v>Baja fuente de fibra</v>
      </c>
      <c r="BP531" s="18" t="str">
        <f t="shared" si="252"/>
        <v>Baja fuente de calcio</v>
      </c>
      <c r="BQ531" s="18" t="str">
        <f t="shared" si="253"/>
        <v>Baja fuente de hierro</v>
      </c>
      <c r="BR531" s="18" t="str">
        <f t="shared" si="254"/>
        <v>Bajo en sodio</v>
      </c>
      <c r="BS531" s="6" t="str">
        <f t="shared" si="245"/>
        <v>Proinflamatorio</v>
      </c>
      <c r="BT531" s="6" t="str">
        <f t="shared" si="246"/>
        <v>Bajo en grasas</v>
      </c>
      <c r="BU531" s="18" t="str">
        <f t="shared" si="255"/>
        <v>Alto riesgo de retención de líquidos</v>
      </c>
      <c r="BV531" s="18" t="str">
        <f t="shared" si="256"/>
        <v>Baja fuente de magnesio</v>
      </c>
      <c r="BW531" s="18" t="str">
        <f t="shared" si="257"/>
        <v>Sin aporte de Omega 3</v>
      </c>
      <c r="BX531" s="18" t="str">
        <f t="shared" si="258"/>
        <v>Libre de grasas trans</v>
      </c>
      <c r="BY531" s="18" t="str">
        <f t="shared" si="259"/>
        <v>Bajo poder antioxidante</v>
      </c>
      <c r="BZ531" s="6" t="str">
        <f t="shared" si="247"/>
        <v>Sin probióticos</v>
      </c>
      <c r="CA531" s="18" t="str">
        <f t="shared" si="260"/>
        <v>Moderadamente inflamatorio</v>
      </c>
      <c r="CB531" s="18" t="str">
        <f>IF(ISNUMBER(SEARCH("miel", D531)), "No irritante (Uso condicionado SII)", IF(OR(J531&gt;0, ISNUMBER(SEARCH("cacao", D531)), ISNUMBER(SEARCH("chocolate puro", D531))), "Altamente irritante", IF(OR(AND(O531&gt;15, BI531&gt;1), ISNUMBER(SEARCH("chocolate", D531))), "Moderadamente irritante", "No irritante")))</f>
        <v>No irritante</v>
      </c>
      <c r="CC531" s="6" t="str">
        <f t="shared" si="248"/>
        <v>Sin Omega 3 para evaluar</v>
      </c>
    </row>
    <row r="532" spans="1:81" ht="15" customHeight="1" x14ac:dyDescent="0.3">
      <c r="A532" s="2">
        <f t="shared" si="249"/>
        <v>531</v>
      </c>
      <c r="B532" s="3" t="s">
        <v>686</v>
      </c>
      <c r="C532" s="3" t="s">
        <v>689</v>
      </c>
      <c r="D532" s="3" t="s">
        <v>696</v>
      </c>
      <c r="E532" s="3"/>
      <c r="F532" s="4">
        <v>1.5</v>
      </c>
      <c r="G532" s="5">
        <v>1</v>
      </c>
      <c r="H532" s="5">
        <v>0.32</v>
      </c>
      <c r="I532" s="5">
        <v>99.9</v>
      </c>
      <c r="J532" s="5">
        <v>0</v>
      </c>
      <c r="K532" s="5">
        <v>0.01</v>
      </c>
      <c r="L532" s="5">
        <v>7.0000000000000007E-2</v>
      </c>
      <c r="M532" s="5">
        <v>0</v>
      </c>
      <c r="N532" s="5">
        <v>7.0000000000000007E-2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4</v>
      </c>
      <c r="AL532" s="5">
        <v>0</v>
      </c>
      <c r="AM532" s="5">
        <v>0</v>
      </c>
      <c r="AN532" s="5">
        <v>1</v>
      </c>
      <c r="AO532" s="5">
        <v>8</v>
      </c>
      <c r="AP532" s="5">
        <v>0</v>
      </c>
      <c r="AQ532" s="5">
        <v>1</v>
      </c>
      <c r="AR532" s="5">
        <v>15</v>
      </c>
      <c r="AS532" s="5">
        <v>0</v>
      </c>
      <c r="AT532" s="5">
        <v>0</v>
      </c>
      <c r="AU532" s="5">
        <v>0</v>
      </c>
      <c r="AV532" s="5">
        <f>IFERROR(VLOOKUP(IFERROR(VLOOKUP(D532,Mapa_Similitud!$A$2:$B$2000,2,FALSE()),D532),Hoja1!$A$2:$K$1000,2,FALSE()),IFERROR(VLOOKUP(IFERROR(VLOOKUP(D532,Mapa_Similitud!$A$2:$B$2000,2,FALSE()),D532),Omega3_Referencia!$A$2:$E$100,3,FALSE()),0))</f>
        <v>0</v>
      </c>
      <c r="AW532" s="3" t="str">
        <f>IFERROR(VLOOKUP(IFERROR(VLOOKUP(D532,Mapa_Similitud!$A$2:$B$2000,2,FALSE()),D532),Hoja1!$A$2:$K$1000,3,FALSE()),IFERROR(VLOOKUP(IFERROR(VLOOKUP(D532,Mapa_Similitud!$A$2:$B$2000,2,FALSE()),D532),Omega3_Referencia!$A$2:$E$100,4,FALSE()),"N/A"))</f>
        <v>N/A</v>
      </c>
      <c r="AX532" s="5">
        <f>IFERROR(VLOOKUP(IFERROR(VLOOKUP(D532,Mapa_Similitud!$A$2:$B$2000,2,FALSE()),D532),Hoja1!$A$2:$K$1000,5,FALSE()),0)</f>
        <v>0</v>
      </c>
      <c r="AY532" s="5">
        <f>IFERROR(VLOOKUP(IFERROR(VLOOKUP(D532,Mapa_Similitud!$A$2:$B$2000,2,FALSE()),D532),Hoja1!$A$2:$K$1000,7,FALSE()),0)</f>
        <v>0</v>
      </c>
      <c r="AZ532" s="5">
        <f>IFERROR(VLOOKUP(IFERROR(VLOOKUP(D532,Mapa_Similitud!$A$2:$B$2000,2,FALSE()),D532),Hoja1!$A$2:$K$1000,9,FALSE()),0)</f>
        <v>0</v>
      </c>
      <c r="BA532" s="25">
        <f t="shared" si="232"/>
        <v>3.125E-2</v>
      </c>
      <c r="BB532" s="25">
        <f t="shared" si="233"/>
        <v>0</v>
      </c>
      <c r="BC532" s="25">
        <f t="shared" si="234"/>
        <v>12.5</v>
      </c>
      <c r="BD532" s="25">
        <f t="shared" si="235"/>
        <v>0</v>
      </c>
      <c r="BE532" s="25">
        <f t="shared" si="236"/>
        <v>3.125</v>
      </c>
      <c r="BF532" s="25">
        <f t="shared" si="237"/>
        <v>0</v>
      </c>
      <c r="BG532" s="25">
        <f t="shared" si="238"/>
        <v>0</v>
      </c>
      <c r="BH532" s="25">
        <f t="shared" si="239"/>
        <v>0</v>
      </c>
      <c r="BI532" s="25">
        <f t="shared" si="240"/>
        <v>6.6666666666666666E-2</v>
      </c>
      <c r="BJ532" s="25">
        <f t="shared" si="241"/>
        <v>1</v>
      </c>
      <c r="BK532" s="25">
        <f t="shared" si="242"/>
        <v>0</v>
      </c>
      <c r="BL532" s="25">
        <f t="shared" si="243"/>
        <v>0</v>
      </c>
      <c r="BM532" s="25">
        <f t="shared" si="244"/>
        <v>0</v>
      </c>
      <c r="BN532" s="18" t="str">
        <f t="shared" si="250"/>
        <v>Baja fuente de proteína</v>
      </c>
      <c r="BO532" s="18" t="str">
        <f t="shared" si="251"/>
        <v>Baja fuente de fibra</v>
      </c>
      <c r="BP532" s="18" t="str">
        <f t="shared" si="252"/>
        <v>Alta fuente de calcio</v>
      </c>
      <c r="BQ532" s="18" t="str">
        <f t="shared" si="253"/>
        <v>Baja fuente de hierro</v>
      </c>
      <c r="BR532" s="18" t="str">
        <f t="shared" si="254"/>
        <v>Muy alto en sodio</v>
      </c>
      <c r="BS532" s="6" t="str">
        <f t="shared" si="245"/>
        <v>Proinflamatorio</v>
      </c>
      <c r="BT532" s="6" t="str">
        <f t="shared" si="246"/>
        <v>Bajo en grasas</v>
      </c>
      <c r="BU532" s="18" t="str">
        <f t="shared" si="255"/>
        <v>Equilibrio de líquidos ideal</v>
      </c>
      <c r="BV532" s="18" t="str">
        <f t="shared" si="256"/>
        <v>Baja fuente de magnesio</v>
      </c>
      <c r="BW532" s="18" t="str">
        <f t="shared" si="257"/>
        <v>Sin aporte de Omega 3</v>
      </c>
      <c r="BX532" s="18" t="str">
        <f t="shared" si="258"/>
        <v>Libre de grasas trans</v>
      </c>
      <c r="BY532" s="18" t="str">
        <f t="shared" si="259"/>
        <v>Bajo poder antioxidante</v>
      </c>
      <c r="BZ532" s="6" t="str">
        <f t="shared" si="247"/>
        <v>Sin probióticos</v>
      </c>
      <c r="CA532" s="18" t="str">
        <f t="shared" si="260"/>
        <v>Poco inflamatorio</v>
      </c>
      <c r="CB532" s="18" t="str">
        <f>IF(ISNUMBER(SEARCH("miel", D532)), "No irritante (Uso condicionado SII)", IF(OR(J532&gt;0, ISNUMBER(SEARCH("cacao", D532)), ISNUMBER(SEARCH("chocolate puro", D532))), "Altamente irritante", IF(OR(AND(O532&gt;15, BI532&gt;1), ISNUMBER(SEARCH("chocolate", D532))), "Moderadamente irritante", "No irritante")))</f>
        <v>No irritante</v>
      </c>
      <c r="CC532" s="6" t="str">
        <f t="shared" si="248"/>
        <v>Sin Omega 3 para evaluar</v>
      </c>
    </row>
    <row r="533" spans="1:81" ht="15" customHeight="1" x14ac:dyDescent="0.3">
      <c r="A533" s="2">
        <f t="shared" si="249"/>
        <v>532</v>
      </c>
      <c r="B533" s="3" t="s">
        <v>686</v>
      </c>
      <c r="C533" s="3" t="s">
        <v>689</v>
      </c>
      <c r="D533" s="3" t="s">
        <v>697</v>
      </c>
      <c r="E533" s="3"/>
      <c r="F533" s="4">
        <v>1.5</v>
      </c>
      <c r="G533" s="5">
        <v>1</v>
      </c>
      <c r="H533" s="5">
        <v>17</v>
      </c>
      <c r="I533" s="5">
        <v>94.6</v>
      </c>
      <c r="J533" s="5">
        <v>0</v>
      </c>
      <c r="K533" s="5">
        <v>0.5</v>
      </c>
      <c r="L533" s="5">
        <v>1.9</v>
      </c>
      <c r="M533" s="5">
        <v>0</v>
      </c>
      <c r="N533" s="5">
        <v>1.9</v>
      </c>
      <c r="O533" s="5">
        <v>1.5</v>
      </c>
      <c r="P533" s="5">
        <v>2.8</v>
      </c>
      <c r="Q533" s="5">
        <v>0.2</v>
      </c>
      <c r="R533" s="5">
        <v>0.02</v>
      </c>
      <c r="S533" s="5">
        <v>0.02</v>
      </c>
      <c r="T533" s="5">
        <v>0.06</v>
      </c>
      <c r="U533" s="5">
        <v>0</v>
      </c>
      <c r="V533" s="5">
        <v>1.7</v>
      </c>
      <c r="W533" s="5">
        <v>0</v>
      </c>
      <c r="X533" s="5">
        <v>0</v>
      </c>
      <c r="Y533" s="5">
        <v>0</v>
      </c>
      <c r="Z533" s="5">
        <v>0.8</v>
      </c>
      <c r="AA533" s="5">
        <v>0</v>
      </c>
      <c r="AB533" s="5">
        <v>0.02</v>
      </c>
      <c r="AC533" s="5">
        <v>0.02</v>
      </c>
      <c r="AD533" s="5">
        <v>0.25</v>
      </c>
      <c r="AE533" s="5">
        <v>0.04</v>
      </c>
      <c r="AF533" s="5">
        <v>0</v>
      </c>
      <c r="AG533" s="5">
        <v>0</v>
      </c>
      <c r="AH533" s="5">
        <v>0</v>
      </c>
      <c r="AI533" s="5">
        <v>0</v>
      </c>
      <c r="AJ533" s="5">
        <v>44</v>
      </c>
      <c r="AK533" s="5">
        <v>13</v>
      </c>
      <c r="AL533" s="5">
        <v>11</v>
      </c>
      <c r="AM533" s="5">
        <v>0.2</v>
      </c>
      <c r="AN533" s="5">
        <v>1.5</v>
      </c>
      <c r="AO533" s="5">
        <v>0.11</v>
      </c>
      <c r="AP533" s="5">
        <v>8</v>
      </c>
      <c r="AQ533" s="5">
        <v>2</v>
      </c>
      <c r="AR533" s="5">
        <v>82</v>
      </c>
      <c r="AS533" s="5">
        <v>0</v>
      </c>
      <c r="AT533" s="5">
        <v>0</v>
      </c>
      <c r="AU533" s="5">
        <v>0.4</v>
      </c>
      <c r="AV533" s="5">
        <f>IFERROR(VLOOKUP(IFERROR(VLOOKUP(D533,Mapa_Similitud!$A$2:$B$2000,2,FALSE()),D533),Hoja1!$A$2:$K$1000,2,FALSE()),IFERROR(VLOOKUP(IFERROR(VLOOKUP(D533,Mapa_Similitud!$A$2:$B$2000,2,FALSE()),D533),Omega3_Referencia!$A$2:$E$100,3,FALSE()),0))</f>
        <v>0</v>
      </c>
      <c r="AW533" s="3" t="str">
        <f>IFERROR(VLOOKUP(IFERROR(VLOOKUP(D533,Mapa_Similitud!$A$2:$B$2000,2,FALSE()),D533),Hoja1!$A$2:$K$1000,3,FALSE()),IFERROR(VLOOKUP(IFERROR(VLOOKUP(D533,Mapa_Similitud!$A$2:$B$2000,2,FALSE()),D533),Omega3_Referencia!$A$2:$E$100,4,FALSE()),"N/A"))</f>
        <v>N/A</v>
      </c>
      <c r="AX533" s="5">
        <f>IFERROR(VLOOKUP(IFERROR(VLOOKUP(D533,Mapa_Similitud!$A$2:$B$2000,2,FALSE()),D533),Hoja1!$A$2:$K$1000,5,FALSE()),0)</f>
        <v>0</v>
      </c>
      <c r="AY533" s="5">
        <f>IFERROR(VLOOKUP(IFERROR(VLOOKUP(D533,Mapa_Similitud!$A$2:$B$2000,2,FALSE()),D533),Hoja1!$A$2:$K$1000,7,FALSE()),0)</f>
        <v>5</v>
      </c>
      <c r="AZ533" s="5">
        <f>IFERROR(VLOOKUP(IFERROR(VLOOKUP(D533,Mapa_Similitud!$A$2:$B$2000,2,FALSE()),D533),Hoja1!$A$2:$K$1000,9,FALSE()),0)</f>
        <v>0</v>
      </c>
      <c r="BA533" s="25">
        <f t="shared" si="232"/>
        <v>2.9411764705882353E-2</v>
      </c>
      <c r="BB533" s="25">
        <f t="shared" si="233"/>
        <v>0.16470588235294117</v>
      </c>
      <c r="BC533" s="25">
        <f t="shared" si="234"/>
        <v>0.76470588235294112</v>
      </c>
      <c r="BD533" s="25">
        <f t="shared" si="235"/>
        <v>1.1764705882352941E-2</v>
      </c>
      <c r="BE533" s="25">
        <f t="shared" si="236"/>
        <v>0.11764705882352941</v>
      </c>
      <c r="BF533" s="25">
        <f t="shared" si="237"/>
        <v>3</v>
      </c>
      <c r="BG533" s="25">
        <f t="shared" si="238"/>
        <v>1.1818181818181819</v>
      </c>
      <c r="BH533" s="25">
        <f t="shared" si="239"/>
        <v>9.9999999999999992E-2</v>
      </c>
      <c r="BI533" s="25">
        <f t="shared" si="240"/>
        <v>2.4390243902439025E-2</v>
      </c>
      <c r="BJ533" s="25">
        <f t="shared" si="241"/>
        <v>1</v>
      </c>
      <c r="BK533" s="25">
        <f t="shared" si="242"/>
        <v>1.4736842105263157</v>
      </c>
      <c r="BL533" s="25">
        <f t="shared" si="243"/>
        <v>0.10588235294117647</v>
      </c>
      <c r="BM533" s="25">
        <f t="shared" si="244"/>
        <v>0.47058823529411764</v>
      </c>
      <c r="BN533" s="18" t="str">
        <f t="shared" si="250"/>
        <v>Baja fuente de proteína</v>
      </c>
      <c r="BO533" s="18" t="str">
        <f t="shared" si="251"/>
        <v>Alta fuente de fibra</v>
      </c>
      <c r="BP533" s="18" t="str">
        <f t="shared" si="252"/>
        <v>Baja fuente de calcio</v>
      </c>
      <c r="BQ533" s="18" t="str">
        <f t="shared" si="253"/>
        <v>Media fuente de hierro</v>
      </c>
      <c r="BR533" s="18" t="str">
        <f t="shared" si="254"/>
        <v>Bajo en sodio</v>
      </c>
      <c r="BS533" s="6" t="str">
        <f t="shared" si="245"/>
        <v>Altamente antiinflamatorio</v>
      </c>
      <c r="BT533" s="6" t="str">
        <f t="shared" si="246"/>
        <v>Bajo en grasas</v>
      </c>
      <c r="BU533" s="18" t="str">
        <f t="shared" si="255"/>
        <v>Equilibrio de líquidos ideal</v>
      </c>
      <c r="BV533" s="18" t="str">
        <f t="shared" si="256"/>
        <v>Media fuente de magnesio</v>
      </c>
      <c r="BW533" s="18" t="str">
        <f t="shared" si="257"/>
        <v>Sin aporte de Omega 3</v>
      </c>
      <c r="BX533" s="18" t="str">
        <f t="shared" si="258"/>
        <v>Libre de grasas trans</v>
      </c>
      <c r="BY533" s="18" t="str">
        <f t="shared" si="259"/>
        <v>Bajo poder antioxidante</v>
      </c>
      <c r="BZ533" s="6" t="str">
        <f t="shared" si="247"/>
        <v>Sin probióticos</v>
      </c>
      <c r="CA533" s="18" t="str">
        <f t="shared" si="260"/>
        <v>Poco inflamatorio</v>
      </c>
      <c r="CB533" s="18" t="str">
        <f>IF(ISNUMBER(SEARCH("miel", D533)), "No irritante (Uso condicionado SII)", IF(OR(J533&gt;0, ISNUMBER(SEARCH("cacao", D533)), ISNUMBER(SEARCH("chocolate puro", D533))), "Altamente irritante", IF(OR(AND(O533&gt;15, BI533&gt;1), ISNUMBER(SEARCH("chocolate", D533))), "Moderadamente irritante", "No irritante")))</f>
        <v>No irritante</v>
      </c>
      <c r="CC533" s="6" t="str">
        <f t="shared" si="248"/>
        <v>Sin Omega 3 para evaluar</v>
      </c>
    </row>
    <row r="534" spans="1:81" ht="15" customHeight="1" x14ac:dyDescent="0.3">
      <c r="A534" s="2">
        <f t="shared" si="249"/>
        <v>533</v>
      </c>
      <c r="B534" s="3" t="s">
        <v>686</v>
      </c>
      <c r="C534" s="3" t="s">
        <v>689</v>
      </c>
      <c r="D534" s="3" t="s">
        <v>698</v>
      </c>
      <c r="E534" s="3"/>
      <c r="F534" s="4">
        <v>1.5</v>
      </c>
      <c r="G534" s="5">
        <v>1</v>
      </c>
      <c r="H534" s="5">
        <v>36.4</v>
      </c>
      <c r="I534" s="5">
        <v>90.9</v>
      </c>
      <c r="J534" s="5">
        <v>0</v>
      </c>
      <c r="K534" s="5">
        <v>0</v>
      </c>
      <c r="L534" s="5">
        <v>9.1</v>
      </c>
      <c r="M534" s="5">
        <v>0</v>
      </c>
      <c r="N534" s="5">
        <v>9.1</v>
      </c>
      <c r="O534" s="5">
        <v>9.1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3</v>
      </c>
      <c r="AL534" s="5">
        <v>36</v>
      </c>
      <c r="AM534" s="5">
        <v>0</v>
      </c>
      <c r="AN534" s="5">
        <v>0</v>
      </c>
      <c r="AO534" s="5">
        <v>0.06</v>
      </c>
      <c r="AP534" s="5">
        <v>1</v>
      </c>
      <c r="AQ534" s="5">
        <v>21</v>
      </c>
      <c r="AR534" s="5">
        <v>19</v>
      </c>
      <c r="AS534" s="5">
        <v>0</v>
      </c>
      <c r="AT534" s="5">
        <v>0</v>
      </c>
      <c r="AU534" s="5">
        <v>0</v>
      </c>
      <c r="AV534" s="5">
        <f>IFERROR(VLOOKUP(IFERROR(VLOOKUP(D534,Mapa_Similitud!$A$2:$B$2000,2,FALSE()),D534),Hoja1!$A$2:$K$1000,2,FALSE()),IFERROR(VLOOKUP(IFERROR(VLOOKUP(D534,Mapa_Similitud!$A$2:$B$2000,2,FALSE()),D534),Omega3_Referencia!$A$2:$E$100,3,FALSE()),0))</f>
        <v>0</v>
      </c>
      <c r="AW534" s="3" t="str">
        <f>IFERROR(VLOOKUP(IFERROR(VLOOKUP(D534,Mapa_Similitud!$A$2:$B$2000,2,FALSE()),D534),Hoja1!$A$2:$K$1000,3,FALSE()),IFERROR(VLOOKUP(IFERROR(VLOOKUP(D534,Mapa_Similitud!$A$2:$B$2000,2,FALSE()),D534),Omega3_Referencia!$A$2:$E$100,4,FALSE()),"N/A"))</f>
        <v>N/A</v>
      </c>
      <c r="AX534" s="5">
        <f>IFERROR(VLOOKUP(IFERROR(VLOOKUP(D534,Mapa_Similitud!$A$2:$B$2000,2,FALSE()),D534),Hoja1!$A$2:$K$1000,5,FALSE()),0)</f>
        <v>0</v>
      </c>
      <c r="AY534" s="5">
        <f>IFERROR(VLOOKUP(IFERROR(VLOOKUP(D534,Mapa_Similitud!$A$2:$B$2000,2,FALSE()),D534),Hoja1!$A$2:$K$1000,7,FALSE()),0)</f>
        <v>0</v>
      </c>
      <c r="AZ534" s="5">
        <f>IFERROR(VLOOKUP(IFERROR(VLOOKUP(D534,Mapa_Similitud!$A$2:$B$2000,2,FALSE()),D534),Hoja1!$A$2:$K$1000,9,FALSE()),0)</f>
        <v>0</v>
      </c>
      <c r="BA534" s="25">
        <f t="shared" si="232"/>
        <v>0</v>
      </c>
      <c r="BB534" s="25">
        <f t="shared" si="233"/>
        <v>0</v>
      </c>
      <c r="BC534" s="25">
        <f t="shared" si="234"/>
        <v>8.2417582417582416E-2</v>
      </c>
      <c r="BD534" s="25">
        <f t="shared" si="235"/>
        <v>0</v>
      </c>
      <c r="BE534" s="25">
        <f t="shared" si="236"/>
        <v>0.57692307692307698</v>
      </c>
      <c r="BF534" s="25">
        <f t="shared" si="237"/>
        <v>0</v>
      </c>
      <c r="BG534" s="25">
        <f t="shared" si="238"/>
        <v>8.3333333333333329E-2</v>
      </c>
      <c r="BH534" s="25">
        <f t="shared" si="239"/>
        <v>0</v>
      </c>
      <c r="BI534" s="25">
        <f t="shared" si="240"/>
        <v>1.1052631578947369</v>
      </c>
      <c r="BJ534" s="25">
        <f t="shared" si="241"/>
        <v>1</v>
      </c>
      <c r="BK534" s="25">
        <f t="shared" si="242"/>
        <v>0</v>
      </c>
      <c r="BL534" s="25">
        <f t="shared" si="243"/>
        <v>0</v>
      </c>
      <c r="BM534" s="25">
        <f t="shared" si="244"/>
        <v>2.7472527472527472E-2</v>
      </c>
      <c r="BN534" s="18" t="str">
        <f t="shared" si="250"/>
        <v>Baja fuente de proteína</v>
      </c>
      <c r="BO534" s="18" t="str">
        <f t="shared" si="251"/>
        <v>Baja fuente de fibra</v>
      </c>
      <c r="BP534" s="18" t="str">
        <f t="shared" si="252"/>
        <v>Baja fuente de calcio</v>
      </c>
      <c r="BQ534" s="18" t="str">
        <f t="shared" si="253"/>
        <v>Baja fuente de hierro</v>
      </c>
      <c r="BR534" s="18" t="str">
        <f t="shared" si="254"/>
        <v>Moderado en sodio</v>
      </c>
      <c r="BS534" s="6" t="str">
        <f t="shared" si="245"/>
        <v>Proinflamatorio</v>
      </c>
      <c r="BT534" s="6" t="str">
        <f t="shared" si="246"/>
        <v>Bajo en grasas</v>
      </c>
      <c r="BU534" s="18" t="str">
        <f t="shared" si="255"/>
        <v>Alto riesgo de retención de líquidos</v>
      </c>
      <c r="BV534" s="18" t="str">
        <f t="shared" si="256"/>
        <v>Baja fuente de magnesio</v>
      </c>
      <c r="BW534" s="18" t="str">
        <f t="shared" si="257"/>
        <v>Sin aporte de Omega 3</v>
      </c>
      <c r="BX534" s="18" t="str">
        <f t="shared" si="258"/>
        <v>Libre de grasas trans</v>
      </c>
      <c r="BY534" s="18" t="str">
        <f t="shared" si="259"/>
        <v>Bajo poder antioxidante</v>
      </c>
      <c r="BZ534" s="6" t="str">
        <f t="shared" si="247"/>
        <v>Sin probióticos</v>
      </c>
      <c r="CA534" s="18" t="str">
        <f t="shared" si="260"/>
        <v>Moderadamente inflamatorio</v>
      </c>
      <c r="CB534" s="18" t="str">
        <f>IF(ISNUMBER(SEARCH("miel", D534)), "No irritante (Uso condicionado SII)", IF(OR(J534&gt;0, ISNUMBER(SEARCH("cacao", D534)), ISNUMBER(SEARCH("chocolate puro", D534))), "Altamente irritante", IF(OR(AND(O534&gt;15, BI534&gt;1), ISNUMBER(SEARCH("chocolate", D534))), "Moderadamente irritante", "No irritante")))</f>
        <v>No irritante</v>
      </c>
      <c r="CC534" s="6" t="str">
        <f t="shared" si="248"/>
        <v>Sin Omega 3 para evaluar</v>
      </c>
    </row>
    <row r="535" spans="1:81" ht="15" customHeight="1" x14ac:dyDescent="0.3">
      <c r="A535" s="2">
        <f t="shared" si="249"/>
        <v>534</v>
      </c>
      <c r="B535" s="3" t="s">
        <v>686</v>
      </c>
      <c r="C535" s="3" t="s">
        <v>689</v>
      </c>
      <c r="D535" s="3" t="s">
        <v>699</v>
      </c>
      <c r="E535" s="3"/>
      <c r="F535" s="4">
        <v>1.5</v>
      </c>
      <c r="G535" s="5">
        <v>1</v>
      </c>
      <c r="H535" s="5">
        <v>0</v>
      </c>
      <c r="I535" s="5">
        <v>100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3</v>
      </c>
      <c r="AL535" s="5">
        <v>36</v>
      </c>
      <c r="AM535" s="5">
        <v>0</v>
      </c>
      <c r="AN535" s="5">
        <v>0</v>
      </c>
      <c r="AO535" s="5">
        <v>0.06</v>
      </c>
      <c r="AP535" s="5">
        <v>1</v>
      </c>
      <c r="AQ535" s="5">
        <v>21</v>
      </c>
      <c r="AR535" s="5">
        <v>19</v>
      </c>
      <c r="AS535" s="5">
        <v>0</v>
      </c>
      <c r="AT535" s="5">
        <v>0</v>
      </c>
      <c r="AU535" s="5">
        <v>0</v>
      </c>
      <c r="AV535" s="5">
        <f>IFERROR(VLOOKUP(IFERROR(VLOOKUP(D535,Mapa_Similitud!$A$2:$B$2000,2,FALSE()),D535),Hoja1!$A$2:$K$1000,2,FALSE()),IFERROR(VLOOKUP(IFERROR(VLOOKUP(D535,Mapa_Similitud!$A$2:$B$2000,2,FALSE()),D535),Omega3_Referencia!$A$2:$E$100,3,FALSE()),0))</f>
        <v>0</v>
      </c>
      <c r="AW535" s="3" t="str">
        <f>IFERROR(VLOOKUP(IFERROR(VLOOKUP(D535,Mapa_Similitud!$A$2:$B$2000,2,FALSE()),D535),Hoja1!$A$2:$K$1000,3,FALSE()),IFERROR(VLOOKUP(IFERROR(VLOOKUP(D535,Mapa_Similitud!$A$2:$B$2000,2,FALSE()),D535),Omega3_Referencia!$A$2:$E$100,4,FALSE()),"N/A"))</f>
        <v>N/A</v>
      </c>
      <c r="AX535" s="5">
        <f>IFERROR(VLOOKUP(IFERROR(VLOOKUP(D535,Mapa_Similitud!$A$2:$B$2000,2,FALSE()),D535),Hoja1!$A$2:$K$1000,5,FALSE()),0)</f>
        <v>0</v>
      </c>
      <c r="AY535" s="5">
        <f>IFERROR(VLOOKUP(IFERROR(VLOOKUP(D535,Mapa_Similitud!$A$2:$B$2000,2,FALSE()),D535),Hoja1!$A$2:$K$1000,7,FALSE()),0)</f>
        <v>0</v>
      </c>
      <c r="AZ535" s="5">
        <f>IFERROR(VLOOKUP(IFERROR(VLOOKUP(D535,Mapa_Similitud!$A$2:$B$2000,2,FALSE()),D535),Hoja1!$A$2:$K$1000,9,FALSE()),0)</f>
        <v>0</v>
      </c>
      <c r="BA535" s="25">
        <f t="shared" si="232"/>
        <v>0</v>
      </c>
      <c r="BB535" s="25">
        <f t="shared" si="233"/>
        <v>0</v>
      </c>
      <c r="BC535" s="25">
        <f t="shared" si="234"/>
        <v>0</v>
      </c>
      <c r="BD535" s="25">
        <f t="shared" si="235"/>
        <v>0</v>
      </c>
      <c r="BE535" s="25">
        <f t="shared" si="236"/>
        <v>0</v>
      </c>
      <c r="BF535" s="25">
        <f t="shared" si="237"/>
        <v>0</v>
      </c>
      <c r="BG535" s="25">
        <f t="shared" si="238"/>
        <v>8.3333333333333329E-2</v>
      </c>
      <c r="BH535" s="25">
        <f t="shared" si="239"/>
        <v>0</v>
      </c>
      <c r="BI535" s="25">
        <f t="shared" si="240"/>
        <v>1.1052631578947369</v>
      </c>
      <c r="BJ535" s="25">
        <f t="shared" si="241"/>
        <v>0</v>
      </c>
      <c r="BK535" s="25">
        <f t="shared" si="242"/>
        <v>0</v>
      </c>
      <c r="BL535" s="25">
        <f t="shared" si="243"/>
        <v>0</v>
      </c>
      <c r="BM535" s="25">
        <f t="shared" si="244"/>
        <v>0</v>
      </c>
      <c r="BN535" s="18" t="str">
        <f t="shared" si="250"/>
        <v>Baja fuente de proteína</v>
      </c>
      <c r="BO535" s="18" t="str">
        <f t="shared" si="251"/>
        <v>Baja fuente de fibra</v>
      </c>
      <c r="BP535" s="18" t="str">
        <f t="shared" si="252"/>
        <v>Baja fuente de calcio</v>
      </c>
      <c r="BQ535" s="18" t="str">
        <f t="shared" si="253"/>
        <v>Baja fuente de hierro</v>
      </c>
      <c r="BR535" s="18" t="str">
        <f t="shared" si="254"/>
        <v>Bajo en sodio</v>
      </c>
      <c r="BS535" s="6" t="str">
        <f t="shared" si="245"/>
        <v>Proinflamatorio</v>
      </c>
      <c r="BT535" s="6" t="str">
        <f t="shared" si="246"/>
        <v>Bajo en grasas</v>
      </c>
      <c r="BU535" s="18" t="str">
        <f t="shared" si="255"/>
        <v>Alto riesgo de retención de líquidos</v>
      </c>
      <c r="BV535" s="18" t="str">
        <f t="shared" si="256"/>
        <v>Baja fuente de magnesio</v>
      </c>
      <c r="BW535" s="18" t="str">
        <f t="shared" si="257"/>
        <v>Sin aporte de Omega 3</v>
      </c>
      <c r="BX535" s="18" t="str">
        <f t="shared" si="258"/>
        <v>Libre de grasas trans</v>
      </c>
      <c r="BY535" s="18" t="str">
        <f t="shared" si="259"/>
        <v>Bajo poder antioxidante</v>
      </c>
      <c r="BZ535" s="6" t="str">
        <f t="shared" si="247"/>
        <v>Sin probióticos</v>
      </c>
      <c r="CA535" s="18" t="str">
        <f t="shared" si="260"/>
        <v>Poco inflamatorio</v>
      </c>
      <c r="CB535" s="18" t="str">
        <f>IF(ISNUMBER(SEARCH("miel", D535)), "No irritante (Uso condicionado SII)", IF(OR(J535&gt;0, ISNUMBER(SEARCH("cacao", D535)), ISNUMBER(SEARCH("chocolate puro", D535))), "Altamente irritante", IF(OR(AND(O535&gt;15, BI535&gt;1), ISNUMBER(SEARCH("chocolate", D535))), "Moderadamente irritante", "No irritante")))</f>
        <v>No irritante</v>
      </c>
      <c r="CC535" s="6" t="str">
        <f t="shared" si="248"/>
        <v>Sin Omega 3 para evaluar</v>
      </c>
    </row>
    <row r="536" spans="1:81" ht="15" customHeight="1" x14ac:dyDescent="0.3">
      <c r="A536" s="2">
        <f t="shared" si="249"/>
        <v>535</v>
      </c>
      <c r="B536" s="3" t="s">
        <v>686</v>
      </c>
      <c r="C536" s="3" t="s">
        <v>689</v>
      </c>
      <c r="D536" s="3" t="s">
        <v>700</v>
      </c>
      <c r="E536" s="3"/>
      <c r="F536" s="4">
        <v>1.5</v>
      </c>
      <c r="G536" s="5">
        <v>1</v>
      </c>
      <c r="H536" s="5">
        <v>43.6</v>
      </c>
      <c r="I536" s="5">
        <v>89.2</v>
      </c>
      <c r="J536" s="5">
        <v>0</v>
      </c>
      <c r="K536" s="5">
        <v>0</v>
      </c>
      <c r="L536" s="5">
        <v>10.9</v>
      </c>
      <c r="M536" s="5">
        <v>0</v>
      </c>
      <c r="N536" s="5">
        <v>10.9</v>
      </c>
      <c r="O536" s="5">
        <v>10.9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4</v>
      </c>
      <c r="AL536" s="5">
        <v>15</v>
      </c>
      <c r="AM536" s="5">
        <v>0.03</v>
      </c>
      <c r="AN536" s="5">
        <v>0</v>
      </c>
      <c r="AO536" s="5">
        <v>0.01</v>
      </c>
      <c r="AP536" s="5">
        <v>1</v>
      </c>
      <c r="AQ536" s="5">
        <v>8</v>
      </c>
      <c r="AR536" s="5">
        <v>1</v>
      </c>
      <c r="AS536" s="5">
        <v>8.9999999999999993E-3</v>
      </c>
      <c r="AT536" s="5">
        <v>0.03</v>
      </c>
      <c r="AU536" s="5">
        <v>0.1</v>
      </c>
      <c r="AV536" s="5">
        <f>IFERROR(VLOOKUP(IFERROR(VLOOKUP(D536,Mapa_Similitud!$A$2:$B$2000,2,FALSE()),D536),Hoja1!$A$2:$K$1000,2,FALSE()),IFERROR(VLOOKUP(IFERROR(VLOOKUP(D536,Mapa_Similitud!$A$2:$B$2000,2,FALSE()),D536),Omega3_Referencia!$A$2:$E$100,3,FALSE()),0))</f>
        <v>0</v>
      </c>
      <c r="AW536" s="3" t="str">
        <f>IFERROR(VLOOKUP(IFERROR(VLOOKUP(D536,Mapa_Similitud!$A$2:$B$2000,2,FALSE()),D536),Hoja1!$A$2:$K$1000,3,FALSE()),IFERROR(VLOOKUP(IFERROR(VLOOKUP(D536,Mapa_Similitud!$A$2:$B$2000,2,FALSE()),D536),Omega3_Referencia!$A$2:$E$100,4,FALSE()),"N/A"))</f>
        <v>N/A</v>
      </c>
      <c r="AX536" s="5">
        <f>IFERROR(VLOOKUP(IFERROR(VLOOKUP(D536,Mapa_Similitud!$A$2:$B$2000,2,FALSE()),D536),Hoja1!$A$2:$K$1000,5,FALSE()),0)</f>
        <v>0</v>
      </c>
      <c r="AY536" s="5">
        <f>IFERROR(VLOOKUP(IFERROR(VLOOKUP(D536,Mapa_Similitud!$A$2:$B$2000,2,FALSE()),D536),Hoja1!$A$2:$K$1000,7,FALSE()),0)</f>
        <v>0</v>
      </c>
      <c r="AZ536" s="5">
        <f>IFERROR(VLOOKUP(IFERROR(VLOOKUP(D536,Mapa_Similitud!$A$2:$B$2000,2,FALSE()),D536),Hoja1!$A$2:$K$1000,9,FALSE()),0)</f>
        <v>0</v>
      </c>
      <c r="BA536" s="25">
        <f t="shared" si="232"/>
        <v>0</v>
      </c>
      <c r="BB536" s="25">
        <f t="shared" si="233"/>
        <v>0</v>
      </c>
      <c r="BC536" s="25">
        <f t="shared" si="234"/>
        <v>9.1743119266055037E-2</v>
      </c>
      <c r="BD536" s="25">
        <f t="shared" si="235"/>
        <v>6.8807339449541277E-4</v>
      </c>
      <c r="BE536" s="25">
        <f t="shared" si="236"/>
        <v>0.18348623853211007</v>
      </c>
      <c r="BF536" s="25">
        <f t="shared" si="237"/>
        <v>0</v>
      </c>
      <c r="BG536" s="25">
        <f t="shared" si="238"/>
        <v>0.26666666666666666</v>
      </c>
      <c r="BH536" s="25">
        <f t="shared" si="239"/>
        <v>0</v>
      </c>
      <c r="BI536" s="25">
        <f t="shared" si="240"/>
        <v>8</v>
      </c>
      <c r="BJ536" s="25">
        <f t="shared" si="241"/>
        <v>1</v>
      </c>
      <c r="BK536" s="25">
        <f t="shared" si="242"/>
        <v>0</v>
      </c>
      <c r="BL536" s="25">
        <f t="shared" si="243"/>
        <v>0</v>
      </c>
      <c r="BM536" s="25">
        <f t="shared" si="244"/>
        <v>2.2935779816513759E-2</v>
      </c>
      <c r="BN536" s="18" t="str">
        <f t="shared" si="250"/>
        <v>Baja fuente de proteína</v>
      </c>
      <c r="BO536" s="18" t="str">
        <f t="shared" si="251"/>
        <v>Baja fuente de fibra</v>
      </c>
      <c r="BP536" s="18" t="str">
        <f t="shared" si="252"/>
        <v>Baja fuente de calcio</v>
      </c>
      <c r="BQ536" s="18" t="str">
        <f t="shared" si="253"/>
        <v>Baja fuente de hierro</v>
      </c>
      <c r="BR536" s="18" t="str">
        <f t="shared" si="254"/>
        <v>Bajo en sodio</v>
      </c>
      <c r="BS536" s="6" t="str">
        <f t="shared" si="245"/>
        <v>Proinflamatorio</v>
      </c>
      <c r="BT536" s="6" t="str">
        <f t="shared" si="246"/>
        <v>Bajo en grasas</v>
      </c>
      <c r="BU536" s="18" t="str">
        <f t="shared" si="255"/>
        <v>Alto riesgo de retención de líquidos</v>
      </c>
      <c r="BV536" s="18" t="str">
        <f t="shared" si="256"/>
        <v>Baja fuente de magnesio</v>
      </c>
      <c r="BW536" s="18" t="str">
        <f t="shared" si="257"/>
        <v>Sin aporte de Omega 3</v>
      </c>
      <c r="BX536" s="18" t="str">
        <f t="shared" si="258"/>
        <v>Libre de grasas trans</v>
      </c>
      <c r="BY536" s="18" t="str">
        <f t="shared" si="259"/>
        <v>Bajo poder antioxidante</v>
      </c>
      <c r="BZ536" s="6" t="str">
        <f t="shared" si="247"/>
        <v>Sin probióticos</v>
      </c>
      <c r="CA536" s="18" t="str">
        <f t="shared" si="260"/>
        <v>Moderadamente inflamatorio</v>
      </c>
      <c r="CB536" s="18" t="str">
        <f>IF(ISNUMBER(SEARCH("miel", D536)), "No irritante (Uso condicionado SII)", IF(OR(J536&gt;0, ISNUMBER(SEARCH("cacao", D536)), ISNUMBER(SEARCH("chocolate puro", D536))), "Altamente irritante", IF(OR(AND(O536&gt;15, BI536&gt;1), ISNUMBER(SEARCH("chocolate", D536))), "Moderadamente irritante", "No irritante")))</f>
        <v>No irritante</v>
      </c>
      <c r="CC536" s="6" t="str">
        <f t="shared" si="248"/>
        <v>Sin Omega 3 para evaluar</v>
      </c>
    </row>
    <row r="537" spans="1:81" ht="15" customHeight="1" x14ac:dyDescent="0.3">
      <c r="A537" s="2">
        <f t="shared" si="249"/>
        <v>536</v>
      </c>
      <c r="B537" s="3" t="s">
        <v>686</v>
      </c>
      <c r="C537" s="3" t="s">
        <v>689</v>
      </c>
      <c r="D537" s="3" t="s">
        <v>701</v>
      </c>
      <c r="E537" s="3"/>
      <c r="F537" s="4">
        <v>1.5</v>
      </c>
      <c r="G537" s="5">
        <v>1</v>
      </c>
      <c r="H537" s="5">
        <v>0.4</v>
      </c>
      <c r="I537" s="5">
        <v>99.9</v>
      </c>
      <c r="J537" s="5">
        <v>0</v>
      </c>
      <c r="K537" s="5">
        <v>0</v>
      </c>
      <c r="L537" s="5">
        <v>0.1</v>
      </c>
      <c r="M537" s="5">
        <v>0</v>
      </c>
      <c r="N537" s="5">
        <v>0.1</v>
      </c>
      <c r="O537" s="5">
        <v>0.1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4</v>
      </c>
      <c r="AL537" s="5">
        <v>12</v>
      </c>
      <c r="AM537" s="5">
        <v>0.03</v>
      </c>
      <c r="AN537" s="5">
        <v>0</v>
      </c>
      <c r="AO537" s="5">
        <v>0.03</v>
      </c>
      <c r="AP537" s="5">
        <v>1</v>
      </c>
      <c r="AQ537" s="5">
        <v>7</v>
      </c>
      <c r="AR537" s="5">
        <v>4</v>
      </c>
      <c r="AS537" s="5">
        <v>8.9999999999999993E-3</v>
      </c>
      <c r="AT537" s="5">
        <v>0.01</v>
      </c>
      <c r="AU537" s="5">
        <v>0.1</v>
      </c>
      <c r="AV537" s="5">
        <f>IFERROR(VLOOKUP(IFERROR(VLOOKUP(D537,Mapa_Similitud!$A$2:$B$2000,2,FALSE()),D537),Hoja1!$A$2:$K$1000,2,FALSE()),IFERROR(VLOOKUP(IFERROR(VLOOKUP(D537,Mapa_Similitud!$A$2:$B$2000,2,FALSE()),D537),Omega3_Referencia!$A$2:$E$100,3,FALSE()),0))</f>
        <v>0</v>
      </c>
      <c r="AW537" s="3" t="str">
        <f>IFERROR(VLOOKUP(IFERROR(VLOOKUP(D537,Mapa_Similitud!$A$2:$B$2000,2,FALSE()),D537),Hoja1!$A$2:$K$1000,3,FALSE()),IFERROR(VLOOKUP(IFERROR(VLOOKUP(D537,Mapa_Similitud!$A$2:$B$2000,2,FALSE()),D537),Omega3_Referencia!$A$2:$E$100,4,FALSE()),"N/A"))</f>
        <v>N/A</v>
      </c>
      <c r="AX537" s="5">
        <f>IFERROR(VLOOKUP(IFERROR(VLOOKUP(D537,Mapa_Similitud!$A$2:$B$2000,2,FALSE()),D537),Hoja1!$A$2:$K$1000,5,FALSE()),0)</f>
        <v>0</v>
      </c>
      <c r="AY537" s="5">
        <f>IFERROR(VLOOKUP(IFERROR(VLOOKUP(D537,Mapa_Similitud!$A$2:$B$2000,2,FALSE()),D537),Hoja1!$A$2:$K$1000,7,FALSE()),0)</f>
        <v>0</v>
      </c>
      <c r="AZ537" s="5">
        <f>IFERROR(VLOOKUP(IFERROR(VLOOKUP(D537,Mapa_Similitud!$A$2:$B$2000,2,FALSE()),D537),Hoja1!$A$2:$K$1000,9,FALSE()),0)</f>
        <v>0</v>
      </c>
      <c r="BA537" s="25">
        <f t="shared" si="232"/>
        <v>0</v>
      </c>
      <c r="BB537" s="25">
        <f t="shared" si="233"/>
        <v>0</v>
      </c>
      <c r="BC537" s="25">
        <f t="shared" si="234"/>
        <v>10</v>
      </c>
      <c r="BD537" s="25">
        <f t="shared" si="235"/>
        <v>7.4999999999999997E-2</v>
      </c>
      <c r="BE537" s="25">
        <f t="shared" si="236"/>
        <v>17.5</v>
      </c>
      <c r="BF537" s="25">
        <f t="shared" si="237"/>
        <v>0</v>
      </c>
      <c r="BG537" s="25">
        <f t="shared" si="238"/>
        <v>0.33333333333333331</v>
      </c>
      <c r="BH537" s="25">
        <f t="shared" si="239"/>
        <v>0</v>
      </c>
      <c r="BI537" s="25">
        <f t="shared" si="240"/>
        <v>1.75</v>
      </c>
      <c r="BJ537" s="25">
        <f t="shared" si="241"/>
        <v>1</v>
      </c>
      <c r="BK537" s="25">
        <f t="shared" si="242"/>
        <v>0</v>
      </c>
      <c r="BL537" s="25">
        <f t="shared" si="243"/>
        <v>0</v>
      </c>
      <c r="BM537" s="25">
        <f t="shared" si="244"/>
        <v>2.5</v>
      </c>
      <c r="BN537" s="18" t="str">
        <f t="shared" si="250"/>
        <v>Baja fuente de proteína</v>
      </c>
      <c r="BO537" s="18" t="str">
        <f t="shared" si="251"/>
        <v>Baja fuente de fibra</v>
      </c>
      <c r="BP537" s="18" t="str">
        <f t="shared" si="252"/>
        <v>Alta fuente de calcio</v>
      </c>
      <c r="BQ537" s="18" t="str">
        <f t="shared" si="253"/>
        <v>Alta fuente de hierro</v>
      </c>
      <c r="BR537" s="18" t="str">
        <f t="shared" si="254"/>
        <v>Muy alto en sodio</v>
      </c>
      <c r="BS537" s="6" t="str">
        <f t="shared" si="245"/>
        <v>Proinflamatorio</v>
      </c>
      <c r="BT537" s="6" t="str">
        <f t="shared" si="246"/>
        <v>Bajo en grasas</v>
      </c>
      <c r="BU537" s="18" t="str">
        <f t="shared" si="255"/>
        <v>Alto riesgo de retención de líquidos</v>
      </c>
      <c r="BV537" s="18" t="str">
        <f t="shared" si="256"/>
        <v>Alta fuente de magnesio</v>
      </c>
      <c r="BW537" s="18" t="str">
        <f t="shared" si="257"/>
        <v>Sin aporte de Omega 3</v>
      </c>
      <c r="BX537" s="18" t="str">
        <f t="shared" si="258"/>
        <v>Libre de grasas trans</v>
      </c>
      <c r="BY537" s="18" t="str">
        <f t="shared" si="259"/>
        <v>Bajo poder antioxidante</v>
      </c>
      <c r="BZ537" s="6" t="str">
        <f t="shared" si="247"/>
        <v>Sin probióticos</v>
      </c>
      <c r="CA537" s="18" t="str">
        <f t="shared" si="260"/>
        <v>Poco inflamatorio</v>
      </c>
      <c r="CB537" s="18" t="str">
        <f>IF(ISNUMBER(SEARCH("miel", D537)), "No irritante (Uso condicionado SII)", IF(OR(J537&gt;0, ISNUMBER(SEARCH("cacao", D537)), ISNUMBER(SEARCH("chocolate puro", D537))), "Altamente irritante", IF(OR(AND(O537&gt;15, BI537&gt;1), ISNUMBER(SEARCH("chocolate", D537))), "Moderadamente irritante", "No irritante")))</f>
        <v>No irritante</v>
      </c>
      <c r="CC537" s="6" t="str">
        <f t="shared" si="248"/>
        <v>Sin Omega 3 para evaluar</v>
      </c>
    </row>
    <row r="538" spans="1:81" ht="15" customHeight="1" x14ac:dyDescent="0.3">
      <c r="A538" s="2">
        <f t="shared" si="249"/>
        <v>537</v>
      </c>
      <c r="B538" s="3" t="s">
        <v>686</v>
      </c>
      <c r="C538" s="3" t="s">
        <v>689</v>
      </c>
      <c r="D538" s="3" t="s">
        <v>702</v>
      </c>
      <c r="E538" s="3"/>
      <c r="F538" s="4">
        <v>1.5</v>
      </c>
      <c r="G538" s="5">
        <v>1</v>
      </c>
      <c r="H538" s="5">
        <v>43.2</v>
      </c>
      <c r="I538" s="5">
        <v>89.3</v>
      </c>
      <c r="J538" s="5">
        <v>0</v>
      </c>
      <c r="K538" s="5">
        <v>0</v>
      </c>
      <c r="L538" s="5">
        <v>10.8</v>
      </c>
      <c r="M538" s="5">
        <v>0</v>
      </c>
      <c r="N538" s="5">
        <v>10.8</v>
      </c>
      <c r="O538" s="5">
        <v>10.8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3</v>
      </c>
      <c r="AL538" s="5">
        <v>12</v>
      </c>
      <c r="AM538" s="5">
        <v>0.03</v>
      </c>
      <c r="AN538" s="5">
        <v>0</v>
      </c>
      <c r="AO538" s="5">
        <v>0.01</v>
      </c>
      <c r="AP538" s="5">
        <v>1</v>
      </c>
      <c r="AQ538" s="5">
        <v>4</v>
      </c>
      <c r="AR538" s="5">
        <v>1</v>
      </c>
      <c r="AS538" s="5">
        <v>1.7999999999999999E-2</v>
      </c>
      <c r="AT538" s="5">
        <v>1.0999999999999999E-2</v>
      </c>
      <c r="AU538" s="5">
        <v>0.1</v>
      </c>
      <c r="AV538" s="5">
        <f>IFERROR(VLOOKUP(IFERROR(VLOOKUP(D538,Mapa_Similitud!$A$2:$B$2000,2,FALSE()),D538),Hoja1!$A$2:$K$1000,2,FALSE()),IFERROR(VLOOKUP(IFERROR(VLOOKUP(D538,Mapa_Similitud!$A$2:$B$2000,2,FALSE()),D538),Omega3_Referencia!$A$2:$E$100,3,FALSE()),0))</f>
        <v>0</v>
      </c>
      <c r="AW538" s="3" t="str">
        <f>IFERROR(VLOOKUP(IFERROR(VLOOKUP(D538,Mapa_Similitud!$A$2:$B$2000,2,FALSE()),D538),Hoja1!$A$2:$K$1000,3,FALSE()),IFERROR(VLOOKUP(IFERROR(VLOOKUP(D538,Mapa_Similitud!$A$2:$B$2000,2,FALSE()),D538),Omega3_Referencia!$A$2:$E$100,4,FALSE()),"N/A"))</f>
        <v>N/A</v>
      </c>
      <c r="AX538" s="5">
        <f>IFERROR(VLOOKUP(IFERROR(VLOOKUP(D538,Mapa_Similitud!$A$2:$B$2000,2,FALSE()),D538),Hoja1!$A$2:$K$1000,5,FALSE()),0)</f>
        <v>0</v>
      </c>
      <c r="AY538" s="5">
        <f>IFERROR(VLOOKUP(IFERROR(VLOOKUP(D538,Mapa_Similitud!$A$2:$B$2000,2,FALSE()),D538),Hoja1!$A$2:$K$1000,7,FALSE()),0)</f>
        <v>0</v>
      </c>
      <c r="AZ538" s="5">
        <f>IFERROR(VLOOKUP(IFERROR(VLOOKUP(D538,Mapa_Similitud!$A$2:$B$2000,2,FALSE()),D538),Hoja1!$A$2:$K$1000,9,FALSE()),0)</f>
        <v>0</v>
      </c>
      <c r="BA538" s="25">
        <f t="shared" si="232"/>
        <v>0</v>
      </c>
      <c r="BB538" s="25">
        <f t="shared" si="233"/>
        <v>0</v>
      </c>
      <c r="BC538" s="25">
        <f t="shared" si="234"/>
        <v>6.9444444444444434E-2</v>
      </c>
      <c r="BD538" s="25">
        <f t="shared" si="235"/>
        <v>6.9444444444444436E-4</v>
      </c>
      <c r="BE538" s="25">
        <f t="shared" si="236"/>
        <v>9.2592592592592587E-2</v>
      </c>
      <c r="BF538" s="25">
        <f t="shared" si="237"/>
        <v>0</v>
      </c>
      <c r="BG538" s="25">
        <f t="shared" si="238"/>
        <v>0.25</v>
      </c>
      <c r="BH538" s="25">
        <f t="shared" si="239"/>
        <v>0</v>
      </c>
      <c r="BI538" s="25">
        <f t="shared" si="240"/>
        <v>4</v>
      </c>
      <c r="BJ538" s="25">
        <f t="shared" si="241"/>
        <v>1</v>
      </c>
      <c r="BK538" s="25">
        <f t="shared" si="242"/>
        <v>0</v>
      </c>
      <c r="BL538" s="25">
        <f t="shared" si="243"/>
        <v>0</v>
      </c>
      <c r="BM538" s="25">
        <f t="shared" si="244"/>
        <v>2.3148148148148147E-2</v>
      </c>
      <c r="BN538" s="18" t="str">
        <f t="shared" si="250"/>
        <v>Baja fuente de proteína</v>
      </c>
      <c r="BO538" s="18" t="str">
        <f t="shared" si="251"/>
        <v>Baja fuente de fibra</v>
      </c>
      <c r="BP538" s="18" t="str">
        <f t="shared" si="252"/>
        <v>Baja fuente de calcio</v>
      </c>
      <c r="BQ538" s="18" t="str">
        <f t="shared" si="253"/>
        <v>Baja fuente de hierro</v>
      </c>
      <c r="BR538" s="18" t="str">
        <f t="shared" si="254"/>
        <v>Bajo en sodio</v>
      </c>
      <c r="BS538" s="6" t="str">
        <f t="shared" si="245"/>
        <v>Proinflamatorio</v>
      </c>
      <c r="BT538" s="6" t="str">
        <f t="shared" si="246"/>
        <v>Bajo en grasas</v>
      </c>
      <c r="BU538" s="18" t="str">
        <f t="shared" si="255"/>
        <v>Alto riesgo de retención de líquidos</v>
      </c>
      <c r="BV538" s="18" t="str">
        <f t="shared" si="256"/>
        <v>Baja fuente de magnesio</v>
      </c>
      <c r="BW538" s="18" t="str">
        <f t="shared" si="257"/>
        <v>Sin aporte de Omega 3</v>
      </c>
      <c r="BX538" s="18" t="str">
        <f t="shared" si="258"/>
        <v>Libre de grasas trans</v>
      </c>
      <c r="BY538" s="18" t="str">
        <f t="shared" si="259"/>
        <v>Bajo poder antioxidante</v>
      </c>
      <c r="BZ538" s="6" t="str">
        <f t="shared" si="247"/>
        <v>Sin probióticos</v>
      </c>
      <c r="CA538" s="18" t="str">
        <f t="shared" si="260"/>
        <v>Moderadamente inflamatorio</v>
      </c>
      <c r="CB538" s="18" t="str">
        <f>IF(ISNUMBER(SEARCH("miel", D538)), "No irritante (Uso condicionado SII)", IF(OR(J538&gt;0, ISNUMBER(SEARCH("cacao", D538)), ISNUMBER(SEARCH("chocolate puro", D538))), "Altamente irritante", IF(OR(AND(O538&gt;15, BI538&gt;1), ISNUMBER(SEARCH("chocolate", D538))), "Moderadamente irritante", "No irritante")))</f>
        <v>No irritante</v>
      </c>
      <c r="CC538" s="6" t="str">
        <f t="shared" si="248"/>
        <v>Sin Omega 3 para evaluar</v>
      </c>
    </row>
    <row r="539" spans="1:81" ht="15" customHeight="1" x14ac:dyDescent="0.3">
      <c r="A539" s="2">
        <f t="shared" si="249"/>
        <v>538</v>
      </c>
      <c r="B539" s="3" t="s">
        <v>686</v>
      </c>
      <c r="C539" s="3" t="s">
        <v>689</v>
      </c>
      <c r="D539" s="3" t="s">
        <v>703</v>
      </c>
      <c r="E539" s="3"/>
      <c r="F539" s="4">
        <v>1.5</v>
      </c>
      <c r="G539" s="5">
        <v>1</v>
      </c>
      <c r="H539" s="5">
        <v>0.8</v>
      </c>
      <c r="I539" s="5">
        <v>99.8</v>
      </c>
      <c r="J539" s="5">
        <v>0</v>
      </c>
      <c r="K539" s="5">
        <v>0.1</v>
      </c>
      <c r="L539" s="5">
        <v>0.1</v>
      </c>
      <c r="M539" s="5">
        <v>0</v>
      </c>
      <c r="N539" s="5">
        <v>0.1</v>
      </c>
      <c r="O539" s="5">
        <v>0.1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5.0000000000000001E-3</v>
      </c>
      <c r="AC539" s="5">
        <v>2.3E-2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4</v>
      </c>
      <c r="AL539" s="5">
        <v>9</v>
      </c>
      <c r="AM539" s="5">
        <v>0.03</v>
      </c>
      <c r="AN539" s="5">
        <v>0</v>
      </c>
      <c r="AO539" s="5">
        <v>0.08</v>
      </c>
      <c r="AP539" s="5">
        <v>1</v>
      </c>
      <c r="AQ539" s="5">
        <v>6</v>
      </c>
      <c r="AR539" s="5">
        <v>0</v>
      </c>
      <c r="AS539" s="5">
        <v>3.5000000000000003E-2</v>
      </c>
      <c r="AT539" s="5">
        <v>1.0999999999999999E-2</v>
      </c>
      <c r="AU539" s="5">
        <v>0.1</v>
      </c>
      <c r="AV539" s="5">
        <f>IFERROR(VLOOKUP(IFERROR(VLOOKUP(D539,Mapa_Similitud!$A$2:$B$2000,2,FALSE()),D539),Hoja1!$A$2:$K$1000,2,FALSE()),IFERROR(VLOOKUP(IFERROR(VLOOKUP(D539,Mapa_Similitud!$A$2:$B$2000,2,FALSE()),D539),Omega3_Referencia!$A$2:$E$100,3,FALSE()),0))</f>
        <v>0</v>
      </c>
      <c r="AW539" s="3" t="str">
        <f>IFERROR(VLOOKUP(IFERROR(VLOOKUP(D539,Mapa_Similitud!$A$2:$B$2000,2,FALSE()),D539),Hoja1!$A$2:$K$1000,3,FALSE()),IFERROR(VLOOKUP(IFERROR(VLOOKUP(D539,Mapa_Similitud!$A$2:$B$2000,2,FALSE()),D539),Omega3_Referencia!$A$2:$E$100,4,FALSE()),"N/A"))</f>
        <v>N/A</v>
      </c>
      <c r="AX539" s="5">
        <f>IFERROR(VLOOKUP(IFERROR(VLOOKUP(D539,Mapa_Similitud!$A$2:$B$2000,2,FALSE()),D539),Hoja1!$A$2:$K$1000,5,FALSE()),0)</f>
        <v>0</v>
      </c>
      <c r="AY539" s="5">
        <f>IFERROR(VLOOKUP(IFERROR(VLOOKUP(D539,Mapa_Similitud!$A$2:$B$2000,2,FALSE()),D539),Hoja1!$A$2:$K$1000,7,FALSE()),0)</f>
        <v>0</v>
      </c>
      <c r="AZ539" s="5">
        <f>IFERROR(VLOOKUP(IFERROR(VLOOKUP(D539,Mapa_Similitud!$A$2:$B$2000,2,FALSE()),D539),Hoja1!$A$2:$K$1000,9,FALSE()),0)</f>
        <v>0</v>
      </c>
      <c r="BA539" s="25">
        <f t="shared" si="232"/>
        <v>0.125</v>
      </c>
      <c r="BB539" s="25">
        <f t="shared" si="233"/>
        <v>0</v>
      </c>
      <c r="BC539" s="25">
        <f t="shared" si="234"/>
        <v>5</v>
      </c>
      <c r="BD539" s="25">
        <f t="shared" si="235"/>
        <v>3.7499999999999999E-2</v>
      </c>
      <c r="BE539" s="25">
        <f t="shared" si="236"/>
        <v>7.5</v>
      </c>
      <c r="BF539" s="25">
        <f t="shared" si="237"/>
        <v>0</v>
      </c>
      <c r="BG539" s="25">
        <f t="shared" si="238"/>
        <v>0.44444444444444442</v>
      </c>
      <c r="BH539" s="25">
        <f t="shared" si="239"/>
        <v>0</v>
      </c>
      <c r="BI539" s="25">
        <f t="shared" si="240"/>
        <v>0</v>
      </c>
      <c r="BJ539" s="25">
        <f t="shared" si="241"/>
        <v>1</v>
      </c>
      <c r="BK539" s="25">
        <f t="shared" si="242"/>
        <v>0</v>
      </c>
      <c r="BL539" s="25">
        <f t="shared" si="243"/>
        <v>0</v>
      </c>
      <c r="BM539" s="25">
        <f t="shared" si="244"/>
        <v>1.25</v>
      </c>
      <c r="BN539" s="18" t="str">
        <f t="shared" si="250"/>
        <v>Media fuente de proteína</v>
      </c>
      <c r="BO539" s="18" t="str">
        <f t="shared" si="251"/>
        <v>Baja fuente de fibra</v>
      </c>
      <c r="BP539" s="18" t="str">
        <f t="shared" si="252"/>
        <v>Alta fuente de calcio</v>
      </c>
      <c r="BQ539" s="18" t="str">
        <f t="shared" si="253"/>
        <v>Alta fuente de hierro</v>
      </c>
      <c r="BR539" s="18" t="str">
        <f t="shared" si="254"/>
        <v>Muy alto en sodio</v>
      </c>
      <c r="BS539" s="6" t="str">
        <f t="shared" si="245"/>
        <v>Proinflamatorio</v>
      </c>
      <c r="BT539" s="6" t="str">
        <f t="shared" si="246"/>
        <v>Bajo en grasas</v>
      </c>
      <c r="BU539" s="18" t="str">
        <f t="shared" si="255"/>
        <v>Equilibrio de líquidos ideal</v>
      </c>
      <c r="BV539" s="18" t="str">
        <f t="shared" si="256"/>
        <v>Alta fuente de magnesio</v>
      </c>
      <c r="BW539" s="18" t="str">
        <f t="shared" si="257"/>
        <v>Sin aporte de Omega 3</v>
      </c>
      <c r="BX539" s="18" t="str">
        <f t="shared" si="258"/>
        <v>Libre de grasas trans</v>
      </c>
      <c r="BY539" s="18" t="str">
        <f t="shared" si="259"/>
        <v>Bajo poder antioxidante</v>
      </c>
      <c r="BZ539" s="6" t="str">
        <f t="shared" si="247"/>
        <v>Sin probióticos</v>
      </c>
      <c r="CA539" s="18" t="str">
        <f t="shared" si="260"/>
        <v>Poco inflamatorio</v>
      </c>
      <c r="CB539" s="18" t="str">
        <f>IF(ISNUMBER(SEARCH("miel", D539)), "No irritante (Uso condicionado SII)", IF(OR(J539&gt;0, ISNUMBER(SEARCH("cacao", D539)), ISNUMBER(SEARCH("chocolate puro", D539))), "Altamente irritante", IF(OR(AND(O539&gt;15, BI539&gt;1), ISNUMBER(SEARCH("chocolate", D539))), "Moderadamente irritante", "No irritante")))</f>
        <v>No irritante</v>
      </c>
      <c r="CC539" s="6" t="str">
        <f t="shared" si="248"/>
        <v>Sin Omega 3 para evaluar</v>
      </c>
    </row>
    <row r="540" spans="1:81" ht="15" customHeight="1" x14ac:dyDescent="0.3">
      <c r="A540" s="2">
        <f t="shared" si="249"/>
        <v>539</v>
      </c>
      <c r="B540" s="3" t="s">
        <v>686</v>
      </c>
      <c r="C540" s="3" t="s">
        <v>689</v>
      </c>
      <c r="D540" s="3" t="s">
        <v>704</v>
      </c>
      <c r="E540" s="3"/>
      <c r="F540" s="4">
        <v>1.5</v>
      </c>
      <c r="G540" s="5">
        <v>1</v>
      </c>
      <c r="H540" s="5">
        <v>45.6</v>
      </c>
      <c r="I540" s="5">
        <v>88.6</v>
      </c>
      <c r="J540" s="5">
        <v>0</v>
      </c>
      <c r="K540" s="5">
        <v>0</v>
      </c>
      <c r="L540" s="5">
        <v>11.4</v>
      </c>
      <c r="M540" s="5">
        <v>0</v>
      </c>
      <c r="N540" s="5">
        <v>11.4</v>
      </c>
      <c r="O540" s="5">
        <v>11.4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0.02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2</v>
      </c>
      <c r="AL540" s="5">
        <v>0</v>
      </c>
      <c r="AM540" s="5">
        <v>0.06</v>
      </c>
      <c r="AN540" s="5">
        <v>0</v>
      </c>
      <c r="AO540" s="5">
        <v>0</v>
      </c>
      <c r="AP540" s="5">
        <v>1</v>
      </c>
      <c r="AQ540" s="5">
        <v>5</v>
      </c>
      <c r="AR540" s="5">
        <v>1</v>
      </c>
      <c r="AS540" s="5">
        <v>1.2999999999999999E-2</v>
      </c>
      <c r="AT540" s="5">
        <v>1.4999999999999999E-2</v>
      </c>
      <c r="AU540" s="5">
        <v>0</v>
      </c>
      <c r="AV540" s="5">
        <f>IFERROR(VLOOKUP(IFERROR(VLOOKUP(D540,Mapa_Similitud!$A$2:$B$2000,2,FALSE()),D540),Hoja1!$A$2:$K$1000,2,FALSE()),IFERROR(VLOOKUP(IFERROR(VLOOKUP(D540,Mapa_Similitud!$A$2:$B$2000,2,FALSE()),D540),Omega3_Referencia!$A$2:$E$100,3,FALSE()),0))</f>
        <v>0</v>
      </c>
      <c r="AW540" s="3" t="str">
        <f>IFERROR(VLOOKUP(IFERROR(VLOOKUP(D540,Mapa_Similitud!$A$2:$B$2000,2,FALSE()),D540),Hoja1!$A$2:$K$1000,3,FALSE()),IFERROR(VLOOKUP(IFERROR(VLOOKUP(D540,Mapa_Similitud!$A$2:$B$2000,2,FALSE()),D540),Omega3_Referencia!$A$2:$E$100,4,FALSE()),"N/A"))</f>
        <v>N/A</v>
      </c>
      <c r="AX540" s="5">
        <f>IFERROR(VLOOKUP(IFERROR(VLOOKUP(D540,Mapa_Similitud!$A$2:$B$2000,2,FALSE()),D540),Hoja1!$A$2:$K$1000,5,FALSE()),0)</f>
        <v>0</v>
      </c>
      <c r="AY540" s="5">
        <f>IFERROR(VLOOKUP(IFERROR(VLOOKUP(D540,Mapa_Similitud!$A$2:$B$2000,2,FALSE()),D540),Hoja1!$A$2:$K$1000,7,FALSE()),0)</f>
        <v>0</v>
      </c>
      <c r="AZ540" s="5">
        <f>IFERROR(VLOOKUP(IFERROR(VLOOKUP(D540,Mapa_Similitud!$A$2:$B$2000,2,FALSE()),D540),Hoja1!$A$2:$K$1000,9,FALSE()),0)</f>
        <v>0</v>
      </c>
      <c r="BA540" s="25">
        <f t="shared" si="232"/>
        <v>0</v>
      </c>
      <c r="BB540" s="25">
        <f t="shared" si="233"/>
        <v>0</v>
      </c>
      <c r="BC540" s="25">
        <f t="shared" si="234"/>
        <v>4.3859649122807015E-2</v>
      </c>
      <c r="BD540" s="25">
        <f t="shared" si="235"/>
        <v>1.3157894736842105E-3</v>
      </c>
      <c r="BE540" s="25">
        <f t="shared" si="236"/>
        <v>0.10964912280701754</v>
      </c>
      <c r="BF540" s="25">
        <f t="shared" si="237"/>
        <v>0</v>
      </c>
      <c r="BG540" s="25">
        <f t="shared" si="238"/>
        <v>0</v>
      </c>
      <c r="BH540" s="25">
        <f t="shared" si="239"/>
        <v>0</v>
      </c>
      <c r="BI540" s="25">
        <f t="shared" si="240"/>
        <v>5</v>
      </c>
      <c r="BJ540" s="25">
        <f t="shared" si="241"/>
        <v>1</v>
      </c>
      <c r="BK540" s="25">
        <f t="shared" si="242"/>
        <v>0</v>
      </c>
      <c r="BL540" s="25">
        <f t="shared" si="243"/>
        <v>0</v>
      </c>
      <c r="BM540" s="25">
        <f t="shared" si="244"/>
        <v>2.1929824561403508E-2</v>
      </c>
      <c r="BN540" s="18" t="str">
        <f t="shared" si="250"/>
        <v>Baja fuente de proteína</v>
      </c>
      <c r="BO540" s="18" t="str">
        <f t="shared" si="251"/>
        <v>Baja fuente de fibra</v>
      </c>
      <c r="BP540" s="18" t="str">
        <f t="shared" si="252"/>
        <v>Baja fuente de calcio</v>
      </c>
      <c r="BQ540" s="18" t="str">
        <f t="shared" si="253"/>
        <v>Baja fuente de hierro</v>
      </c>
      <c r="BR540" s="18" t="str">
        <f t="shared" si="254"/>
        <v>Bajo en sodio</v>
      </c>
      <c r="BS540" s="6" t="str">
        <f t="shared" si="245"/>
        <v>Proinflamatorio</v>
      </c>
      <c r="BT540" s="6" t="str">
        <f t="shared" si="246"/>
        <v>Bajo en grasas</v>
      </c>
      <c r="BU540" s="18" t="str">
        <f t="shared" si="255"/>
        <v>Alto riesgo de retención de líquidos</v>
      </c>
      <c r="BV540" s="18" t="str">
        <f t="shared" si="256"/>
        <v>Baja fuente de magnesio</v>
      </c>
      <c r="BW540" s="18" t="str">
        <f t="shared" si="257"/>
        <v>Sin aporte de Omega 3</v>
      </c>
      <c r="BX540" s="18" t="str">
        <f t="shared" si="258"/>
        <v>Libre de grasas trans</v>
      </c>
      <c r="BY540" s="18" t="str">
        <f t="shared" si="259"/>
        <v>Bajo poder antioxidante</v>
      </c>
      <c r="BZ540" s="6" t="str">
        <f t="shared" si="247"/>
        <v>Sin probióticos</v>
      </c>
      <c r="CA540" s="18" t="str">
        <f t="shared" si="260"/>
        <v>Moderadamente inflamatorio</v>
      </c>
      <c r="CB540" s="18" t="str">
        <f>IF(ISNUMBER(SEARCH("miel", D540)), "No irritante (Uso condicionado SII)", IF(OR(J540&gt;0, ISNUMBER(SEARCH("cacao", D540)), ISNUMBER(SEARCH("chocolate puro", D540))), "Altamente irritante", IF(OR(AND(O540&gt;15, BI540&gt;1), ISNUMBER(SEARCH("chocolate", D540))), "Moderadamente irritante", "No irritante")))</f>
        <v>No irritante</v>
      </c>
      <c r="CC540" s="6" t="str">
        <f t="shared" si="248"/>
        <v>Sin Omega 3 para evaluar</v>
      </c>
    </row>
    <row r="541" spans="1:81" ht="15" customHeight="1" x14ac:dyDescent="0.3">
      <c r="A541" s="2">
        <f t="shared" si="249"/>
        <v>540</v>
      </c>
      <c r="B541" s="3" t="s">
        <v>686</v>
      </c>
      <c r="C541" s="3" t="s">
        <v>689</v>
      </c>
      <c r="D541" s="3" t="s">
        <v>705</v>
      </c>
      <c r="E541" s="3"/>
      <c r="F541" s="4">
        <v>1.5</v>
      </c>
      <c r="G541" s="5">
        <v>1</v>
      </c>
      <c r="H541" s="5">
        <v>42</v>
      </c>
      <c r="I541" s="5">
        <v>89.5</v>
      </c>
      <c r="J541" s="5">
        <v>0</v>
      </c>
      <c r="K541" s="5">
        <v>0</v>
      </c>
      <c r="L541" s="5">
        <v>10.5</v>
      </c>
      <c r="M541" s="5">
        <v>0</v>
      </c>
      <c r="N541" s="5">
        <v>10.5</v>
      </c>
      <c r="O541" s="5">
        <v>10.5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1</v>
      </c>
      <c r="AG541" s="5">
        <v>0</v>
      </c>
      <c r="AH541" s="5">
        <v>0</v>
      </c>
      <c r="AI541" s="5">
        <v>0</v>
      </c>
      <c r="AJ541" s="5">
        <v>1</v>
      </c>
      <c r="AK541" s="5">
        <v>1</v>
      </c>
      <c r="AL541" s="5">
        <v>0</v>
      </c>
      <c r="AM541" s="5">
        <v>0</v>
      </c>
      <c r="AN541" s="5">
        <v>0</v>
      </c>
      <c r="AO541" s="5">
        <v>0</v>
      </c>
      <c r="AP541" s="5">
        <v>1</v>
      </c>
      <c r="AQ541" s="5">
        <v>5</v>
      </c>
      <c r="AR541" s="5">
        <v>10</v>
      </c>
      <c r="AS541" s="5">
        <v>1.2999999999999999E-2</v>
      </c>
      <c r="AT541" s="5">
        <v>1.4999999999999999E-2</v>
      </c>
      <c r="AU541" s="5">
        <v>0</v>
      </c>
      <c r="AV541" s="5">
        <f>IFERROR(VLOOKUP(IFERROR(VLOOKUP(D541,Mapa_Similitud!$A$2:$B$2000,2,FALSE()),D541),Hoja1!$A$2:$K$1000,2,FALSE()),IFERROR(VLOOKUP(IFERROR(VLOOKUP(D541,Mapa_Similitud!$A$2:$B$2000,2,FALSE()),D541),Omega3_Referencia!$A$2:$E$100,3,FALSE()),0))</f>
        <v>0</v>
      </c>
      <c r="AW541" s="3" t="str">
        <f>IFERROR(VLOOKUP(IFERROR(VLOOKUP(D541,Mapa_Similitud!$A$2:$B$2000,2,FALSE()),D541),Hoja1!$A$2:$K$1000,3,FALSE()),IFERROR(VLOOKUP(IFERROR(VLOOKUP(D541,Mapa_Similitud!$A$2:$B$2000,2,FALSE()),D541),Omega3_Referencia!$A$2:$E$100,4,FALSE()),"N/A"))</f>
        <v>N/A</v>
      </c>
      <c r="AX541" s="5">
        <f>IFERROR(VLOOKUP(IFERROR(VLOOKUP(D541,Mapa_Similitud!$A$2:$B$2000,2,FALSE()),D541),Hoja1!$A$2:$K$1000,5,FALSE()),0)</f>
        <v>0</v>
      </c>
      <c r="AY541" s="5">
        <f>IFERROR(VLOOKUP(IFERROR(VLOOKUP(D541,Mapa_Similitud!$A$2:$B$2000,2,FALSE()),D541),Hoja1!$A$2:$K$1000,7,FALSE()),0)</f>
        <v>0</v>
      </c>
      <c r="AZ541" s="5">
        <f>IFERROR(VLOOKUP(IFERROR(VLOOKUP(D541,Mapa_Similitud!$A$2:$B$2000,2,FALSE()),D541),Hoja1!$A$2:$K$1000,9,FALSE()),0)</f>
        <v>0</v>
      </c>
      <c r="BA541" s="25">
        <f t="shared" si="232"/>
        <v>0</v>
      </c>
      <c r="BB541" s="25">
        <f t="shared" si="233"/>
        <v>0</v>
      </c>
      <c r="BC541" s="25">
        <f t="shared" si="234"/>
        <v>2.3809523809523808E-2</v>
      </c>
      <c r="BD541" s="25">
        <f t="shared" si="235"/>
        <v>0</v>
      </c>
      <c r="BE541" s="25">
        <f t="shared" si="236"/>
        <v>0.11904761904761904</v>
      </c>
      <c r="BF541" s="25">
        <f t="shared" si="237"/>
        <v>0</v>
      </c>
      <c r="BG541" s="25">
        <f t="shared" si="238"/>
        <v>0</v>
      </c>
      <c r="BH541" s="25">
        <f t="shared" si="239"/>
        <v>0</v>
      </c>
      <c r="BI541" s="25">
        <f t="shared" si="240"/>
        <v>0.5</v>
      </c>
      <c r="BJ541" s="25">
        <f t="shared" si="241"/>
        <v>1</v>
      </c>
      <c r="BK541" s="25">
        <f t="shared" si="242"/>
        <v>0</v>
      </c>
      <c r="BL541" s="25">
        <f t="shared" si="243"/>
        <v>0</v>
      </c>
      <c r="BM541" s="25">
        <f t="shared" si="244"/>
        <v>2.3809523809523808E-2</v>
      </c>
      <c r="BN541" s="18" t="str">
        <f t="shared" si="250"/>
        <v>Baja fuente de proteína</v>
      </c>
      <c r="BO541" s="18" t="str">
        <f t="shared" si="251"/>
        <v>Baja fuente de fibra</v>
      </c>
      <c r="BP541" s="18" t="str">
        <f t="shared" si="252"/>
        <v>Baja fuente de calcio</v>
      </c>
      <c r="BQ541" s="18" t="str">
        <f t="shared" si="253"/>
        <v>Baja fuente de hierro</v>
      </c>
      <c r="BR541" s="18" t="str">
        <f t="shared" si="254"/>
        <v>Bajo en sodio</v>
      </c>
      <c r="BS541" s="6" t="str">
        <f t="shared" si="245"/>
        <v>Proinflamatorio</v>
      </c>
      <c r="BT541" s="6" t="str">
        <f t="shared" si="246"/>
        <v>Bajo en grasas</v>
      </c>
      <c r="BU541" s="18" t="str">
        <f t="shared" si="255"/>
        <v>Equilibrio de líquidos ideal</v>
      </c>
      <c r="BV541" s="18" t="str">
        <f t="shared" si="256"/>
        <v>Baja fuente de magnesio</v>
      </c>
      <c r="BW541" s="18" t="str">
        <f t="shared" si="257"/>
        <v>Sin aporte de Omega 3</v>
      </c>
      <c r="BX541" s="18" t="str">
        <f t="shared" si="258"/>
        <v>Libre de grasas trans</v>
      </c>
      <c r="BY541" s="18" t="str">
        <f t="shared" si="259"/>
        <v>Bajo poder antioxidante</v>
      </c>
      <c r="BZ541" s="6" t="str">
        <f t="shared" si="247"/>
        <v>Sin probióticos</v>
      </c>
      <c r="CA541" s="18" t="str">
        <f t="shared" si="260"/>
        <v>Moderadamente inflamatorio</v>
      </c>
      <c r="CB541" s="18" t="str">
        <f>IF(ISNUMBER(SEARCH("miel", D541)), "No irritante (Uso condicionado SII)", IF(OR(J541&gt;0, ISNUMBER(SEARCH("cacao", D541)), ISNUMBER(SEARCH("chocolate puro", D541))), "Altamente irritante", IF(OR(AND(O541&gt;15, BI541&gt;1), ISNUMBER(SEARCH("chocolate", D541))), "Moderadamente irritante", "No irritante")))</f>
        <v>No irritante</v>
      </c>
      <c r="CC541" s="6" t="str">
        <f t="shared" si="248"/>
        <v>Sin Omega 3 para evaluar</v>
      </c>
    </row>
    <row r="542" spans="1:81" ht="15" customHeight="1" x14ac:dyDescent="0.3">
      <c r="A542" s="2">
        <f t="shared" si="249"/>
        <v>541</v>
      </c>
      <c r="B542" s="3" t="s">
        <v>686</v>
      </c>
      <c r="C542" s="3" t="s">
        <v>689</v>
      </c>
      <c r="D542" s="3" t="s">
        <v>706</v>
      </c>
      <c r="E542" s="3"/>
      <c r="F542" s="4">
        <v>1.5</v>
      </c>
      <c r="G542" s="5">
        <v>1</v>
      </c>
      <c r="H542" s="5">
        <v>35.200000000000003</v>
      </c>
      <c r="I542" s="5">
        <v>91.2</v>
      </c>
      <c r="J542" s="5">
        <v>0</v>
      </c>
      <c r="K542" s="5">
        <v>0</v>
      </c>
      <c r="L542" s="5">
        <v>8.8000000000000007</v>
      </c>
      <c r="M542" s="5">
        <v>0</v>
      </c>
      <c r="N542" s="5">
        <v>8.8000000000000007</v>
      </c>
      <c r="O542" s="5">
        <v>8.8000000000000007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1</v>
      </c>
      <c r="AL542" s="5">
        <v>0</v>
      </c>
      <c r="AM542" s="5">
        <v>0.01</v>
      </c>
      <c r="AN542" s="5">
        <v>0</v>
      </c>
      <c r="AO542" s="5">
        <v>0</v>
      </c>
      <c r="AP542" s="5">
        <v>0</v>
      </c>
      <c r="AQ542" s="5">
        <v>4</v>
      </c>
      <c r="AR542" s="5">
        <v>0</v>
      </c>
      <c r="AS542" s="5">
        <v>1E-3</v>
      </c>
      <c r="AT542" s="5">
        <v>6.0000000000000001E-3</v>
      </c>
      <c r="AU542" s="5">
        <v>0</v>
      </c>
      <c r="AV542" s="5">
        <f>IFERROR(VLOOKUP(IFERROR(VLOOKUP(D542,Mapa_Similitud!$A$2:$B$2000,2,FALSE()),D542),Hoja1!$A$2:$K$1000,2,FALSE()),IFERROR(VLOOKUP(IFERROR(VLOOKUP(D542,Mapa_Similitud!$A$2:$B$2000,2,FALSE()),D542),Omega3_Referencia!$A$2:$E$100,3,FALSE()),0))</f>
        <v>0</v>
      </c>
      <c r="AW542" s="3" t="str">
        <f>IFERROR(VLOOKUP(IFERROR(VLOOKUP(D542,Mapa_Similitud!$A$2:$B$2000,2,FALSE()),D542),Hoja1!$A$2:$K$1000,3,FALSE()),IFERROR(VLOOKUP(IFERROR(VLOOKUP(D542,Mapa_Similitud!$A$2:$B$2000,2,FALSE()),D542),Omega3_Referencia!$A$2:$E$100,4,FALSE()),"N/A"))</f>
        <v>N/A</v>
      </c>
      <c r="AX542" s="5">
        <f>IFERROR(VLOOKUP(IFERROR(VLOOKUP(D542,Mapa_Similitud!$A$2:$B$2000,2,FALSE()),D542),Hoja1!$A$2:$K$1000,5,FALSE()),0)</f>
        <v>0</v>
      </c>
      <c r="AY542" s="5">
        <f>IFERROR(VLOOKUP(IFERROR(VLOOKUP(D542,Mapa_Similitud!$A$2:$B$2000,2,FALSE()),D542),Hoja1!$A$2:$K$1000,7,FALSE()),0)</f>
        <v>0</v>
      </c>
      <c r="AZ542" s="5">
        <f>IFERROR(VLOOKUP(IFERROR(VLOOKUP(D542,Mapa_Similitud!$A$2:$B$2000,2,FALSE()),D542),Hoja1!$A$2:$K$1000,9,FALSE()),0)</f>
        <v>0</v>
      </c>
      <c r="BA542" s="25">
        <f t="shared" si="232"/>
        <v>0</v>
      </c>
      <c r="BB542" s="25">
        <f t="shared" si="233"/>
        <v>0</v>
      </c>
      <c r="BC542" s="25">
        <f t="shared" si="234"/>
        <v>2.8409090909090908E-2</v>
      </c>
      <c r="BD542" s="25">
        <f t="shared" si="235"/>
        <v>2.8409090909090908E-4</v>
      </c>
      <c r="BE542" s="25">
        <f t="shared" si="236"/>
        <v>0.11363636363636363</v>
      </c>
      <c r="BF542" s="25">
        <f t="shared" si="237"/>
        <v>0</v>
      </c>
      <c r="BG542" s="25">
        <f t="shared" si="238"/>
        <v>0</v>
      </c>
      <c r="BH542" s="25">
        <f t="shared" si="239"/>
        <v>0</v>
      </c>
      <c r="BI542" s="25">
        <f t="shared" si="240"/>
        <v>0</v>
      </c>
      <c r="BJ542" s="25">
        <f t="shared" si="241"/>
        <v>1</v>
      </c>
      <c r="BK542" s="25">
        <f t="shared" si="242"/>
        <v>0</v>
      </c>
      <c r="BL542" s="25">
        <f t="shared" si="243"/>
        <v>0</v>
      </c>
      <c r="BM542" s="25">
        <f t="shared" si="244"/>
        <v>0</v>
      </c>
      <c r="BN542" s="18" t="str">
        <f t="shared" si="250"/>
        <v>Baja fuente de proteína</v>
      </c>
      <c r="BO542" s="18" t="str">
        <f t="shared" si="251"/>
        <v>Baja fuente de fibra</v>
      </c>
      <c r="BP542" s="18" t="str">
        <f t="shared" si="252"/>
        <v>Baja fuente de calcio</v>
      </c>
      <c r="BQ542" s="18" t="str">
        <f t="shared" si="253"/>
        <v>Baja fuente de hierro</v>
      </c>
      <c r="BR542" s="18" t="str">
        <f t="shared" si="254"/>
        <v>Bajo en sodio</v>
      </c>
      <c r="BS542" s="6" t="str">
        <f t="shared" si="245"/>
        <v>Proinflamatorio</v>
      </c>
      <c r="BT542" s="6" t="str">
        <f t="shared" si="246"/>
        <v>Bajo en grasas</v>
      </c>
      <c r="BU542" s="18" t="str">
        <f t="shared" si="255"/>
        <v>Equilibrio de líquidos ideal</v>
      </c>
      <c r="BV542" s="18" t="str">
        <f t="shared" si="256"/>
        <v>Baja fuente de magnesio</v>
      </c>
      <c r="BW542" s="18" t="str">
        <f t="shared" si="257"/>
        <v>Sin aporte de Omega 3</v>
      </c>
      <c r="BX542" s="18" t="str">
        <f t="shared" si="258"/>
        <v>Libre de grasas trans</v>
      </c>
      <c r="BY542" s="18" t="str">
        <f t="shared" si="259"/>
        <v>Bajo poder antioxidante</v>
      </c>
      <c r="BZ542" s="6" t="str">
        <f t="shared" si="247"/>
        <v>Sin probióticos</v>
      </c>
      <c r="CA542" s="18" t="str">
        <f t="shared" si="260"/>
        <v>Moderadamente inflamatorio</v>
      </c>
      <c r="CB542" s="18" t="str">
        <f>IF(ISNUMBER(SEARCH("miel", D542)), "No irritante (Uso condicionado SII)", IF(OR(J542&gt;0, ISNUMBER(SEARCH("cacao", D542)), ISNUMBER(SEARCH("chocolate puro", D542))), "Altamente irritante", IF(OR(AND(O542&gt;15, BI542&gt;1), ISNUMBER(SEARCH("chocolate", D542))), "Moderadamente irritante", "No irritante")))</f>
        <v>No irritante</v>
      </c>
      <c r="CC542" s="6" t="str">
        <f t="shared" si="248"/>
        <v>Sin Omega 3 para evaluar</v>
      </c>
    </row>
    <row r="543" spans="1:81" ht="15" customHeight="1" x14ac:dyDescent="0.3">
      <c r="A543" s="2">
        <f t="shared" si="249"/>
        <v>542</v>
      </c>
      <c r="B543" s="3" t="s">
        <v>686</v>
      </c>
      <c r="C543" s="3" t="s">
        <v>689</v>
      </c>
      <c r="D543" s="3" t="s">
        <v>707</v>
      </c>
      <c r="E543" s="3"/>
      <c r="F543" s="4">
        <v>1.5</v>
      </c>
      <c r="G543" s="5">
        <v>1</v>
      </c>
      <c r="H543" s="5">
        <v>36.799999999999997</v>
      </c>
      <c r="I543" s="5">
        <v>90.8</v>
      </c>
      <c r="J543" s="5">
        <v>0</v>
      </c>
      <c r="K543" s="5">
        <v>0</v>
      </c>
      <c r="L543" s="5">
        <v>9.1999999999999993</v>
      </c>
      <c r="M543" s="5">
        <v>0</v>
      </c>
      <c r="N543" s="5">
        <v>9.1999999999999993</v>
      </c>
      <c r="O543" s="5">
        <v>9.1999999999999993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0.01</v>
      </c>
      <c r="AA543" s="5">
        <v>0</v>
      </c>
      <c r="AB543" s="5">
        <v>0.01</v>
      </c>
      <c r="AC543" s="5">
        <v>0.02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3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3</v>
      </c>
      <c r="AR543" s="5">
        <v>0</v>
      </c>
      <c r="AS543" s="5">
        <v>1E-3</v>
      </c>
      <c r="AT543" s="5">
        <v>6.0000000000000001E-3</v>
      </c>
      <c r="AU543" s="5">
        <v>0</v>
      </c>
      <c r="AV543" s="5">
        <f>IFERROR(VLOOKUP(IFERROR(VLOOKUP(D543,Mapa_Similitud!$A$2:$B$2000,2,FALSE()),D543),Hoja1!$A$2:$K$1000,2,FALSE()),IFERROR(VLOOKUP(IFERROR(VLOOKUP(D543,Mapa_Similitud!$A$2:$B$2000,2,FALSE()),D543),Omega3_Referencia!$A$2:$E$100,3,FALSE()),0))</f>
        <v>0</v>
      </c>
      <c r="AW543" s="3" t="str">
        <f>IFERROR(VLOOKUP(IFERROR(VLOOKUP(D543,Mapa_Similitud!$A$2:$B$2000,2,FALSE()),D543),Hoja1!$A$2:$K$1000,3,FALSE()),IFERROR(VLOOKUP(IFERROR(VLOOKUP(D543,Mapa_Similitud!$A$2:$B$2000,2,FALSE()),D543),Omega3_Referencia!$A$2:$E$100,4,FALSE()),"N/A"))</f>
        <v>N/A</v>
      </c>
      <c r="AX543" s="5">
        <f>IFERROR(VLOOKUP(IFERROR(VLOOKUP(D543,Mapa_Similitud!$A$2:$B$2000,2,FALSE()),D543),Hoja1!$A$2:$K$1000,5,FALSE()),0)</f>
        <v>0</v>
      </c>
      <c r="AY543" s="5">
        <f>IFERROR(VLOOKUP(IFERROR(VLOOKUP(D543,Mapa_Similitud!$A$2:$B$2000,2,FALSE()),D543),Hoja1!$A$2:$K$1000,7,FALSE()),0)</f>
        <v>0</v>
      </c>
      <c r="AZ543" s="5">
        <f>IFERROR(VLOOKUP(IFERROR(VLOOKUP(D543,Mapa_Similitud!$A$2:$B$2000,2,FALSE()),D543),Hoja1!$A$2:$K$1000,9,FALSE()),0)</f>
        <v>0</v>
      </c>
      <c r="BA543" s="25">
        <f t="shared" si="232"/>
        <v>0</v>
      </c>
      <c r="BB543" s="25">
        <f t="shared" si="233"/>
        <v>0</v>
      </c>
      <c r="BC543" s="25">
        <f t="shared" si="234"/>
        <v>8.1521739130434784E-2</v>
      </c>
      <c r="BD543" s="25">
        <f t="shared" si="235"/>
        <v>0</v>
      </c>
      <c r="BE543" s="25">
        <f t="shared" si="236"/>
        <v>8.1521739130434784E-2</v>
      </c>
      <c r="BF543" s="25">
        <f t="shared" si="237"/>
        <v>0</v>
      </c>
      <c r="BG543" s="25">
        <f t="shared" si="238"/>
        <v>0</v>
      </c>
      <c r="BH543" s="25">
        <f t="shared" si="239"/>
        <v>0</v>
      </c>
      <c r="BI543" s="25">
        <f t="shared" si="240"/>
        <v>0</v>
      </c>
      <c r="BJ543" s="25">
        <f t="shared" si="241"/>
        <v>1</v>
      </c>
      <c r="BK543" s="25">
        <f t="shared" si="242"/>
        <v>0</v>
      </c>
      <c r="BL543" s="25">
        <f t="shared" si="243"/>
        <v>0</v>
      </c>
      <c r="BM543" s="25">
        <f t="shared" si="244"/>
        <v>0</v>
      </c>
      <c r="BN543" s="18" t="str">
        <f t="shared" si="250"/>
        <v>Baja fuente de proteína</v>
      </c>
      <c r="BO543" s="18" t="str">
        <f t="shared" si="251"/>
        <v>Baja fuente de fibra</v>
      </c>
      <c r="BP543" s="18" t="str">
        <f t="shared" si="252"/>
        <v>Baja fuente de calcio</v>
      </c>
      <c r="BQ543" s="18" t="str">
        <f t="shared" si="253"/>
        <v>Baja fuente de hierro</v>
      </c>
      <c r="BR543" s="18" t="str">
        <f t="shared" si="254"/>
        <v>Bajo en sodio</v>
      </c>
      <c r="BS543" s="6" t="str">
        <f t="shared" si="245"/>
        <v>Proinflamatorio</v>
      </c>
      <c r="BT543" s="6" t="str">
        <f t="shared" si="246"/>
        <v>Bajo en grasas</v>
      </c>
      <c r="BU543" s="18" t="str">
        <f t="shared" si="255"/>
        <v>Equilibrio de líquidos ideal</v>
      </c>
      <c r="BV543" s="18" t="str">
        <f t="shared" si="256"/>
        <v>Baja fuente de magnesio</v>
      </c>
      <c r="BW543" s="18" t="str">
        <f t="shared" si="257"/>
        <v>Sin aporte de Omega 3</v>
      </c>
      <c r="BX543" s="18" t="str">
        <f t="shared" si="258"/>
        <v>Libre de grasas trans</v>
      </c>
      <c r="BY543" s="18" t="str">
        <f t="shared" si="259"/>
        <v>Bajo poder antioxidante</v>
      </c>
      <c r="BZ543" s="6" t="str">
        <f t="shared" si="247"/>
        <v>Sin probióticos</v>
      </c>
      <c r="CA543" s="18" t="str">
        <f t="shared" si="260"/>
        <v>Moderadamente inflamatorio</v>
      </c>
      <c r="CB543" s="18" t="str">
        <f>IF(ISNUMBER(SEARCH("miel", D543)), "No irritante (Uso condicionado SII)", IF(OR(J543&gt;0, ISNUMBER(SEARCH("cacao", D543)), ISNUMBER(SEARCH("chocolate puro", D543))), "Altamente irritante", IF(OR(AND(O543&gt;15, BI543&gt;1), ISNUMBER(SEARCH("chocolate", D543))), "Moderadamente irritante", "No irritante")))</f>
        <v>No irritante</v>
      </c>
      <c r="CC543" s="6" t="str">
        <f t="shared" si="248"/>
        <v>Sin Omega 3 para evaluar</v>
      </c>
    </row>
    <row r="544" spans="1:81" ht="15" customHeight="1" x14ac:dyDescent="0.3">
      <c r="A544" s="2">
        <f t="shared" si="249"/>
        <v>543</v>
      </c>
      <c r="B544" s="3" t="s">
        <v>686</v>
      </c>
      <c r="C544" s="3" t="s">
        <v>708</v>
      </c>
      <c r="D544" s="3" t="s">
        <v>709</v>
      </c>
      <c r="E544" s="3"/>
      <c r="F544" s="4">
        <v>1.5</v>
      </c>
      <c r="G544" s="5">
        <v>1</v>
      </c>
      <c r="H544" s="5">
        <v>10.6</v>
      </c>
      <c r="I544" s="5">
        <v>95.2</v>
      </c>
      <c r="J544" s="5">
        <v>0</v>
      </c>
      <c r="K544" s="5">
        <v>0.5</v>
      </c>
      <c r="L544" s="5">
        <v>2.4</v>
      </c>
      <c r="M544" s="5">
        <v>0</v>
      </c>
      <c r="N544" s="5">
        <v>2.4</v>
      </c>
      <c r="O544" s="5">
        <v>0</v>
      </c>
      <c r="P544" s="5">
        <v>1.3</v>
      </c>
      <c r="Q544" s="5">
        <v>0.6</v>
      </c>
      <c r="R544" s="5">
        <v>0.2</v>
      </c>
      <c r="S544" s="5">
        <v>0</v>
      </c>
      <c r="T544" s="5">
        <v>0.3</v>
      </c>
      <c r="U544" s="5">
        <v>0</v>
      </c>
      <c r="V544" s="5">
        <v>20</v>
      </c>
      <c r="W544" s="5">
        <v>0</v>
      </c>
      <c r="X544" s="5">
        <v>120</v>
      </c>
      <c r="Y544" s="5">
        <v>0</v>
      </c>
      <c r="Z544" s="5">
        <v>0.1</v>
      </c>
      <c r="AA544" s="5">
        <v>10</v>
      </c>
      <c r="AB544" s="5">
        <v>5.8000000000000003E-2</v>
      </c>
      <c r="AC544" s="5">
        <v>3.4000000000000002E-2</v>
      </c>
      <c r="AD544" s="5">
        <v>0.3</v>
      </c>
      <c r="AE544" s="5">
        <v>0.01</v>
      </c>
      <c r="AF544" s="5">
        <v>14</v>
      </c>
      <c r="AG544" s="5">
        <v>0</v>
      </c>
      <c r="AH544" s="5">
        <v>0.42</v>
      </c>
      <c r="AI544" s="5">
        <v>4.8</v>
      </c>
      <c r="AJ544" s="5">
        <v>5</v>
      </c>
      <c r="AK544" s="5">
        <v>21</v>
      </c>
      <c r="AL544" s="5">
        <v>26</v>
      </c>
      <c r="AM544" s="5">
        <v>0.4</v>
      </c>
      <c r="AN544" s="5">
        <v>3</v>
      </c>
      <c r="AO544" s="5">
        <v>0.2</v>
      </c>
      <c r="AP544" s="5">
        <v>6</v>
      </c>
      <c r="AQ544" s="5">
        <v>4.3</v>
      </c>
      <c r="AR544" s="5">
        <v>170</v>
      </c>
      <c r="AS544" s="5">
        <v>0.3</v>
      </c>
      <c r="AT544" s="5">
        <v>0.05</v>
      </c>
      <c r="AU544" s="5">
        <v>0.1</v>
      </c>
      <c r="AV544" s="5">
        <f>IFERROR(VLOOKUP(IFERROR(VLOOKUP(D544,Mapa_Similitud!$A$2:$B$2000,2,FALSE()),D544),Hoja1!$A$2:$K$1000,2,FALSE()),IFERROR(VLOOKUP(IFERROR(VLOOKUP(D544,Mapa_Similitud!$A$2:$B$2000,2,FALSE()),D544),Omega3_Referencia!$A$2:$E$100,3,FALSE()),0))</f>
        <v>0</v>
      </c>
      <c r="AW544" s="3" t="str">
        <f>IFERROR(VLOOKUP(IFERROR(VLOOKUP(D544,Mapa_Similitud!$A$2:$B$2000,2,FALSE()),D544),Hoja1!$A$2:$K$1000,3,FALSE()),IFERROR(VLOOKUP(IFERROR(VLOOKUP(D544,Mapa_Similitud!$A$2:$B$2000,2,FALSE()),D544),Omega3_Referencia!$A$2:$E$100,4,FALSE()),"N/A"))</f>
        <v>N/A</v>
      </c>
      <c r="AX544" s="5">
        <f>IFERROR(VLOOKUP(IFERROR(VLOOKUP(D544,Mapa_Similitud!$A$2:$B$2000,2,FALSE()),D544),Hoja1!$A$2:$K$1000,5,FALSE()),0)</f>
        <v>0</v>
      </c>
      <c r="AY544" s="5">
        <f>IFERROR(VLOOKUP(IFERROR(VLOOKUP(D544,Mapa_Similitud!$A$2:$B$2000,2,FALSE()),D544),Hoja1!$A$2:$K$1000,7,FALSE()),0)</f>
        <v>200</v>
      </c>
      <c r="AZ544" s="5">
        <f>IFERROR(VLOOKUP(IFERROR(VLOOKUP(D544,Mapa_Similitud!$A$2:$B$2000,2,FALSE()),D544),Hoja1!$A$2:$K$1000,9,FALSE()),0)</f>
        <v>0</v>
      </c>
      <c r="BA544" s="25">
        <f t="shared" si="232"/>
        <v>4.716981132075472E-2</v>
      </c>
      <c r="BB544" s="25">
        <f t="shared" si="233"/>
        <v>0.12264150943396228</v>
      </c>
      <c r="BC544" s="25">
        <f t="shared" si="234"/>
        <v>1.9811320754716981</v>
      </c>
      <c r="BD544" s="25">
        <f t="shared" si="235"/>
        <v>3.7735849056603779E-2</v>
      </c>
      <c r="BE544" s="25">
        <f t="shared" si="236"/>
        <v>0.40566037735849059</v>
      </c>
      <c r="BF544" s="25">
        <f t="shared" si="237"/>
        <v>1.4999999999999998</v>
      </c>
      <c r="BG544" s="25">
        <f t="shared" si="238"/>
        <v>0.80769230769230771</v>
      </c>
      <c r="BH544" s="25">
        <f t="shared" si="239"/>
        <v>0.33333333333333337</v>
      </c>
      <c r="BI544" s="25">
        <f t="shared" si="240"/>
        <v>2.5294117647058821E-2</v>
      </c>
      <c r="BJ544" s="25">
        <f t="shared" si="241"/>
        <v>1</v>
      </c>
      <c r="BK544" s="25">
        <f t="shared" si="242"/>
        <v>0.54166666666666674</v>
      </c>
      <c r="BL544" s="25">
        <f t="shared" si="243"/>
        <v>0.50943396226415094</v>
      </c>
      <c r="BM544" s="25">
        <f t="shared" si="244"/>
        <v>0.56603773584905659</v>
      </c>
      <c r="BN544" s="18" t="str">
        <f t="shared" si="250"/>
        <v>Baja fuente de proteína</v>
      </c>
      <c r="BO544" s="18" t="str">
        <f t="shared" si="251"/>
        <v>Alta fuente de fibra</v>
      </c>
      <c r="BP544" s="18" t="str">
        <f t="shared" si="252"/>
        <v>Alta fuente de calcio</v>
      </c>
      <c r="BQ544" s="18" t="str">
        <f t="shared" si="253"/>
        <v>Alta fuente de hierro</v>
      </c>
      <c r="BR544" s="18" t="str">
        <f t="shared" si="254"/>
        <v>Bajo en sodio</v>
      </c>
      <c r="BS544" s="6" t="str">
        <f t="shared" si="245"/>
        <v>Ligeramente antiinflamatorio</v>
      </c>
      <c r="BT544" s="6" t="str">
        <f t="shared" si="246"/>
        <v>Muy alto en grasas</v>
      </c>
      <c r="BU544" s="18" t="str">
        <f t="shared" si="255"/>
        <v>Equilibrio de líquidos ideal</v>
      </c>
      <c r="BV544" s="18" t="str">
        <f t="shared" si="256"/>
        <v>Alta fuente de magnesio</v>
      </c>
      <c r="BW544" s="18" t="str">
        <f t="shared" si="257"/>
        <v>Sin aporte de Omega 3</v>
      </c>
      <c r="BX544" s="18" t="str">
        <f t="shared" si="258"/>
        <v>Libre de grasas trans</v>
      </c>
      <c r="BY544" s="18" t="str">
        <f t="shared" si="259"/>
        <v>Alto poder antioxidante</v>
      </c>
      <c r="BZ544" s="6" t="str">
        <f t="shared" si="247"/>
        <v>Sin probióticos</v>
      </c>
      <c r="CA544" s="18" t="str">
        <f t="shared" si="260"/>
        <v>Antiinflamatorio</v>
      </c>
      <c r="CB544" s="18" t="str">
        <f>IF(ISNUMBER(SEARCH("miel", D544)), "No irritante (Uso condicionado SII)", IF(OR(J544&gt;0, ISNUMBER(SEARCH("cacao", D544)), ISNUMBER(SEARCH("chocolate puro", D544))), "Altamente irritante", IF(OR(AND(O544&gt;15, BI544&gt;1), ISNUMBER(SEARCH("chocolate", D544))), "Moderadamente irritante", "No irritante")))</f>
        <v>No irritante</v>
      </c>
      <c r="CC544" s="6" t="str">
        <f t="shared" si="248"/>
        <v>Sin Omega 3 para evaluar</v>
      </c>
    </row>
    <row r="545" spans="1:81" ht="15" customHeight="1" x14ac:dyDescent="0.3">
      <c r="A545" s="2">
        <f t="shared" si="249"/>
        <v>544</v>
      </c>
      <c r="B545" s="3" t="s">
        <v>686</v>
      </c>
      <c r="C545" s="3" t="s">
        <v>708</v>
      </c>
      <c r="D545" s="3" t="s">
        <v>710</v>
      </c>
      <c r="E545" s="3"/>
      <c r="F545" s="4">
        <v>1.5</v>
      </c>
      <c r="G545" s="5">
        <v>1</v>
      </c>
      <c r="H545" s="5">
        <v>396</v>
      </c>
      <c r="I545" s="5">
        <v>13.3</v>
      </c>
      <c r="J545" s="5">
        <v>0</v>
      </c>
      <c r="K545" s="5">
        <v>10.6</v>
      </c>
      <c r="L545" s="5">
        <v>60.8</v>
      </c>
      <c r="M545" s="5">
        <v>10.1</v>
      </c>
      <c r="N545" s="5">
        <v>50.7</v>
      </c>
      <c r="O545" s="5">
        <v>44</v>
      </c>
      <c r="P545" s="5">
        <v>3.9</v>
      </c>
      <c r="Q545" s="5">
        <v>11.4</v>
      </c>
      <c r="R545" s="5">
        <v>7</v>
      </c>
      <c r="S545" s="5">
        <v>3.3</v>
      </c>
      <c r="T545" s="5">
        <v>0.5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317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400</v>
      </c>
      <c r="AR545" s="5">
        <v>0</v>
      </c>
      <c r="AS545" s="5">
        <v>0</v>
      </c>
      <c r="AT545" s="5">
        <v>0</v>
      </c>
      <c r="AU545" s="5">
        <v>0</v>
      </c>
      <c r="AV545" s="5">
        <f>IFERROR(VLOOKUP(IFERROR(VLOOKUP(D545,Mapa_Similitud!$A$2:$B$2000,2,FALSE()),D545),Hoja1!$A$2:$K$1000,2,FALSE()),IFERROR(VLOOKUP(IFERROR(VLOOKUP(D545,Mapa_Similitud!$A$2:$B$2000,2,FALSE()),D545),Omega3_Referencia!$A$2:$E$100,3,FALSE()),0))</f>
        <v>0</v>
      </c>
      <c r="AW545" s="3" t="str">
        <f>IFERROR(VLOOKUP(IFERROR(VLOOKUP(D545,Mapa_Similitud!$A$2:$B$2000,2,FALSE()),D545),Hoja1!$A$2:$K$1000,3,FALSE()),IFERROR(VLOOKUP(IFERROR(VLOOKUP(D545,Mapa_Similitud!$A$2:$B$2000,2,FALSE()),D545),Omega3_Referencia!$A$2:$E$100,4,FALSE()),"N/A"))</f>
        <v>N/A</v>
      </c>
      <c r="AX545" s="5">
        <f>IFERROR(VLOOKUP(IFERROR(VLOOKUP(D545,Mapa_Similitud!$A$2:$B$2000,2,FALSE()),D545),Hoja1!$A$2:$K$1000,5,FALSE()),0)</f>
        <v>0</v>
      </c>
      <c r="AY545" s="5">
        <f>IFERROR(VLOOKUP(IFERROR(VLOOKUP(D545,Mapa_Similitud!$A$2:$B$2000,2,FALSE()),D545),Hoja1!$A$2:$K$1000,7,FALSE()),0)</f>
        <v>0</v>
      </c>
      <c r="AZ545" s="5">
        <f>IFERROR(VLOOKUP(IFERROR(VLOOKUP(D545,Mapa_Similitud!$A$2:$B$2000,2,FALSE()),D545),Hoja1!$A$2:$K$1000,9,FALSE()),0)</f>
        <v>0</v>
      </c>
      <c r="BA545" s="25">
        <f t="shared" si="232"/>
        <v>2.6767676767676767E-2</v>
      </c>
      <c r="BB545" s="25">
        <f t="shared" si="233"/>
        <v>9.8484848484848477E-3</v>
      </c>
      <c r="BC545" s="25">
        <f t="shared" si="234"/>
        <v>0.8005050505050505</v>
      </c>
      <c r="BD545" s="25">
        <f t="shared" si="235"/>
        <v>0</v>
      </c>
      <c r="BE545" s="25">
        <f t="shared" si="236"/>
        <v>1.0101010101010102</v>
      </c>
      <c r="BF545" s="25">
        <f t="shared" si="237"/>
        <v>7.1428571428571425E-2</v>
      </c>
      <c r="BG545" s="25">
        <f t="shared" si="238"/>
        <v>0</v>
      </c>
      <c r="BH545" s="25">
        <f t="shared" si="239"/>
        <v>0.61403508771929827</v>
      </c>
      <c r="BI545" s="25">
        <f t="shared" si="240"/>
        <v>0</v>
      </c>
      <c r="BJ545" s="25">
        <f t="shared" si="241"/>
        <v>0.83388157894736847</v>
      </c>
      <c r="BK545" s="25">
        <f t="shared" si="242"/>
        <v>6.4144736842105268E-2</v>
      </c>
      <c r="BL545" s="25">
        <f t="shared" si="243"/>
        <v>0.25909090909090909</v>
      </c>
      <c r="BM545" s="25">
        <f t="shared" si="244"/>
        <v>0</v>
      </c>
      <c r="BN545" s="18" t="str">
        <f t="shared" si="250"/>
        <v>Baja fuente de proteína</v>
      </c>
      <c r="BO545" s="18" t="str">
        <f t="shared" si="251"/>
        <v>Baja fuente de fibra</v>
      </c>
      <c r="BP545" s="18" t="str">
        <f t="shared" si="252"/>
        <v>Media fuente de calcio</v>
      </c>
      <c r="BQ545" s="18" t="str">
        <f t="shared" si="253"/>
        <v>Baja fuente de hierro</v>
      </c>
      <c r="BR545" s="18" t="str">
        <f t="shared" si="254"/>
        <v>Alto en sodio</v>
      </c>
      <c r="BS545" s="6" t="str">
        <f t="shared" si="245"/>
        <v>Proinflamatorio</v>
      </c>
      <c r="BT545" s="6" t="str">
        <f t="shared" si="246"/>
        <v>Moderado en grasas</v>
      </c>
      <c r="BU545" s="18" t="str">
        <f t="shared" si="255"/>
        <v>Equilibrio de líquidos ideal</v>
      </c>
      <c r="BV545" s="18" t="str">
        <f t="shared" si="256"/>
        <v>Baja fuente de magnesio</v>
      </c>
      <c r="BW545" s="18" t="str">
        <f t="shared" si="257"/>
        <v>Sin aporte de Omega 3</v>
      </c>
      <c r="BX545" s="18" t="str">
        <f t="shared" si="258"/>
        <v>Libre de grasas trans</v>
      </c>
      <c r="BY545" s="18" t="str">
        <f t="shared" si="259"/>
        <v>Bajo poder antioxidante</v>
      </c>
      <c r="BZ545" s="6" t="str">
        <f t="shared" si="247"/>
        <v>Sin probióticos</v>
      </c>
      <c r="CA545" s="18" t="str">
        <f t="shared" si="260"/>
        <v>Altamente inflamatorio</v>
      </c>
      <c r="CB545" s="18" t="str">
        <f>IF(ISNUMBER(SEARCH("miel", D545)), "No irritante (Uso condicionado SII)", IF(OR(J545&gt;0, ISNUMBER(SEARCH("cacao", D545)), ISNUMBER(SEARCH("chocolate puro", D545))), "Altamente irritante", IF(OR(AND(O545&gt;15, BI545&gt;1), ISNUMBER(SEARCH("chocolate", D545))), "Moderadamente irritante", "No irritante")))</f>
        <v>No irritante</v>
      </c>
      <c r="CC545" s="6" t="str">
        <f t="shared" si="248"/>
        <v>Sin Omega 3 para evaluar</v>
      </c>
    </row>
    <row r="546" spans="1:81" ht="15" customHeight="1" x14ac:dyDescent="0.3">
      <c r="A546" s="2">
        <f t="shared" si="249"/>
        <v>545</v>
      </c>
      <c r="B546" s="3" t="s">
        <v>686</v>
      </c>
      <c r="C546" s="3" t="s">
        <v>708</v>
      </c>
      <c r="D546" s="3" t="s">
        <v>711</v>
      </c>
      <c r="E546" s="3"/>
      <c r="F546" s="4">
        <v>1.5</v>
      </c>
      <c r="G546" s="5">
        <v>1</v>
      </c>
      <c r="H546" s="5">
        <v>315</v>
      </c>
      <c r="I546" s="5">
        <v>4.3</v>
      </c>
      <c r="J546" s="5">
        <v>0</v>
      </c>
      <c r="K546" s="5">
        <v>13.5</v>
      </c>
      <c r="L546" s="5">
        <v>6.7</v>
      </c>
      <c r="M546" s="5">
        <v>0</v>
      </c>
      <c r="N546" s="5">
        <v>6.7</v>
      </c>
      <c r="O546" s="5">
        <v>0</v>
      </c>
      <c r="P546" s="5">
        <v>58.2</v>
      </c>
      <c r="Q546" s="5">
        <v>13.1</v>
      </c>
      <c r="R546" s="5">
        <v>5.2</v>
      </c>
      <c r="S546" s="5">
        <v>1.1000000000000001</v>
      </c>
      <c r="T546" s="5">
        <v>5.0999999999999996</v>
      </c>
      <c r="U546" s="5">
        <v>0</v>
      </c>
      <c r="V546" s="5">
        <v>1</v>
      </c>
      <c r="W546" s="5">
        <v>0</v>
      </c>
      <c r="X546" s="5">
        <v>6</v>
      </c>
      <c r="Y546" s="5">
        <v>0</v>
      </c>
      <c r="Z546" s="5">
        <v>2.7</v>
      </c>
      <c r="AA546" s="5">
        <v>10</v>
      </c>
      <c r="AB546" s="5">
        <v>7.0000000000000007E-2</v>
      </c>
      <c r="AC546" s="5">
        <v>0.18</v>
      </c>
      <c r="AD546" s="5">
        <v>13</v>
      </c>
      <c r="AE546" s="5">
        <v>0.14000000000000001</v>
      </c>
      <c r="AF546" s="5">
        <v>22</v>
      </c>
      <c r="AG546" s="5">
        <v>0</v>
      </c>
      <c r="AH546" s="5">
        <v>0.23</v>
      </c>
      <c r="AI546" s="5">
        <v>0</v>
      </c>
      <c r="AJ546" s="5">
        <v>0</v>
      </c>
      <c r="AK546" s="5">
        <v>146</v>
      </c>
      <c r="AL546" s="5">
        <v>192</v>
      </c>
      <c r="AM546" s="5">
        <v>17</v>
      </c>
      <c r="AN546" s="5">
        <v>3.3</v>
      </c>
      <c r="AO546" s="5">
        <v>0.71</v>
      </c>
      <c r="AP546" s="5">
        <v>201</v>
      </c>
      <c r="AQ546" s="5">
        <v>12</v>
      </c>
      <c r="AR546" s="5">
        <v>1653</v>
      </c>
      <c r="AS546" s="5">
        <v>2.7E-2</v>
      </c>
      <c r="AT546" s="5">
        <v>1.7</v>
      </c>
      <c r="AU546" s="5">
        <v>4.9000000000000004</v>
      </c>
      <c r="AV546" s="5">
        <f>IFERROR(VLOOKUP(IFERROR(VLOOKUP(D546,Mapa_Similitud!$A$2:$B$2000,2,FALSE()),D546),Hoja1!$A$2:$K$1000,2,FALSE()),IFERROR(VLOOKUP(IFERROR(VLOOKUP(D546,Mapa_Similitud!$A$2:$B$2000,2,FALSE()),D546),Omega3_Referencia!$A$2:$E$100,3,FALSE()),0))</f>
        <v>0</v>
      </c>
      <c r="AW546" s="3" t="str">
        <f>IFERROR(VLOOKUP(IFERROR(VLOOKUP(D546,Mapa_Similitud!$A$2:$B$2000,2,FALSE()),D546),Hoja1!$A$2:$K$1000,3,FALSE()),IFERROR(VLOOKUP(IFERROR(VLOOKUP(D546,Mapa_Similitud!$A$2:$B$2000,2,FALSE()),D546),Omega3_Referencia!$A$2:$E$100,4,FALSE()),"N/A"))</f>
        <v>N/A</v>
      </c>
      <c r="AX546" s="5">
        <f>IFERROR(VLOOKUP(IFERROR(VLOOKUP(D546,Mapa_Similitud!$A$2:$B$2000,2,FALSE()),D546),Hoja1!$A$2:$K$1000,5,FALSE()),0)</f>
        <v>0</v>
      </c>
      <c r="AY546" s="5">
        <f>IFERROR(VLOOKUP(IFERROR(VLOOKUP(D546,Mapa_Similitud!$A$2:$B$2000,2,FALSE()),D546),Hoja1!$A$2:$K$1000,7,FALSE()),0)</f>
        <v>0</v>
      </c>
      <c r="AZ546" s="5">
        <f>IFERROR(VLOOKUP(IFERROR(VLOOKUP(D546,Mapa_Similitud!$A$2:$B$2000,2,FALSE()),D546),Hoja1!$A$2:$K$1000,9,FALSE()),0)</f>
        <v>0</v>
      </c>
      <c r="BA546" s="25">
        <f t="shared" si="232"/>
        <v>4.2857142857142858E-2</v>
      </c>
      <c r="BB546" s="25">
        <f t="shared" si="233"/>
        <v>0.18476190476190477</v>
      </c>
      <c r="BC546" s="25">
        <f t="shared" si="234"/>
        <v>0.46349206349206351</v>
      </c>
      <c r="BD546" s="25">
        <f t="shared" si="235"/>
        <v>5.3968253968253971E-2</v>
      </c>
      <c r="BE546" s="25">
        <f t="shared" si="236"/>
        <v>3.8095238095238099E-2</v>
      </c>
      <c r="BF546" s="25">
        <f t="shared" si="237"/>
        <v>0.98076923076923062</v>
      </c>
      <c r="BG546" s="25">
        <f t="shared" si="238"/>
        <v>0.76041666666666663</v>
      </c>
      <c r="BH546" s="25">
        <f t="shared" si="239"/>
        <v>0.39694656488549623</v>
      </c>
      <c r="BI546" s="25">
        <f t="shared" si="240"/>
        <v>7.2595281306715061E-3</v>
      </c>
      <c r="BJ546" s="25">
        <f t="shared" si="241"/>
        <v>1</v>
      </c>
      <c r="BK546" s="25">
        <f t="shared" si="242"/>
        <v>8.6865671641791042</v>
      </c>
      <c r="BL546" s="25">
        <f t="shared" si="243"/>
        <v>0.37428571428571428</v>
      </c>
      <c r="BM546" s="25">
        <f t="shared" si="244"/>
        <v>0.63809523809523805</v>
      </c>
      <c r="BN546" s="18" t="str">
        <f t="shared" si="250"/>
        <v>Baja fuente de proteína</v>
      </c>
      <c r="BO546" s="18" t="str">
        <f t="shared" si="251"/>
        <v>Alta fuente de fibra</v>
      </c>
      <c r="BP546" s="18" t="str">
        <f t="shared" si="252"/>
        <v>Baja fuente de calcio</v>
      </c>
      <c r="BQ546" s="18" t="str">
        <f t="shared" si="253"/>
        <v>Alta fuente de hierro</v>
      </c>
      <c r="BR546" s="18" t="str">
        <f t="shared" si="254"/>
        <v>Bajo en sodio</v>
      </c>
      <c r="BS546" s="6" t="str">
        <f t="shared" si="245"/>
        <v>Neutro</v>
      </c>
      <c r="BT546" s="6" t="str">
        <f t="shared" si="246"/>
        <v>Alto en grasas</v>
      </c>
      <c r="BU546" s="18" t="str">
        <f t="shared" si="255"/>
        <v>Equilibrio de líquidos ideal</v>
      </c>
      <c r="BV546" s="18" t="str">
        <f t="shared" si="256"/>
        <v>Alta fuente de magnesio</v>
      </c>
      <c r="BW546" s="18" t="str">
        <f t="shared" si="257"/>
        <v>Sin aporte de Omega 3</v>
      </c>
      <c r="BX546" s="18" t="str">
        <f t="shared" si="258"/>
        <v>Libre de grasas trans</v>
      </c>
      <c r="BY546" s="18" t="str">
        <f t="shared" si="259"/>
        <v>Bajo poder antioxidante</v>
      </c>
      <c r="BZ546" s="6" t="str">
        <f t="shared" si="247"/>
        <v>Sin probióticos</v>
      </c>
      <c r="CA546" s="18" t="str">
        <f t="shared" si="260"/>
        <v>Poco inflamatorio</v>
      </c>
      <c r="CB546" s="18" t="str">
        <f>IF(ISNUMBER(SEARCH("miel", D546)), "No irritante (Uso condicionado SII)", IF(OR(J546&gt;0, ISNUMBER(SEARCH("cacao", D546)), ISNUMBER(SEARCH("chocolate puro", D546))), "Altamente irritante", IF(OR(AND(O546&gt;15, BI546&gt;1), ISNUMBER(SEARCH("chocolate", D546))), "Moderadamente irritante", "No irritante")))</f>
        <v>No irritante</v>
      </c>
      <c r="CC546" s="6" t="str">
        <f t="shared" si="248"/>
        <v>Sin Omega 3 para evaluar</v>
      </c>
    </row>
    <row r="547" spans="1:81" ht="15" customHeight="1" x14ac:dyDescent="0.3">
      <c r="A547" s="2">
        <f t="shared" si="249"/>
        <v>546</v>
      </c>
      <c r="B547" s="3" t="s">
        <v>686</v>
      </c>
      <c r="C547" s="3" t="s">
        <v>708</v>
      </c>
      <c r="D547" s="3" t="s">
        <v>712</v>
      </c>
      <c r="E547" s="3"/>
      <c r="F547" s="4">
        <v>1.5</v>
      </c>
      <c r="G547" s="5">
        <v>1</v>
      </c>
      <c r="H547" s="5">
        <v>228</v>
      </c>
      <c r="I547" s="5">
        <v>3.2</v>
      </c>
      <c r="J547" s="5">
        <v>0</v>
      </c>
      <c r="K547" s="5">
        <v>13.9</v>
      </c>
      <c r="L547" s="5">
        <v>42.6</v>
      </c>
      <c r="M547" s="5">
        <v>17.399999999999999</v>
      </c>
      <c r="N547" s="5">
        <v>25.2</v>
      </c>
      <c r="O547" s="5">
        <v>18.5</v>
      </c>
      <c r="P547" s="5">
        <v>0</v>
      </c>
      <c r="Q547" s="5">
        <v>0.22</v>
      </c>
      <c r="R547" s="5">
        <v>0.1</v>
      </c>
      <c r="S547" s="5">
        <v>0.02</v>
      </c>
      <c r="T547" s="5">
        <v>0.09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1.9</v>
      </c>
      <c r="AB547" s="5">
        <v>8.0000000000000002E-3</v>
      </c>
      <c r="AC547" s="5">
        <v>1.4</v>
      </c>
      <c r="AD547" s="5">
        <v>28.6</v>
      </c>
      <c r="AE547" s="5">
        <v>2.9000000000000001E-2</v>
      </c>
      <c r="AF547" s="5">
        <v>0</v>
      </c>
      <c r="AG547" s="5">
        <v>0</v>
      </c>
      <c r="AH547" s="5">
        <v>9.7000000000000003E-2</v>
      </c>
      <c r="AI547" s="5">
        <v>0</v>
      </c>
      <c r="AJ547" s="5">
        <v>0</v>
      </c>
      <c r="AK547" s="5">
        <v>160</v>
      </c>
      <c r="AL547" s="5">
        <v>286</v>
      </c>
      <c r="AM547" s="5">
        <v>3.8</v>
      </c>
      <c r="AN547" s="5">
        <v>0</v>
      </c>
      <c r="AO547" s="5">
        <v>0.11</v>
      </c>
      <c r="AP547" s="5">
        <v>311</v>
      </c>
      <c r="AQ547" s="5">
        <v>23</v>
      </c>
      <c r="AR547" s="5">
        <v>3501</v>
      </c>
      <c r="AS547" s="5">
        <v>1.2</v>
      </c>
      <c r="AT547" s="5">
        <v>6.9000000000000006E-2</v>
      </c>
      <c r="AU547" s="5">
        <v>17.3</v>
      </c>
      <c r="AV547" s="5">
        <f>IFERROR(VLOOKUP(IFERROR(VLOOKUP(D547,Mapa_Similitud!$A$2:$B$2000,2,FALSE()),D547),Hoja1!$A$2:$K$1000,2,FALSE()),IFERROR(VLOOKUP(IFERROR(VLOOKUP(D547,Mapa_Similitud!$A$2:$B$2000,2,FALSE()),D547),Omega3_Referencia!$A$2:$E$100,3,FALSE()),0))</f>
        <v>0</v>
      </c>
      <c r="AW547" s="3" t="str">
        <f>IFERROR(VLOOKUP(IFERROR(VLOOKUP(D547,Mapa_Similitud!$A$2:$B$2000,2,FALSE()),D547),Hoja1!$A$2:$K$1000,3,FALSE()),IFERROR(VLOOKUP(IFERROR(VLOOKUP(D547,Mapa_Similitud!$A$2:$B$2000,2,FALSE()),D547),Omega3_Referencia!$A$2:$E$100,4,FALSE()),"N/A"))</f>
        <v>N/A</v>
      </c>
      <c r="AX547" s="5">
        <f>IFERROR(VLOOKUP(IFERROR(VLOOKUP(D547,Mapa_Similitud!$A$2:$B$2000,2,FALSE()),D547),Hoja1!$A$2:$K$1000,5,FALSE()),0)</f>
        <v>0</v>
      </c>
      <c r="AY547" s="5">
        <f>IFERROR(VLOOKUP(IFERROR(VLOOKUP(D547,Mapa_Similitud!$A$2:$B$2000,2,FALSE()),D547),Hoja1!$A$2:$K$1000,7,FALSE()),0)</f>
        <v>0</v>
      </c>
      <c r="AZ547" s="5">
        <f>IFERROR(VLOOKUP(IFERROR(VLOOKUP(D547,Mapa_Similitud!$A$2:$B$2000,2,FALSE()),D547),Hoja1!$A$2:$K$1000,9,FALSE()),0)</f>
        <v>0</v>
      </c>
      <c r="BA547" s="25">
        <f t="shared" si="232"/>
        <v>6.0964912280701757E-2</v>
      </c>
      <c r="BB547" s="25">
        <f t="shared" si="233"/>
        <v>0</v>
      </c>
      <c r="BC547" s="25">
        <f t="shared" si="234"/>
        <v>0.70175438596491224</v>
      </c>
      <c r="BD547" s="25">
        <f t="shared" si="235"/>
        <v>1.6666666666666666E-2</v>
      </c>
      <c r="BE547" s="25">
        <f t="shared" si="236"/>
        <v>0.10087719298245613</v>
      </c>
      <c r="BF547" s="25">
        <f t="shared" si="237"/>
        <v>0.89999999999999991</v>
      </c>
      <c r="BG547" s="25">
        <f t="shared" si="238"/>
        <v>0.55944055944055948</v>
      </c>
      <c r="BH547" s="25">
        <f t="shared" si="239"/>
        <v>0.45454545454545459</v>
      </c>
      <c r="BI547" s="25">
        <f t="shared" si="240"/>
        <v>6.5695515566980859E-3</v>
      </c>
      <c r="BJ547" s="25">
        <f t="shared" si="241"/>
        <v>0.59154929577464788</v>
      </c>
      <c r="BK547" s="25">
        <f t="shared" si="242"/>
        <v>0</v>
      </c>
      <c r="BL547" s="25">
        <f t="shared" si="243"/>
        <v>8.6842105263157891E-3</v>
      </c>
      <c r="BM547" s="25">
        <f t="shared" si="244"/>
        <v>1.3640350877192982</v>
      </c>
      <c r="BN547" s="18" t="str">
        <f t="shared" si="250"/>
        <v>Baja fuente de proteína</v>
      </c>
      <c r="BO547" s="18" t="str">
        <f t="shared" si="251"/>
        <v>Baja fuente de fibra</v>
      </c>
      <c r="BP547" s="18" t="str">
        <f t="shared" si="252"/>
        <v>Baja fuente de calcio</v>
      </c>
      <c r="BQ547" s="18" t="str">
        <f t="shared" si="253"/>
        <v>Alta fuente de hierro</v>
      </c>
      <c r="BR547" s="18" t="str">
        <f t="shared" si="254"/>
        <v>Bajo en sodio</v>
      </c>
      <c r="BS547" s="6" t="str">
        <f t="shared" si="245"/>
        <v>Neutro</v>
      </c>
      <c r="BT547" s="6" t="str">
        <f t="shared" si="246"/>
        <v>Bajo en grasas</v>
      </c>
      <c r="BU547" s="18" t="str">
        <f t="shared" si="255"/>
        <v>Equilibrio de líquidos ideal</v>
      </c>
      <c r="BV547" s="18" t="str">
        <f t="shared" si="256"/>
        <v>Alta fuente de magnesio</v>
      </c>
      <c r="BW547" s="18" t="str">
        <f t="shared" si="257"/>
        <v>Sin aporte de Omega 3</v>
      </c>
      <c r="BX547" s="18" t="str">
        <f t="shared" si="258"/>
        <v>Libre de grasas trans</v>
      </c>
      <c r="BY547" s="18" t="str">
        <f t="shared" si="259"/>
        <v>Bajo poder antioxidante</v>
      </c>
      <c r="BZ547" s="6" t="str">
        <f t="shared" si="247"/>
        <v>Sin probióticos</v>
      </c>
      <c r="CA547" s="18" t="str">
        <f t="shared" si="260"/>
        <v>Altamente inflamatorio</v>
      </c>
      <c r="CB547" s="18" t="str">
        <f>IF(ISNUMBER(SEARCH("miel", D547)), "No irritante (Uso condicionado SII)", IF(OR(J547&gt;0, ISNUMBER(SEARCH("cacao", D547)), ISNUMBER(SEARCH("chocolate puro", D547))), "Altamente irritante", IF(OR(AND(O547&gt;15, BI547&gt;1), ISNUMBER(SEARCH("chocolate", D547))), "Moderadamente irritante", "No irritante")))</f>
        <v>No irritante</v>
      </c>
      <c r="CC547" s="6" t="str">
        <f t="shared" si="248"/>
        <v>Sin Omega 3 para evaluar</v>
      </c>
    </row>
    <row r="548" spans="1:81" ht="15" customHeight="1" x14ac:dyDescent="0.3">
      <c r="A548" s="2">
        <f t="shared" si="249"/>
        <v>547</v>
      </c>
      <c r="B548" s="3" t="s">
        <v>686</v>
      </c>
      <c r="C548" s="3" t="s">
        <v>708</v>
      </c>
      <c r="D548" s="3" t="s">
        <v>713</v>
      </c>
      <c r="E548" s="3"/>
      <c r="F548" s="4">
        <v>1.5</v>
      </c>
      <c r="G548" s="5">
        <v>1</v>
      </c>
      <c r="H548" s="5">
        <v>12.2</v>
      </c>
      <c r="I548" s="5">
        <v>96.3</v>
      </c>
      <c r="J548" s="5">
        <v>0</v>
      </c>
      <c r="K548" s="5">
        <v>0.52</v>
      </c>
      <c r="L548" s="5">
        <v>0.25</v>
      </c>
      <c r="M548" s="5">
        <v>0</v>
      </c>
      <c r="N548" s="5">
        <v>0.25</v>
      </c>
      <c r="O548" s="5">
        <v>0</v>
      </c>
      <c r="P548" s="5">
        <v>2.2999999999999998</v>
      </c>
      <c r="Q548" s="5">
        <v>0.5</v>
      </c>
      <c r="R548" s="5">
        <v>0.19</v>
      </c>
      <c r="S548" s="5">
        <v>4.2000000000000003E-2</v>
      </c>
      <c r="T548" s="5">
        <v>0.19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0.1</v>
      </c>
      <c r="AA548" s="5">
        <v>0.38</v>
      </c>
      <c r="AB548" s="5">
        <v>2.7000000000000001E-3</v>
      </c>
      <c r="AC548" s="5">
        <v>6.8999999999999999E-3</v>
      </c>
      <c r="AD548" s="5">
        <v>0.5</v>
      </c>
      <c r="AE548" s="5">
        <v>5.4000000000000003E-3</v>
      </c>
      <c r="AF548" s="5">
        <v>0.85</v>
      </c>
      <c r="AG548" s="5">
        <v>0</v>
      </c>
      <c r="AH548" s="5">
        <v>8.8000000000000005E-3</v>
      </c>
      <c r="AI548" s="5">
        <v>0</v>
      </c>
      <c r="AJ548" s="5">
        <v>0</v>
      </c>
      <c r="AK548" s="5">
        <v>5.6</v>
      </c>
      <c r="AL548" s="5">
        <v>7.3</v>
      </c>
      <c r="AM548" s="5">
        <v>0.65</v>
      </c>
      <c r="AN548" s="5">
        <v>0.13</v>
      </c>
      <c r="AO548" s="5">
        <v>2.7E-2</v>
      </c>
      <c r="AP548" s="5">
        <v>7.7</v>
      </c>
      <c r="AQ548" s="5">
        <v>0.46</v>
      </c>
      <c r="AR548" s="5">
        <v>63.7</v>
      </c>
      <c r="AS548" s="5">
        <v>1E-3</v>
      </c>
      <c r="AT548" s="5">
        <v>6.5000000000000002E-2</v>
      </c>
      <c r="AU548" s="5">
        <v>0.19</v>
      </c>
      <c r="AV548" s="5">
        <f>IFERROR(VLOOKUP(IFERROR(VLOOKUP(D548,Mapa_Similitud!$A$2:$B$2000,2,FALSE()),D548),Hoja1!$A$2:$K$1000,2,FALSE()),IFERROR(VLOOKUP(IFERROR(VLOOKUP(D548,Mapa_Similitud!$A$2:$B$2000,2,FALSE()),D548),Omega3_Referencia!$A$2:$E$100,3,FALSE()),0))</f>
        <v>0</v>
      </c>
      <c r="AW548" s="3" t="str">
        <f>IFERROR(VLOOKUP(IFERROR(VLOOKUP(D548,Mapa_Similitud!$A$2:$B$2000,2,FALSE()),D548),Hoja1!$A$2:$K$1000,3,FALSE()),IFERROR(VLOOKUP(IFERROR(VLOOKUP(D548,Mapa_Similitud!$A$2:$B$2000,2,FALSE()),D548),Omega3_Referencia!$A$2:$E$100,4,FALSE()),"N/A"))</f>
        <v>N/A</v>
      </c>
      <c r="AX548" s="5">
        <f>IFERROR(VLOOKUP(IFERROR(VLOOKUP(D548,Mapa_Similitud!$A$2:$B$2000,2,FALSE()),D548),Hoja1!$A$2:$K$1000,5,FALSE()),0)</f>
        <v>0</v>
      </c>
      <c r="AY548" s="5">
        <f>IFERROR(VLOOKUP(IFERROR(VLOOKUP(D548,Mapa_Similitud!$A$2:$B$2000,2,FALSE()),D548),Hoja1!$A$2:$K$1000,7,FALSE()),0)</f>
        <v>0</v>
      </c>
      <c r="AZ548" s="5">
        <f>IFERROR(VLOOKUP(IFERROR(VLOOKUP(D548,Mapa_Similitud!$A$2:$B$2000,2,FALSE()),D548),Hoja1!$A$2:$K$1000,9,FALSE()),0)</f>
        <v>0</v>
      </c>
      <c r="BA548" s="25">
        <f t="shared" si="232"/>
        <v>4.2622950819672135E-2</v>
      </c>
      <c r="BB548" s="25">
        <f t="shared" si="233"/>
        <v>0.18852459016393441</v>
      </c>
      <c r="BC548" s="25">
        <f t="shared" si="234"/>
        <v>0.45901639344262296</v>
      </c>
      <c r="BD548" s="25">
        <f t="shared" si="235"/>
        <v>5.3278688524590168E-2</v>
      </c>
      <c r="BE548" s="25">
        <f t="shared" si="236"/>
        <v>3.7704918032786888E-2</v>
      </c>
      <c r="BF548" s="25">
        <f t="shared" si="237"/>
        <v>1</v>
      </c>
      <c r="BG548" s="25">
        <f t="shared" si="238"/>
        <v>0.76712328767123283</v>
      </c>
      <c r="BH548" s="25">
        <f t="shared" si="239"/>
        <v>0.38</v>
      </c>
      <c r="BI548" s="25">
        <f t="shared" si="240"/>
        <v>7.2213500784929358E-3</v>
      </c>
      <c r="BJ548" s="25">
        <f t="shared" si="241"/>
        <v>1</v>
      </c>
      <c r="BK548" s="25">
        <f t="shared" si="242"/>
        <v>9.1999999999999993</v>
      </c>
      <c r="BL548" s="25">
        <f t="shared" si="243"/>
        <v>0.36885245901639346</v>
      </c>
      <c r="BM548" s="25">
        <f t="shared" si="244"/>
        <v>0.63114754098360659</v>
      </c>
      <c r="BN548" s="18" t="str">
        <f t="shared" si="250"/>
        <v>Baja fuente de proteína</v>
      </c>
      <c r="BO548" s="18" t="str">
        <f t="shared" si="251"/>
        <v>Alta fuente de fibra</v>
      </c>
      <c r="BP548" s="18" t="str">
        <f t="shared" si="252"/>
        <v>Baja fuente de calcio</v>
      </c>
      <c r="BQ548" s="18" t="str">
        <f t="shared" si="253"/>
        <v>Alta fuente de hierro</v>
      </c>
      <c r="BR548" s="18" t="str">
        <f t="shared" si="254"/>
        <v>Bajo en sodio</v>
      </c>
      <c r="BS548" s="6" t="str">
        <f t="shared" si="245"/>
        <v>Neutro</v>
      </c>
      <c r="BT548" s="6" t="str">
        <f t="shared" si="246"/>
        <v>Alto en grasas</v>
      </c>
      <c r="BU548" s="18" t="str">
        <f t="shared" si="255"/>
        <v>Equilibrio de líquidos ideal</v>
      </c>
      <c r="BV548" s="18" t="str">
        <f t="shared" si="256"/>
        <v>Alta fuente de magnesio</v>
      </c>
      <c r="BW548" s="18" t="str">
        <f t="shared" si="257"/>
        <v>Sin aporte de Omega 3</v>
      </c>
      <c r="BX548" s="18" t="str">
        <f t="shared" si="258"/>
        <v>Libre de grasas trans</v>
      </c>
      <c r="BY548" s="18" t="str">
        <f t="shared" si="259"/>
        <v>Bajo poder antioxidante</v>
      </c>
      <c r="BZ548" s="6" t="str">
        <f t="shared" si="247"/>
        <v>Sin probióticos</v>
      </c>
      <c r="CA548" s="18" t="str">
        <f t="shared" si="260"/>
        <v>Poco inflamatorio</v>
      </c>
      <c r="CB548" s="18" t="str">
        <f>IF(ISNUMBER(SEARCH("miel", D548)), "No irritante (Uso condicionado SII)", IF(OR(J548&gt;0, ISNUMBER(SEARCH("cacao", D548)), ISNUMBER(SEARCH("chocolate puro", D548))), "Altamente irritante", IF(OR(AND(O548&gt;15, BI548&gt;1), ISNUMBER(SEARCH("chocolate", D548))), "Moderadamente irritante", "No irritante")))</f>
        <v>No irritante</v>
      </c>
      <c r="CC548" s="6" t="str">
        <f t="shared" si="248"/>
        <v>Sin Omega 3 para evaluar</v>
      </c>
    </row>
    <row r="549" spans="1:81" ht="15" customHeight="1" x14ac:dyDescent="0.3">
      <c r="A549" s="2">
        <f t="shared" si="249"/>
        <v>548</v>
      </c>
      <c r="B549" s="3" t="s">
        <v>686</v>
      </c>
      <c r="C549" s="3" t="s">
        <v>708</v>
      </c>
      <c r="D549" s="3" t="s">
        <v>714</v>
      </c>
      <c r="E549" s="3"/>
      <c r="F549" s="4">
        <v>1.5</v>
      </c>
      <c r="G549" s="5">
        <v>1</v>
      </c>
      <c r="H549" s="5">
        <v>315</v>
      </c>
      <c r="I549" s="5">
        <v>4.3</v>
      </c>
      <c r="J549" s="5">
        <v>0</v>
      </c>
      <c r="K549" s="5">
        <v>13.5</v>
      </c>
      <c r="L549" s="5">
        <v>6.7</v>
      </c>
      <c r="M549" s="5">
        <v>0</v>
      </c>
      <c r="N549" s="5">
        <v>6.7</v>
      </c>
      <c r="O549" s="5">
        <v>0</v>
      </c>
      <c r="P549" s="5">
        <v>58.2</v>
      </c>
      <c r="Q549" s="5">
        <v>13.1</v>
      </c>
      <c r="R549" s="5">
        <v>5.2</v>
      </c>
      <c r="S549" s="5">
        <v>1.1000000000000001</v>
      </c>
      <c r="T549" s="5">
        <v>5.0999999999999996</v>
      </c>
      <c r="U549" s="5">
        <v>0</v>
      </c>
      <c r="V549" s="5">
        <v>1</v>
      </c>
      <c r="W549" s="5">
        <v>0</v>
      </c>
      <c r="X549" s="5">
        <v>6</v>
      </c>
      <c r="Y549" s="5">
        <v>0</v>
      </c>
      <c r="Z549" s="5">
        <v>2.7</v>
      </c>
      <c r="AA549" s="5">
        <v>10</v>
      </c>
      <c r="AB549" s="5">
        <v>7.0000000000000007E-2</v>
      </c>
      <c r="AC549" s="5">
        <v>0.18</v>
      </c>
      <c r="AD549" s="5">
        <v>13</v>
      </c>
      <c r="AE549" s="5">
        <v>0.14000000000000001</v>
      </c>
      <c r="AF549" s="5">
        <v>22</v>
      </c>
      <c r="AG549" s="5">
        <v>0</v>
      </c>
      <c r="AH549" s="5">
        <v>0.23</v>
      </c>
      <c r="AI549" s="5">
        <v>0</v>
      </c>
      <c r="AJ549" s="5">
        <v>0</v>
      </c>
      <c r="AK549" s="5">
        <v>146</v>
      </c>
      <c r="AL549" s="5">
        <v>192</v>
      </c>
      <c r="AM549" s="5">
        <v>17</v>
      </c>
      <c r="AN549" s="5">
        <v>3.3</v>
      </c>
      <c r="AO549" s="5">
        <v>0.71</v>
      </c>
      <c r="AP549" s="5">
        <v>201</v>
      </c>
      <c r="AQ549" s="5">
        <v>12</v>
      </c>
      <c r="AR549" s="5">
        <v>1653</v>
      </c>
      <c r="AS549" s="5">
        <v>2.7E-2</v>
      </c>
      <c r="AT549" s="5">
        <v>1.7</v>
      </c>
      <c r="AU549" s="5">
        <v>4.9000000000000004</v>
      </c>
      <c r="AV549" s="5">
        <f>IFERROR(VLOOKUP(IFERROR(VLOOKUP(D549,Mapa_Similitud!$A$2:$B$2000,2,FALSE()),D549),Hoja1!$A$2:$K$1000,2,FALSE()),IFERROR(VLOOKUP(IFERROR(VLOOKUP(D549,Mapa_Similitud!$A$2:$B$2000,2,FALSE()),D549),Omega3_Referencia!$A$2:$E$100,3,FALSE()),0))</f>
        <v>0</v>
      </c>
      <c r="AW549" s="3" t="str">
        <f>IFERROR(VLOOKUP(IFERROR(VLOOKUP(D549,Mapa_Similitud!$A$2:$B$2000,2,FALSE()),D549),Hoja1!$A$2:$K$1000,3,FALSE()),IFERROR(VLOOKUP(IFERROR(VLOOKUP(D549,Mapa_Similitud!$A$2:$B$2000,2,FALSE()),D549),Omega3_Referencia!$A$2:$E$100,4,FALSE()),"N/A"))</f>
        <v>N/A</v>
      </c>
      <c r="AX549" s="5">
        <f>IFERROR(VLOOKUP(IFERROR(VLOOKUP(D549,Mapa_Similitud!$A$2:$B$2000,2,FALSE()),D549),Hoja1!$A$2:$K$1000,5,FALSE()),0)</f>
        <v>0</v>
      </c>
      <c r="AY549" s="5">
        <f>IFERROR(VLOOKUP(IFERROR(VLOOKUP(D549,Mapa_Similitud!$A$2:$B$2000,2,FALSE()),D549),Hoja1!$A$2:$K$1000,7,FALSE()),0)</f>
        <v>0</v>
      </c>
      <c r="AZ549" s="5">
        <f>IFERROR(VLOOKUP(IFERROR(VLOOKUP(D549,Mapa_Similitud!$A$2:$B$2000,2,FALSE()),D549),Hoja1!$A$2:$K$1000,9,FALSE()),0)</f>
        <v>0</v>
      </c>
      <c r="BA549" s="25">
        <f t="shared" si="232"/>
        <v>4.2857142857142858E-2</v>
      </c>
      <c r="BB549" s="25">
        <f t="shared" si="233"/>
        <v>0.18476190476190477</v>
      </c>
      <c r="BC549" s="25">
        <f t="shared" si="234"/>
        <v>0.46349206349206351</v>
      </c>
      <c r="BD549" s="25">
        <f t="shared" si="235"/>
        <v>5.3968253968253971E-2</v>
      </c>
      <c r="BE549" s="25">
        <f t="shared" si="236"/>
        <v>3.8095238095238099E-2</v>
      </c>
      <c r="BF549" s="25">
        <f t="shared" si="237"/>
        <v>0.98076923076923062</v>
      </c>
      <c r="BG549" s="25">
        <f t="shared" si="238"/>
        <v>0.76041666666666663</v>
      </c>
      <c r="BH549" s="25">
        <f t="shared" si="239"/>
        <v>0.39694656488549623</v>
      </c>
      <c r="BI549" s="25">
        <f t="shared" si="240"/>
        <v>7.2595281306715061E-3</v>
      </c>
      <c r="BJ549" s="25">
        <f t="shared" si="241"/>
        <v>1</v>
      </c>
      <c r="BK549" s="25">
        <f t="shared" si="242"/>
        <v>8.6865671641791042</v>
      </c>
      <c r="BL549" s="25">
        <f t="shared" si="243"/>
        <v>0.37428571428571428</v>
      </c>
      <c r="BM549" s="25">
        <f t="shared" si="244"/>
        <v>0.63809523809523805</v>
      </c>
      <c r="BN549" s="18" t="str">
        <f t="shared" si="250"/>
        <v>Baja fuente de proteína</v>
      </c>
      <c r="BO549" s="18" t="str">
        <f t="shared" si="251"/>
        <v>Alta fuente de fibra</v>
      </c>
      <c r="BP549" s="18" t="str">
        <f t="shared" si="252"/>
        <v>Baja fuente de calcio</v>
      </c>
      <c r="BQ549" s="18" t="str">
        <f t="shared" si="253"/>
        <v>Alta fuente de hierro</v>
      </c>
      <c r="BR549" s="18" t="str">
        <f t="shared" si="254"/>
        <v>Bajo en sodio</v>
      </c>
      <c r="BS549" s="6" t="str">
        <f t="shared" si="245"/>
        <v>Neutro</v>
      </c>
      <c r="BT549" s="6" t="str">
        <f t="shared" si="246"/>
        <v>Alto en grasas</v>
      </c>
      <c r="BU549" s="18" t="str">
        <f t="shared" si="255"/>
        <v>Equilibrio de líquidos ideal</v>
      </c>
      <c r="BV549" s="18" t="str">
        <f t="shared" si="256"/>
        <v>Alta fuente de magnesio</v>
      </c>
      <c r="BW549" s="18" t="str">
        <f t="shared" si="257"/>
        <v>Sin aporte de Omega 3</v>
      </c>
      <c r="BX549" s="18" t="str">
        <f t="shared" si="258"/>
        <v>Libre de grasas trans</v>
      </c>
      <c r="BY549" s="18" t="str">
        <f t="shared" si="259"/>
        <v>Bajo poder antioxidante</v>
      </c>
      <c r="BZ549" s="6" t="str">
        <f t="shared" si="247"/>
        <v>Sin probióticos</v>
      </c>
      <c r="CA549" s="18" t="str">
        <f t="shared" si="260"/>
        <v>Poco inflamatorio</v>
      </c>
      <c r="CB549" s="18" t="str">
        <f>IF(ISNUMBER(SEARCH("miel", D549)), "No irritante (Uso condicionado SII)", IF(OR(J549&gt;0, ISNUMBER(SEARCH("cacao", D549)), ISNUMBER(SEARCH("chocolate puro", D549))), "Altamente irritante", IF(OR(AND(O549&gt;15, BI549&gt;1), ISNUMBER(SEARCH("chocolate", D549))), "Moderadamente irritante", "No irritante")))</f>
        <v>No irritante</v>
      </c>
      <c r="CC549" s="6" t="str">
        <f t="shared" si="248"/>
        <v>Sin Omega 3 para evaluar</v>
      </c>
    </row>
    <row r="550" spans="1:81" ht="15" customHeight="1" x14ac:dyDescent="0.3">
      <c r="A550" s="2">
        <f t="shared" si="249"/>
        <v>549</v>
      </c>
      <c r="B550" s="3" t="s">
        <v>686</v>
      </c>
      <c r="C550" s="3" t="s">
        <v>708</v>
      </c>
      <c r="D550" s="3" t="s">
        <v>715</v>
      </c>
      <c r="E550" s="3"/>
      <c r="F550" s="4">
        <v>1.5</v>
      </c>
      <c r="G550" s="5">
        <v>1</v>
      </c>
      <c r="H550" s="5">
        <v>227</v>
      </c>
      <c r="I550" s="5">
        <v>3.5</v>
      </c>
      <c r="J550" s="5">
        <v>0</v>
      </c>
      <c r="K550" s="5">
        <v>14.6</v>
      </c>
      <c r="L550" s="5">
        <v>41.1</v>
      </c>
      <c r="M550" s="5">
        <v>16.8</v>
      </c>
      <c r="N550" s="5">
        <v>24.3</v>
      </c>
      <c r="O550" s="5">
        <v>17.600000000000001</v>
      </c>
      <c r="P550" s="5">
        <v>0</v>
      </c>
      <c r="Q550" s="5">
        <v>0.5</v>
      </c>
      <c r="R550" s="5">
        <v>0.19</v>
      </c>
      <c r="S550" s="5">
        <v>4.1000000000000002E-2</v>
      </c>
      <c r="T550" s="5">
        <v>0.2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1.9</v>
      </c>
      <c r="AB550" s="5">
        <v>8.0000000000000002E-3</v>
      </c>
      <c r="AC550" s="5">
        <v>0.11</v>
      </c>
      <c r="AD550" s="5">
        <v>24.9</v>
      </c>
      <c r="AE550" s="5">
        <v>0.03</v>
      </c>
      <c r="AF550" s="5">
        <v>3</v>
      </c>
      <c r="AG550" s="5">
        <v>0</v>
      </c>
      <c r="AH550" s="5">
        <v>9.7000000000000003E-2</v>
      </c>
      <c r="AI550" s="5">
        <v>0</v>
      </c>
      <c r="AJ550" s="5">
        <v>0</v>
      </c>
      <c r="AK550" s="5">
        <v>160</v>
      </c>
      <c r="AL550" s="5">
        <v>350</v>
      </c>
      <c r="AM550" s="5">
        <v>4.4000000000000004</v>
      </c>
      <c r="AN550" s="5">
        <v>0</v>
      </c>
      <c r="AO550" s="5">
        <v>0.48</v>
      </c>
      <c r="AP550" s="5">
        <v>390</v>
      </c>
      <c r="AQ550" s="5">
        <v>41</v>
      </c>
      <c r="AR550" s="5">
        <v>4000</v>
      </c>
      <c r="AS550" s="5">
        <v>1.8</v>
      </c>
      <c r="AT550" s="5">
        <v>5.8999999999999997E-2</v>
      </c>
      <c r="AU550" s="5">
        <v>12.6</v>
      </c>
      <c r="AV550" s="5">
        <f>IFERROR(VLOOKUP(IFERROR(VLOOKUP(D550,Mapa_Similitud!$A$2:$B$2000,2,FALSE()),D550),Hoja1!$A$2:$K$1000,2,FALSE()),IFERROR(VLOOKUP(IFERROR(VLOOKUP(D550,Mapa_Similitud!$A$2:$B$2000,2,FALSE()),D550),Omega3_Referencia!$A$2:$E$100,3,FALSE()),0))</f>
        <v>0</v>
      </c>
      <c r="AW550" s="3" t="str">
        <f>IFERROR(VLOOKUP(IFERROR(VLOOKUP(D550,Mapa_Similitud!$A$2:$B$2000,2,FALSE()),D550),Hoja1!$A$2:$K$1000,3,FALSE()),IFERROR(VLOOKUP(IFERROR(VLOOKUP(D550,Mapa_Similitud!$A$2:$B$2000,2,FALSE()),D550),Omega3_Referencia!$A$2:$E$100,4,FALSE()),"N/A"))</f>
        <v>N/A</v>
      </c>
      <c r="AX550" s="5">
        <f>IFERROR(VLOOKUP(IFERROR(VLOOKUP(D550,Mapa_Similitud!$A$2:$B$2000,2,FALSE()),D550),Hoja1!$A$2:$K$1000,5,FALSE()),0)</f>
        <v>0</v>
      </c>
      <c r="AY550" s="5">
        <f>IFERROR(VLOOKUP(IFERROR(VLOOKUP(D550,Mapa_Similitud!$A$2:$B$2000,2,FALSE()),D550),Hoja1!$A$2:$K$1000,7,FALSE()),0)</f>
        <v>0</v>
      </c>
      <c r="AZ550" s="5">
        <f>IFERROR(VLOOKUP(IFERROR(VLOOKUP(D550,Mapa_Similitud!$A$2:$B$2000,2,FALSE()),D550),Hoja1!$A$2:$K$1000,9,FALSE()),0)</f>
        <v>0</v>
      </c>
      <c r="BA550" s="25">
        <f t="shared" si="232"/>
        <v>6.4317180616740091E-2</v>
      </c>
      <c r="BB550" s="25">
        <f t="shared" si="233"/>
        <v>0</v>
      </c>
      <c r="BC550" s="25">
        <f t="shared" si="234"/>
        <v>0.70484581497797361</v>
      </c>
      <c r="BD550" s="25">
        <f t="shared" si="235"/>
        <v>1.9383259911894275E-2</v>
      </c>
      <c r="BE550" s="25">
        <f t="shared" si="236"/>
        <v>0.18061674008810572</v>
      </c>
      <c r="BF550" s="25">
        <f t="shared" si="237"/>
        <v>1.0526315789473684</v>
      </c>
      <c r="BG550" s="25">
        <f t="shared" si="238"/>
        <v>0.45714285714285713</v>
      </c>
      <c r="BH550" s="25">
        <f t="shared" si="239"/>
        <v>0.38</v>
      </c>
      <c r="BI550" s="25">
        <f t="shared" si="240"/>
        <v>1.025E-2</v>
      </c>
      <c r="BJ550" s="25">
        <f t="shared" si="241"/>
        <v>0.5912408759124087</v>
      </c>
      <c r="BK550" s="25">
        <f t="shared" si="242"/>
        <v>0</v>
      </c>
      <c r="BL550" s="25">
        <f t="shared" si="243"/>
        <v>1.9823788546255508E-2</v>
      </c>
      <c r="BM550" s="25">
        <f t="shared" si="244"/>
        <v>1.7180616740088106</v>
      </c>
      <c r="BN550" s="18" t="str">
        <f t="shared" si="250"/>
        <v>Baja fuente de proteína</v>
      </c>
      <c r="BO550" s="18" t="str">
        <f t="shared" si="251"/>
        <v>Baja fuente de fibra</v>
      </c>
      <c r="BP550" s="18" t="str">
        <f t="shared" si="252"/>
        <v>Baja fuente de calcio</v>
      </c>
      <c r="BQ550" s="18" t="str">
        <f t="shared" si="253"/>
        <v>Alta fuente de hierro</v>
      </c>
      <c r="BR550" s="18" t="str">
        <f t="shared" si="254"/>
        <v>Bajo en sodio</v>
      </c>
      <c r="BS550" s="6" t="str">
        <f t="shared" si="245"/>
        <v>Ligeramente antiinflamatorio</v>
      </c>
      <c r="BT550" s="6" t="str">
        <f t="shared" si="246"/>
        <v>Bajo en grasas</v>
      </c>
      <c r="BU550" s="18" t="str">
        <f t="shared" si="255"/>
        <v>Equilibrio de líquidos ideal</v>
      </c>
      <c r="BV550" s="18" t="str">
        <f t="shared" si="256"/>
        <v>Alta fuente de magnesio</v>
      </c>
      <c r="BW550" s="18" t="str">
        <f t="shared" si="257"/>
        <v>Sin aporte de Omega 3</v>
      </c>
      <c r="BX550" s="18" t="str">
        <f t="shared" si="258"/>
        <v>Libre de grasas trans</v>
      </c>
      <c r="BY550" s="18" t="str">
        <f t="shared" si="259"/>
        <v>Bajo poder antioxidante</v>
      </c>
      <c r="BZ550" s="6" t="str">
        <f t="shared" si="247"/>
        <v>Sin probióticos</v>
      </c>
      <c r="CA550" s="18" t="str">
        <f t="shared" si="260"/>
        <v>Altamente inflamatorio</v>
      </c>
      <c r="CB550" s="18" t="str">
        <f>IF(ISNUMBER(SEARCH("miel", D550)), "No irritante (Uso condicionado SII)", IF(OR(J550&gt;0, ISNUMBER(SEARCH("cacao", D550)), ISNUMBER(SEARCH("chocolate puro", D550))), "Altamente irritante", IF(OR(AND(O550&gt;15, BI550&gt;1), ISNUMBER(SEARCH("chocolate", D550))), "Moderadamente irritante", "No irritante")))</f>
        <v>No irritante</v>
      </c>
      <c r="CC550" s="6" t="str">
        <f t="shared" si="248"/>
        <v>Sin Omega 3 para evaluar</v>
      </c>
    </row>
    <row r="551" spans="1:81" ht="15" customHeight="1" x14ac:dyDescent="0.3">
      <c r="A551" s="2">
        <f t="shared" si="249"/>
        <v>550</v>
      </c>
      <c r="B551" s="3" t="s">
        <v>686</v>
      </c>
      <c r="C551" s="3" t="s">
        <v>708</v>
      </c>
      <c r="D551" s="3" t="s">
        <v>716</v>
      </c>
      <c r="E551" s="3"/>
      <c r="F551" s="4">
        <v>1.5</v>
      </c>
      <c r="G551" s="5">
        <v>1</v>
      </c>
      <c r="H551" s="5">
        <v>220</v>
      </c>
      <c r="I551" s="5">
        <v>9.3000000000000007</v>
      </c>
      <c r="J551" s="5">
        <v>0</v>
      </c>
      <c r="K551" s="5">
        <v>19.600000000000001</v>
      </c>
      <c r="L551" s="5">
        <v>3</v>
      </c>
      <c r="M551" s="5">
        <v>0</v>
      </c>
      <c r="N551" s="5">
        <v>3</v>
      </c>
      <c r="O551" s="5">
        <v>0</v>
      </c>
      <c r="P551" s="5">
        <v>55.8</v>
      </c>
      <c r="Q551" s="5">
        <v>2</v>
      </c>
      <c r="R551" s="5">
        <v>0.44</v>
      </c>
      <c r="S551" s="5">
        <v>0.22</v>
      </c>
      <c r="T551" s="5">
        <v>0.89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262</v>
      </c>
      <c r="AB551" s="5">
        <v>2.5000000000000001E-2</v>
      </c>
      <c r="AC551" s="5">
        <v>0.95</v>
      </c>
      <c r="AD551" s="5">
        <v>0.1</v>
      </c>
      <c r="AE551" s="5">
        <v>0.25</v>
      </c>
      <c r="AF551" s="5">
        <v>5</v>
      </c>
      <c r="AG551" s="5">
        <v>0</v>
      </c>
      <c r="AH551" s="5">
        <v>1.3</v>
      </c>
      <c r="AI551" s="5">
        <v>0</v>
      </c>
      <c r="AJ551" s="5">
        <v>0</v>
      </c>
      <c r="AK551" s="5">
        <v>302</v>
      </c>
      <c r="AL551" s="5">
        <v>314</v>
      </c>
      <c r="AM551" s="5">
        <v>17</v>
      </c>
      <c r="AN551" s="5">
        <v>11</v>
      </c>
      <c r="AO551" s="5">
        <v>3.2</v>
      </c>
      <c r="AP551" s="5">
        <v>184</v>
      </c>
      <c r="AQ551" s="5">
        <v>14</v>
      </c>
      <c r="AR551" s="5">
        <v>1640</v>
      </c>
      <c r="AS551" s="5">
        <v>0.14000000000000001</v>
      </c>
      <c r="AT551" s="5">
        <v>2.5</v>
      </c>
      <c r="AU551" s="5">
        <v>5.4</v>
      </c>
      <c r="AV551" s="5">
        <f>IFERROR(VLOOKUP(IFERROR(VLOOKUP(D551,Mapa_Similitud!$A$2:$B$2000,2,FALSE()),D551),Hoja1!$A$2:$K$1000,2,FALSE()),IFERROR(VLOOKUP(IFERROR(VLOOKUP(D551,Mapa_Similitud!$A$2:$B$2000,2,FALSE()),D551),Omega3_Referencia!$A$2:$E$100,3,FALSE()),0))</f>
        <v>0</v>
      </c>
      <c r="AW551" s="3" t="str">
        <f>IFERROR(VLOOKUP(IFERROR(VLOOKUP(D551,Mapa_Similitud!$A$2:$B$2000,2,FALSE()),D551),Hoja1!$A$2:$K$1000,3,FALSE()),IFERROR(VLOOKUP(IFERROR(VLOOKUP(D551,Mapa_Similitud!$A$2:$B$2000,2,FALSE()),D551),Omega3_Referencia!$A$2:$E$100,4,FALSE()),"N/A"))</f>
        <v>N/A</v>
      </c>
      <c r="AX551" s="5">
        <f>IFERROR(VLOOKUP(IFERROR(VLOOKUP(D551,Mapa_Similitud!$A$2:$B$2000,2,FALSE()),D551),Hoja1!$A$2:$K$1000,5,FALSE()),0)</f>
        <v>0</v>
      </c>
      <c r="AY551" s="5">
        <f>IFERROR(VLOOKUP(IFERROR(VLOOKUP(D551,Mapa_Similitud!$A$2:$B$2000,2,FALSE()),D551),Hoja1!$A$2:$K$1000,7,FALSE()),0)</f>
        <v>200</v>
      </c>
      <c r="AZ551" s="5">
        <f>IFERROR(VLOOKUP(IFERROR(VLOOKUP(D551,Mapa_Similitud!$A$2:$B$2000,2,FALSE()),D551),Hoja1!$A$2:$K$1000,9,FALSE()),0)</f>
        <v>0</v>
      </c>
      <c r="BA551" s="25">
        <f t="shared" si="232"/>
        <v>8.9090909090909096E-2</v>
      </c>
      <c r="BB551" s="25">
        <f t="shared" si="233"/>
        <v>0.2536363636363636</v>
      </c>
      <c r="BC551" s="25">
        <f t="shared" si="234"/>
        <v>1.3727272727272728</v>
      </c>
      <c r="BD551" s="25">
        <f t="shared" si="235"/>
        <v>7.7272727272727271E-2</v>
      </c>
      <c r="BE551" s="25">
        <f t="shared" si="236"/>
        <v>6.363636363636363E-2</v>
      </c>
      <c r="BF551" s="25">
        <f t="shared" si="237"/>
        <v>2.0227272727272729</v>
      </c>
      <c r="BG551" s="25">
        <f t="shared" si="238"/>
        <v>0.96178343949044587</v>
      </c>
      <c r="BH551" s="25">
        <f t="shared" si="239"/>
        <v>0.22</v>
      </c>
      <c r="BI551" s="25">
        <f t="shared" si="240"/>
        <v>8.5365853658536592E-3</v>
      </c>
      <c r="BJ551" s="25">
        <f t="shared" si="241"/>
        <v>1</v>
      </c>
      <c r="BK551" s="25">
        <f t="shared" si="242"/>
        <v>18.599999999999998</v>
      </c>
      <c r="BL551" s="25">
        <f t="shared" si="243"/>
        <v>8.1818181818181818E-2</v>
      </c>
      <c r="BM551" s="25">
        <f t="shared" si="244"/>
        <v>0.83636363636363631</v>
      </c>
      <c r="BN551" s="18" t="str">
        <f t="shared" si="250"/>
        <v>Baja fuente de proteína</v>
      </c>
      <c r="BO551" s="18" t="str">
        <f t="shared" si="251"/>
        <v>Alta fuente de fibra</v>
      </c>
      <c r="BP551" s="18" t="str">
        <f t="shared" si="252"/>
        <v>Media fuente de calcio</v>
      </c>
      <c r="BQ551" s="18" t="str">
        <f t="shared" si="253"/>
        <v>Alta fuente de hierro</v>
      </c>
      <c r="BR551" s="18" t="str">
        <f t="shared" si="254"/>
        <v>Bajo en sodio</v>
      </c>
      <c r="BS551" s="6" t="str">
        <f t="shared" si="245"/>
        <v>Altamente antiinflamatorio</v>
      </c>
      <c r="BT551" s="6" t="str">
        <f t="shared" si="246"/>
        <v>Bajo en grasas</v>
      </c>
      <c r="BU551" s="18" t="str">
        <f t="shared" si="255"/>
        <v>Equilibrio de líquidos ideal</v>
      </c>
      <c r="BV551" s="18" t="str">
        <f t="shared" si="256"/>
        <v>Alta fuente de magnesio</v>
      </c>
      <c r="BW551" s="18" t="str">
        <f t="shared" si="257"/>
        <v>Sin aporte de Omega 3</v>
      </c>
      <c r="BX551" s="18" t="str">
        <f t="shared" si="258"/>
        <v>Libre de grasas trans</v>
      </c>
      <c r="BY551" s="18" t="str">
        <f t="shared" si="259"/>
        <v>Alto poder antioxidante</v>
      </c>
      <c r="BZ551" s="6" t="str">
        <f t="shared" si="247"/>
        <v>Sin probióticos</v>
      </c>
      <c r="CA551" s="18" t="str">
        <f t="shared" si="260"/>
        <v>Antiinflamatorio</v>
      </c>
      <c r="CB551" s="18" t="str">
        <f>IF(ISNUMBER(SEARCH("miel", D551)), "No irritante (Uso condicionado SII)", IF(OR(J551&gt;0, ISNUMBER(SEARCH("cacao", D551)), ISNUMBER(SEARCH("chocolate puro", D551))), "Altamente irritante", IF(OR(AND(O551&gt;15, BI551&gt;1), ISNUMBER(SEARCH("chocolate", D551))), "Moderadamente irritante", "No irritante")))</f>
        <v>No irritante</v>
      </c>
      <c r="CC551" s="6" t="str">
        <f t="shared" si="248"/>
        <v>Sin Omega 3 para evaluar</v>
      </c>
    </row>
    <row r="552" spans="1:81" ht="15" customHeight="1" x14ac:dyDescent="0.3">
      <c r="A552" s="2">
        <f t="shared" si="249"/>
        <v>551</v>
      </c>
      <c r="B552" s="3" t="s">
        <v>686</v>
      </c>
      <c r="C552" s="3" t="s">
        <v>717</v>
      </c>
      <c r="D552" s="3" t="s">
        <v>718</v>
      </c>
      <c r="E552" s="3"/>
      <c r="F552" s="4">
        <v>1.5</v>
      </c>
      <c r="G552" s="5">
        <v>1</v>
      </c>
      <c r="H552" s="5">
        <v>17.2</v>
      </c>
      <c r="I552" s="5">
        <v>95.4</v>
      </c>
      <c r="J552" s="5">
        <v>0</v>
      </c>
      <c r="K552" s="5">
        <v>0.7</v>
      </c>
      <c r="L552" s="5">
        <v>2.6</v>
      </c>
      <c r="M552" s="5">
        <v>0</v>
      </c>
      <c r="N552" s="5">
        <v>2.6</v>
      </c>
      <c r="O552" s="5">
        <v>0</v>
      </c>
      <c r="P552" s="5">
        <v>1.1000000000000001</v>
      </c>
      <c r="Q552" s="5">
        <v>0.2</v>
      </c>
      <c r="R552" s="5">
        <v>0.76</v>
      </c>
      <c r="S552" s="5">
        <v>8.0000000000000002E-3</v>
      </c>
      <c r="T552" s="5">
        <v>2E-3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0.03</v>
      </c>
      <c r="AC552" s="5">
        <v>5.7000000000000002E-2</v>
      </c>
      <c r="AD552" s="5">
        <v>0.08</v>
      </c>
      <c r="AE552" s="5">
        <v>3.2000000000000001E-2</v>
      </c>
      <c r="AF552" s="5">
        <v>3</v>
      </c>
      <c r="AG552" s="5">
        <v>0</v>
      </c>
      <c r="AH552" s="5">
        <v>0</v>
      </c>
      <c r="AI552" s="5">
        <v>0</v>
      </c>
      <c r="AJ552" s="5">
        <v>2.4</v>
      </c>
      <c r="AK552" s="5">
        <v>24</v>
      </c>
      <c r="AL552" s="5">
        <v>20</v>
      </c>
      <c r="AM552" s="5">
        <v>0.28999999999999998</v>
      </c>
      <c r="AN552" s="5">
        <v>0.5</v>
      </c>
      <c r="AO552" s="5">
        <v>0.1</v>
      </c>
      <c r="AP552" s="5">
        <v>25</v>
      </c>
      <c r="AQ552" s="5">
        <v>105</v>
      </c>
      <c r="AR552" s="5">
        <v>250</v>
      </c>
      <c r="AS552" s="5">
        <v>0</v>
      </c>
      <c r="AT552" s="5">
        <v>0</v>
      </c>
      <c r="AU552" s="5">
        <v>1</v>
      </c>
      <c r="AV552" s="5">
        <f>IFERROR(VLOOKUP(IFERROR(VLOOKUP(D552,Mapa_Similitud!$A$2:$B$2000,2,FALSE()),D552),Hoja1!$A$2:$K$1000,2,FALSE()),IFERROR(VLOOKUP(IFERROR(VLOOKUP(D552,Mapa_Similitud!$A$2:$B$2000,2,FALSE()),D552),Omega3_Referencia!$A$2:$E$100,3,FALSE()),0))</f>
        <v>0</v>
      </c>
      <c r="AW552" s="3" t="str">
        <f>IFERROR(VLOOKUP(IFERROR(VLOOKUP(D552,Mapa_Similitud!$A$2:$B$2000,2,FALSE()),D552),Hoja1!$A$2:$K$1000,3,FALSE()),IFERROR(VLOOKUP(IFERROR(VLOOKUP(D552,Mapa_Similitud!$A$2:$B$2000,2,FALSE()),D552),Omega3_Referencia!$A$2:$E$100,4,FALSE()),"N/A"))</f>
        <v>N/A</v>
      </c>
      <c r="AX552" s="5">
        <f>IFERROR(VLOOKUP(IFERROR(VLOOKUP(D552,Mapa_Similitud!$A$2:$B$2000,2,FALSE()),D552),Hoja1!$A$2:$K$1000,5,FALSE()),0)</f>
        <v>0</v>
      </c>
      <c r="AY552" s="5">
        <f>IFERROR(VLOOKUP(IFERROR(VLOOKUP(D552,Mapa_Similitud!$A$2:$B$2000,2,FALSE()),D552),Hoja1!$A$2:$K$1000,7,FALSE()),0)</f>
        <v>0</v>
      </c>
      <c r="AZ552" s="5">
        <f>IFERROR(VLOOKUP(IFERROR(VLOOKUP(D552,Mapa_Similitud!$A$2:$B$2000,2,FALSE()),D552),Hoja1!$A$2:$K$1000,9,FALSE()),0)</f>
        <v>0</v>
      </c>
      <c r="BA552" s="25">
        <f t="shared" si="232"/>
        <v>4.0697674418604647E-2</v>
      </c>
      <c r="BB552" s="25">
        <f t="shared" si="233"/>
        <v>6.3953488372093026E-2</v>
      </c>
      <c r="BC552" s="25">
        <f t="shared" si="234"/>
        <v>1.3953488372093024</v>
      </c>
      <c r="BD552" s="25">
        <f t="shared" si="235"/>
        <v>1.6860465116279068E-2</v>
      </c>
      <c r="BE552" s="25">
        <f t="shared" si="236"/>
        <v>6.1046511627906979</v>
      </c>
      <c r="BF552" s="25">
        <f t="shared" si="237"/>
        <v>2.631578947368421E-3</v>
      </c>
      <c r="BG552" s="25">
        <f t="shared" si="238"/>
        <v>1.2</v>
      </c>
      <c r="BH552" s="25">
        <f t="shared" si="239"/>
        <v>3.8</v>
      </c>
      <c r="BI552" s="25">
        <f t="shared" si="240"/>
        <v>0.42</v>
      </c>
      <c r="BJ552" s="25">
        <f t="shared" si="241"/>
        <v>1</v>
      </c>
      <c r="BK552" s="25">
        <f t="shared" si="242"/>
        <v>0.42307692307692307</v>
      </c>
      <c r="BL552" s="25">
        <f t="shared" si="243"/>
        <v>0.10465116279069768</v>
      </c>
      <c r="BM552" s="25">
        <f t="shared" si="244"/>
        <v>1.4534883720930234</v>
      </c>
      <c r="BN552" s="18" t="str">
        <f t="shared" si="250"/>
        <v>Baja fuente de proteína</v>
      </c>
      <c r="BO552" s="18" t="str">
        <f t="shared" si="251"/>
        <v>Alta fuente de fibra</v>
      </c>
      <c r="BP552" s="18" t="str">
        <f t="shared" si="252"/>
        <v>Media fuente de calcio</v>
      </c>
      <c r="BQ552" s="18" t="str">
        <f t="shared" si="253"/>
        <v>Alta fuente de hierro</v>
      </c>
      <c r="BR552" s="18" t="str">
        <f t="shared" si="254"/>
        <v>Muy alto en sodio</v>
      </c>
      <c r="BS552" s="6" t="str">
        <f t="shared" si="245"/>
        <v>Proinflamatorio</v>
      </c>
      <c r="BT552" s="6" t="str">
        <f t="shared" si="246"/>
        <v>Bajo en grasas</v>
      </c>
      <c r="BU552" s="18" t="str">
        <f t="shared" si="255"/>
        <v>Equilibrio de líquidos ideal</v>
      </c>
      <c r="BV552" s="18" t="str">
        <f t="shared" si="256"/>
        <v>Alta fuente de magnesio</v>
      </c>
      <c r="BW552" s="18" t="str">
        <f t="shared" si="257"/>
        <v>Sin aporte de Omega 3</v>
      </c>
      <c r="BX552" s="18" t="str">
        <f t="shared" si="258"/>
        <v>Libre de grasas trans</v>
      </c>
      <c r="BY552" s="18" t="str">
        <f t="shared" si="259"/>
        <v>Bajo poder antioxidante</v>
      </c>
      <c r="BZ552" s="6" t="str">
        <f t="shared" si="247"/>
        <v>Sin probióticos</v>
      </c>
      <c r="CA552" s="18" t="str">
        <f t="shared" si="260"/>
        <v>Poco inflamatorio</v>
      </c>
      <c r="CB552" s="18" t="str">
        <f>IF(ISNUMBER(SEARCH("miel", D552)), "No irritante (Uso condicionado SII)", IF(OR(J552&gt;0, ISNUMBER(SEARCH("cacao", D552)), ISNUMBER(SEARCH("chocolate puro", D552))), "Altamente irritante", IF(OR(AND(O552&gt;15, BI552&gt;1), ISNUMBER(SEARCH("chocolate", D552))), "Moderadamente irritante", "No irritante")))</f>
        <v>No irritante</v>
      </c>
      <c r="CC552" s="6" t="str">
        <f t="shared" si="248"/>
        <v>Sin Omega 3 para evaluar</v>
      </c>
    </row>
    <row r="553" spans="1:81" ht="15" customHeight="1" x14ac:dyDescent="0.3">
      <c r="A553" s="2">
        <f t="shared" si="249"/>
        <v>552</v>
      </c>
      <c r="B553" s="3" t="s">
        <v>686</v>
      </c>
      <c r="C553" s="3" t="s">
        <v>717</v>
      </c>
      <c r="D553" s="3" t="s">
        <v>719</v>
      </c>
      <c r="E553" s="3"/>
      <c r="F553" s="4">
        <v>1.5</v>
      </c>
      <c r="G553" s="5">
        <v>1</v>
      </c>
      <c r="H553" s="5">
        <v>24.3</v>
      </c>
      <c r="I553" s="5">
        <v>95.2</v>
      </c>
      <c r="J553" s="5">
        <v>0</v>
      </c>
      <c r="K553" s="5">
        <v>0.5</v>
      </c>
      <c r="L553" s="5">
        <v>3</v>
      </c>
      <c r="M553" s="5">
        <v>0</v>
      </c>
      <c r="N553" s="5">
        <v>3</v>
      </c>
      <c r="O553" s="5">
        <v>3</v>
      </c>
      <c r="P553" s="5">
        <v>0.2</v>
      </c>
      <c r="Q553" s="5">
        <v>1.1000000000000001</v>
      </c>
      <c r="R553" s="5">
        <v>0.1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0.75</v>
      </c>
      <c r="Z553" s="5">
        <v>1.8</v>
      </c>
      <c r="AA553" s="5">
        <v>0</v>
      </c>
      <c r="AB553" s="5">
        <v>0</v>
      </c>
      <c r="AC553" s="5">
        <v>0.21</v>
      </c>
      <c r="AD553" s="5">
        <v>0</v>
      </c>
      <c r="AE553" s="5">
        <v>0</v>
      </c>
      <c r="AF553" s="5">
        <v>0</v>
      </c>
      <c r="AG553" s="5">
        <v>0.38</v>
      </c>
      <c r="AH553" s="5">
        <v>0</v>
      </c>
      <c r="AI553" s="5">
        <v>0</v>
      </c>
      <c r="AJ553" s="5">
        <v>0</v>
      </c>
      <c r="AK553" s="5">
        <v>120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130</v>
      </c>
      <c r="AR553" s="5">
        <v>0</v>
      </c>
      <c r="AS553" s="5">
        <v>0</v>
      </c>
      <c r="AT553" s="5">
        <v>0</v>
      </c>
      <c r="AU553" s="5">
        <v>0</v>
      </c>
      <c r="AV553" s="5">
        <f>IFERROR(VLOOKUP(IFERROR(VLOOKUP(D553,Mapa_Similitud!$A$2:$B$2000,2,FALSE()),D553),Hoja1!$A$2:$K$1000,2,FALSE()),IFERROR(VLOOKUP(IFERROR(VLOOKUP(D553,Mapa_Similitud!$A$2:$B$2000,2,FALSE()),D553),Omega3_Referencia!$A$2:$E$100,3,FALSE()),0))</f>
        <v>0.1</v>
      </c>
      <c r="AW553" s="3" t="str">
        <f>IFERROR(VLOOKUP(IFERROR(VLOOKUP(D553,Mapa_Similitud!$A$2:$B$2000,2,FALSE()),D553),Hoja1!$A$2:$K$1000,3,FALSE()),IFERROR(VLOOKUP(IFERROR(VLOOKUP(D553,Mapa_Similitud!$A$2:$B$2000,2,FALSE()),D553),Omega3_Referencia!$A$2:$E$100,4,FALSE()),"N/A"))</f>
        <v>ALA</v>
      </c>
      <c r="AX553" s="5">
        <f>IFERROR(VLOOKUP(IFERROR(VLOOKUP(D553,Mapa_Similitud!$A$2:$B$2000,2,FALSE()),D553),Hoja1!$A$2:$K$1000,5,FALSE()),0)</f>
        <v>0</v>
      </c>
      <c r="AY553" s="5">
        <f>IFERROR(VLOOKUP(IFERROR(VLOOKUP(D553,Mapa_Similitud!$A$2:$B$2000,2,FALSE()),D553),Hoja1!$A$2:$K$1000,7,FALSE()),0)</f>
        <v>15</v>
      </c>
      <c r="AZ553" s="5">
        <f>IFERROR(VLOOKUP(IFERROR(VLOOKUP(D553,Mapa_Similitud!$A$2:$B$2000,2,FALSE()),D553),Hoja1!$A$2:$K$1000,9,FALSE()),0)</f>
        <v>0</v>
      </c>
      <c r="BA553" s="25">
        <f t="shared" si="232"/>
        <v>2.0576131687242798E-2</v>
      </c>
      <c r="BB553" s="25">
        <f t="shared" si="233"/>
        <v>8.23045267489712E-3</v>
      </c>
      <c r="BC553" s="25">
        <f t="shared" si="234"/>
        <v>4.9382716049382713</v>
      </c>
      <c r="BD553" s="25">
        <f t="shared" si="235"/>
        <v>0</v>
      </c>
      <c r="BE553" s="25">
        <f t="shared" si="236"/>
        <v>5.3497942386831276</v>
      </c>
      <c r="BF553" s="25">
        <f t="shared" si="237"/>
        <v>0</v>
      </c>
      <c r="BG553" s="25">
        <f t="shared" si="238"/>
        <v>0</v>
      </c>
      <c r="BH553" s="25">
        <f t="shared" si="239"/>
        <v>9.0909090909090912E-2</v>
      </c>
      <c r="BI553" s="25">
        <f t="shared" si="240"/>
        <v>0</v>
      </c>
      <c r="BJ553" s="25">
        <f t="shared" si="241"/>
        <v>1</v>
      </c>
      <c r="BK553" s="25">
        <f t="shared" si="242"/>
        <v>6.6666666666666666E-2</v>
      </c>
      <c r="BL553" s="25">
        <f t="shared" si="243"/>
        <v>0.40740740740740738</v>
      </c>
      <c r="BM553" s="25">
        <f t="shared" si="244"/>
        <v>0</v>
      </c>
      <c r="BN553" s="18" t="str">
        <f t="shared" si="250"/>
        <v>Baja fuente de proteína</v>
      </c>
      <c r="BO553" s="18" t="str">
        <f t="shared" si="251"/>
        <v>Baja fuente de fibra</v>
      </c>
      <c r="BP553" s="18" t="str">
        <f t="shared" si="252"/>
        <v>Alta fuente de calcio</v>
      </c>
      <c r="BQ553" s="18" t="str">
        <f t="shared" si="253"/>
        <v>Baja fuente de hierro</v>
      </c>
      <c r="BR553" s="18" t="str">
        <f t="shared" si="254"/>
        <v>Muy alto en sodio</v>
      </c>
      <c r="BS553" s="6" t="str">
        <f t="shared" si="245"/>
        <v>Proinflamatorio</v>
      </c>
      <c r="BT553" s="6" t="str">
        <f t="shared" si="246"/>
        <v>Muy alto en grasas</v>
      </c>
      <c r="BU553" s="18" t="str">
        <f t="shared" si="255"/>
        <v>Equilibrio de líquidos ideal</v>
      </c>
      <c r="BV553" s="18" t="str">
        <f t="shared" si="256"/>
        <v>Baja fuente de magnesio</v>
      </c>
      <c r="BW553" s="18" t="str">
        <f t="shared" si="257"/>
        <v>Sin aporte de Omega 3</v>
      </c>
      <c r="BX553" s="18" t="str">
        <f t="shared" si="258"/>
        <v>Libre de grasas trans</v>
      </c>
      <c r="BY553" s="18" t="str">
        <f t="shared" si="259"/>
        <v>Medio poder antioxidante</v>
      </c>
      <c r="BZ553" s="6" t="str">
        <f t="shared" si="247"/>
        <v>Sin probióticos</v>
      </c>
      <c r="CA553" s="18" t="str">
        <f t="shared" si="260"/>
        <v>Poco inflamatorio</v>
      </c>
      <c r="CB553" s="18" t="str">
        <f>IF(ISNUMBER(SEARCH("miel", D553)), "No irritante (Uso condicionado SII)", IF(OR(J553&gt;0, ISNUMBER(SEARCH("cacao", D553)), ISNUMBER(SEARCH("chocolate puro", D553))), "Altamente irritante", IF(OR(AND(O553&gt;15, BI553&gt;1), ISNUMBER(SEARCH("chocolate", D553))), "Moderadamente irritante", "No irritante")))</f>
        <v>No irritante</v>
      </c>
      <c r="CC553" s="6" t="str">
        <f t="shared" si="248"/>
        <v>Balance de omegas favorable</v>
      </c>
    </row>
    <row r="554" spans="1:81" ht="15" customHeight="1" x14ac:dyDescent="0.3">
      <c r="A554" s="2">
        <f t="shared" si="249"/>
        <v>553</v>
      </c>
      <c r="B554" s="3" t="s">
        <v>686</v>
      </c>
      <c r="C554" s="3" t="s">
        <v>717</v>
      </c>
      <c r="D554" s="3" t="s">
        <v>720</v>
      </c>
      <c r="E554" s="3"/>
      <c r="F554" s="4">
        <v>1.5</v>
      </c>
      <c r="G554" s="5">
        <v>1</v>
      </c>
      <c r="H554" s="5">
        <v>45</v>
      </c>
      <c r="I554" s="5">
        <v>90.3</v>
      </c>
      <c r="J554" s="5">
        <v>0</v>
      </c>
      <c r="K554" s="5">
        <v>1.2</v>
      </c>
      <c r="L554" s="5">
        <v>7.1</v>
      </c>
      <c r="M554" s="5">
        <v>0</v>
      </c>
      <c r="N554" s="5">
        <v>3.3</v>
      </c>
      <c r="O554" s="5">
        <v>3.3</v>
      </c>
      <c r="P554" s="5">
        <v>0.39</v>
      </c>
      <c r="Q554" s="5">
        <v>1</v>
      </c>
      <c r="R554" s="5">
        <v>0.12</v>
      </c>
      <c r="S554" s="5">
        <v>0.45</v>
      </c>
      <c r="T554" s="5">
        <v>0.4</v>
      </c>
      <c r="U554" s="5">
        <v>0</v>
      </c>
      <c r="V554" s="5">
        <v>0</v>
      </c>
      <c r="W554" s="5">
        <v>0</v>
      </c>
      <c r="X554" s="5">
        <v>0</v>
      </c>
      <c r="Y554" s="5">
        <v>0.75</v>
      </c>
      <c r="Z554" s="5">
        <v>0</v>
      </c>
      <c r="AA554" s="5">
        <v>0</v>
      </c>
      <c r="AB554" s="5">
        <v>0</v>
      </c>
      <c r="AC554" s="5">
        <v>0.21</v>
      </c>
      <c r="AD554" s="5">
        <v>0</v>
      </c>
      <c r="AE554" s="5">
        <v>0</v>
      </c>
      <c r="AF554" s="5">
        <v>0</v>
      </c>
      <c r="AG554" s="5">
        <v>0.38</v>
      </c>
      <c r="AH554" s="5">
        <v>0</v>
      </c>
      <c r="AI554" s="5">
        <v>0</v>
      </c>
      <c r="AJ554" s="5">
        <v>0</v>
      </c>
      <c r="AK554" s="5">
        <v>120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48</v>
      </c>
      <c r="AR554" s="5">
        <v>0</v>
      </c>
      <c r="AS554" s="5">
        <v>0</v>
      </c>
      <c r="AT554" s="5">
        <v>0</v>
      </c>
      <c r="AU554" s="5">
        <v>0</v>
      </c>
      <c r="AV554" s="5">
        <f>IFERROR(VLOOKUP(IFERROR(VLOOKUP(D554,Mapa_Similitud!$A$2:$B$2000,2,FALSE()),D554),Hoja1!$A$2:$K$1000,2,FALSE()),IFERROR(VLOOKUP(IFERROR(VLOOKUP(D554,Mapa_Similitud!$A$2:$B$2000,2,FALSE()),D554),Omega3_Referencia!$A$2:$E$100,3,FALSE()),0))</f>
        <v>0</v>
      </c>
      <c r="AW554" s="3" t="str">
        <f>IFERROR(VLOOKUP(IFERROR(VLOOKUP(D554,Mapa_Similitud!$A$2:$B$2000,2,FALSE()),D554),Hoja1!$A$2:$K$1000,3,FALSE()),IFERROR(VLOOKUP(IFERROR(VLOOKUP(D554,Mapa_Similitud!$A$2:$B$2000,2,FALSE()),D554),Omega3_Referencia!$A$2:$E$100,4,FALSE()),"N/A"))</f>
        <v>N/A</v>
      </c>
      <c r="AX554" s="5">
        <f>IFERROR(VLOOKUP(IFERROR(VLOOKUP(D554,Mapa_Similitud!$A$2:$B$2000,2,FALSE()),D554),Hoja1!$A$2:$K$1000,5,FALSE()),0)</f>
        <v>0</v>
      </c>
      <c r="AY554" s="5">
        <f>IFERROR(VLOOKUP(IFERROR(VLOOKUP(D554,Mapa_Similitud!$A$2:$B$2000,2,FALSE()),D554),Hoja1!$A$2:$K$1000,7,FALSE()),0)</f>
        <v>0</v>
      </c>
      <c r="AZ554" s="5">
        <f>IFERROR(VLOOKUP(IFERROR(VLOOKUP(D554,Mapa_Similitud!$A$2:$B$2000,2,FALSE()),D554),Hoja1!$A$2:$K$1000,9,FALSE()),0)</f>
        <v>0</v>
      </c>
      <c r="BA554" s="25">
        <f t="shared" si="232"/>
        <v>2.6666666666666665E-2</v>
      </c>
      <c r="BB554" s="25">
        <f t="shared" si="233"/>
        <v>8.6666666666666663E-3</v>
      </c>
      <c r="BC554" s="25">
        <f t="shared" si="234"/>
        <v>2.6666666666666665</v>
      </c>
      <c r="BD554" s="25">
        <f t="shared" si="235"/>
        <v>0</v>
      </c>
      <c r="BE554" s="25">
        <f t="shared" si="236"/>
        <v>1.0666666666666667</v>
      </c>
      <c r="BF554" s="25">
        <f t="shared" si="237"/>
        <v>3.3333333333333335</v>
      </c>
      <c r="BG554" s="25">
        <f t="shared" si="238"/>
        <v>0</v>
      </c>
      <c r="BH554" s="25">
        <f t="shared" si="239"/>
        <v>0.12</v>
      </c>
      <c r="BI554" s="25">
        <f t="shared" si="240"/>
        <v>0</v>
      </c>
      <c r="BJ554" s="25">
        <f t="shared" si="241"/>
        <v>0.46478873239436619</v>
      </c>
      <c r="BK554" s="25">
        <f t="shared" si="242"/>
        <v>5.4929577464788736E-2</v>
      </c>
      <c r="BL554" s="25">
        <f t="shared" si="243"/>
        <v>0.2</v>
      </c>
      <c r="BM554" s="25">
        <f t="shared" si="244"/>
        <v>0</v>
      </c>
      <c r="BN554" s="18" t="str">
        <f t="shared" si="250"/>
        <v>Baja fuente de proteína</v>
      </c>
      <c r="BO554" s="18" t="str">
        <f t="shared" si="251"/>
        <v>Baja fuente de fibra</v>
      </c>
      <c r="BP554" s="18" t="str">
        <f t="shared" si="252"/>
        <v>Alta fuente de calcio</v>
      </c>
      <c r="BQ554" s="18" t="str">
        <f t="shared" si="253"/>
        <v>Baja fuente de hierro</v>
      </c>
      <c r="BR554" s="18" t="str">
        <f t="shared" si="254"/>
        <v>Alto en sodio</v>
      </c>
      <c r="BS554" s="6" t="str">
        <f t="shared" si="245"/>
        <v>Altamente antiinflamatorio</v>
      </c>
      <c r="BT554" s="6" t="str">
        <f t="shared" si="246"/>
        <v>Bajo en grasas</v>
      </c>
      <c r="BU554" s="18" t="str">
        <f t="shared" si="255"/>
        <v>Equilibrio de líquidos ideal</v>
      </c>
      <c r="BV554" s="18" t="str">
        <f t="shared" si="256"/>
        <v>Baja fuente de magnesio</v>
      </c>
      <c r="BW554" s="18" t="str">
        <f t="shared" si="257"/>
        <v>Sin aporte de Omega 3</v>
      </c>
      <c r="BX554" s="18" t="str">
        <f t="shared" si="258"/>
        <v>Libre de grasas trans</v>
      </c>
      <c r="BY554" s="18" t="str">
        <f t="shared" si="259"/>
        <v>Bajo poder antioxidante</v>
      </c>
      <c r="BZ554" s="6" t="str">
        <f t="shared" si="247"/>
        <v>Sin probióticos</v>
      </c>
      <c r="CA554" s="18" t="str">
        <f t="shared" si="260"/>
        <v>Poco inflamatorio</v>
      </c>
      <c r="CB554" s="18" t="str">
        <f>IF(ISNUMBER(SEARCH("miel", D554)), "No irritante (Uso condicionado SII)", IF(OR(J554&gt;0, ISNUMBER(SEARCH("cacao", D554)), ISNUMBER(SEARCH("chocolate puro", D554))), "Altamente irritante", IF(OR(AND(O554&gt;15, BI554&gt;1), ISNUMBER(SEARCH("chocolate", D554))), "Moderadamente irritante", "No irritante")))</f>
        <v>No irritante</v>
      </c>
      <c r="CC554" s="6" t="str">
        <f t="shared" si="248"/>
        <v>Sin Omega 3 para evaluar</v>
      </c>
    </row>
    <row r="555" spans="1:81" ht="15" customHeight="1" x14ac:dyDescent="0.3">
      <c r="A555" s="2">
        <f t="shared" si="249"/>
        <v>554</v>
      </c>
      <c r="B555" s="3" t="s">
        <v>686</v>
      </c>
      <c r="C555" s="3" t="s">
        <v>717</v>
      </c>
      <c r="D555" s="3" t="s">
        <v>721</v>
      </c>
      <c r="E555" s="3"/>
      <c r="F555" s="4">
        <v>1.5</v>
      </c>
      <c r="G555" s="5">
        <v>1</v>
      </c>
      <c r="H555" s="5">
        <v>46.7</v>
      </c>
      <c r="I555" s="5">
        <v>89.6</v>
      </c>
      <c r="J555" s="5">
        <v>0</v>
      </c>
      <c r="K555" s="5">
        <v>1</v>
      </c>
      <c r="L555" s="5">
        <v>8.6999999999999993</v>
      </c>
      <c r="M555" s="5">
        <v>5.6</v>
      </c>
      <c r="N555" s="5">
        <v>3.1</v>
      </c>
      <c r="O555" s="5">
        <v>3.1</v>
      </c>
      <c r="P555" s="5">
        <v>0.8</v>
      </c>
      <c r="Q555" s="5">
        <v>0.7</v>
      </c>
      <c r="R555" s="5">
        <v>0.1</v>
      </c>
      <c r="S555" s="5">
        <v>0.4</v>
      </c>
      <c r="T555" s="5">
        <v>0.2</v>
      </c>
      <c r="U555" s="5">
        <v>0</v>
      </c>
      <c r="V555" s="5">
        <v>0</v>
      </c>
      <c r="W555" s="5">
        <v>0</v>
      </c>
      <c r="X555" s="5">
        <v>31.1</v>
      </c>
      <c r="Y555" s="5">
        <v>0</v>
      </c>
      <c r="Z555" s="5">
        <v>0.4</v>
      </c>
      <c r="AA555" s="5">
        <v>0</v>
      </c>
      <c r="AB555" s="5">
        <v>0.03</v>
      </c>
      <c r="AC555" s="5">
        <v>0.01</v>
      </c>
      <c r="AD555" s="5">
        <v>0.4</v>
      </c>
      <c r="AE555" s="5">
        <v>0.01</v>
      </c>
      <c r="AF555" s="5">
        <v>4.5999999999999996</v>
      </c>
      <c r="AG555" s="5">
        <v>0</v>
      </c>
      <c r="AH555" s="5">
        <v>0</v>
      </c>
      <c r="AI555" s="5">
        <v>0</v>
      </c>
      <c r="AJ555" s="5">
        <v>0</v>
      </c>
      <c r="AK555" s="5">
        <v>7</v>
      </c>
      <c r="AL555" s="5">
        <v>43</v>
      </c>
      <c r="AM555" s="5">
        <v>0.6</v>
      </c>
      <c r="AN555" s="5">
        <v>0</v>
      </c>
      <c r="AO555" s="5">
        <v>0.5</v>
      </c>
      <c r="AP555" s="5">
        <v>13.4</v>
      </c>
      <c r="AQ555" s="5">
        <v>50</v>
      </c>
      <c r="AR555" s="5">
        <v>41</v>
      </c>
      <c r="AS555" s="5">
        <v>0</v>
      </c>
      <c r="AT555" s="5">
        <v>0</v>
      </c>
      <c r="AU555" s="5">
        <v>0.9</v>
      </c>
      <c r="AV555" s="5">
        <f>IFERROR(VLOOKUP(IFERROR(VLOOKUP(D555,Mapa_Similitud!$A$2:$B$2000,2,FALSE()),D555),Hoja1!$A$2:$K$1000,2,FALSE()),IFERROR(VLOOKUP(IFERROR(VLOOKUP(D555,Mapa_Similitud!$A$2:$B$2000,2,FALSE()),D555),Omega3_Referencia!$A$2:$E$100,3,FALSE()),0))</f>
        <v>0</v>
      </c>
      <c r="AW555" s="3" t="str">
        <f>IFERROR(VLOOKUP(IFERROR(VLOOKUP(D555,Mapa_Similitud!$A$2:$B$2000,2,FALSE()),D555),Hoja1!$A$2:$K$1000,3,FALSE()),IFERROR(VLOOKUP(IFERROR(VLOOKUP(D555,Mapa_Similitud!$A$2:$B$2000,2,FALSE()),D555),Omega3_Referencia!$A$2:$E$100,4,FALSE()),"N/A"))</f>
        <v>N/A</v>
      </c>
      <c r="AX555" s="5">
        <f>IFERROR(VLOOKUP(IFERROR(VLOOKUP(D555,Mapa_Similitud!$A$2:$B$2000,2,FALSE()),D555),Hoja1!$A$2:$K$1000,5,FALSE()),0)</f>
        <v>0</v>
      </c>
      <c r="AY555" s="5">
        <f>IFERROR(VLOOKUP(IFERROR(VLOOKUP(D555,Mapa_Similitud!$A$2:$B$2000,2,FALSE()),D555),Hoja1!$A$2:$K$1000,7,FALSE()),0)</f>
        <v>0</v>
      </c>
      <c r="AZ555" s="5">
        <f>IFERROR(VLOOKUP(IFERROR(VLOOKUP(D555,Mapa_Similitud!$A$2:$B$2000,2,FALSE()),D555),Hoja1!$A$2:$K$1000,9,FALSE()),0)</f>
        <v>0</v>
      </c>
      <c r="BA555" s="25">
        <f t="shared" si="232"/>
        <v>2.1413276231263382E-2</v>
      </c>
      <c r="BB555" s="25">
        <f t="shared" si="233"/>
        <v>1.7130620985010708E-2</v>
      </c>
      <c r="BC555" s="25">
        <f t="shared" si="234"/>
        <v>0.14989293361884368</v>
      </c>
      <c r="BD555" s="25">
        <f t="shared" si="235"/>
        <v>1.2847965738758028E-2</v>
      </c>
      <c r="BE555" s="25">
        <f t="shared" si="236"/>
        <v>1.070663811563169</v>
      </c>
      <c r="BF555" s="25">
        <f t="shared" si="237"/>
        <v>2</v>
      </c>
      <c r="BG555" s="25">
        <f t="shared" si="238"/>
        <v>0.16279069767441862</v>
      </c>
      <c r="BH555" s="25">
        <f t="shared" si="239"/>
        <v>0.14285714285714288</v>
      </c>
      <c r="BI555" s="25">
        <f t="shared" si="240"/>
        <v>1.2195121951219512</v>
      </c>
      <c r="BJ555" s="25">
        <f t="shared" si="241"/>
        <v>0.35632183908045983</v>
      </c>
      <c r="BK555" s="25">
        <f t="shared" si="242"/>
        <v>9.195402298850576E-2</v>
      </c>
      <c r="BL555" s="25">
        <f t="shared" si="243"/>
        <v>0.13490364025695931</v>
      </c>
      <c r="BM555" s="25">
        <f t="shared" si="244"/>
        <v>0.28693790149892934</v>
      </c>
      <c r="BN555" s="18" t="str">
        <f t="shared" si="250"/>
        <v>Baja fuente de proteína</v>
      </c>
      <c r="BO555" s="18" t="str">
        <f t="shared" si="251"/>
        <v>Media fuente de fibra</v>
      </c>
      <c r="BP555" s="18" t="str">
        <f t="shared" si="252"/>
        <v>Baja fuente de calcio</v>
      </c>
      <c r="BQ555" s="18" t="str">
        <f t="shared" si="253"/>
        <v>Media fuente de hierro</v>
      </c>
      <c r="BR555" s="18" t="str">
        <f t="shared" si="254"/>
        <v>Alto en sodio</v>
      </c>
      <c r="BS555" s="6" t="str">
        <f t="shared" si="245"/>
        <v>Ligeramente antiinflamatorio</v>
      </c>
      <c r="BT555" s="6" t="str">
        <f t="shared" si="246"/>
        <v>Bajo en grasas</v>
      </c>
      <c r="BU555" s="18" t="str">
        <f t="shared" si="255"/>
        <v>Alto riesgo de retención de líquidos</v>
      </c>
      <c r="BV555" s="18" t="str">
        <f t="shared" si="256"/>
        <v>Media fuente de magnesio</v>
      </c>
      <c r="BW555" s="18" t="str">
        <f t="shared" si="257"/>
        <v>Sin aporte de Omega 3</v>
      </c>
      <c r="BX555" s="18" t="str">
        <f t="shared" si="258"/>
        <v>Libre de grasas trans</v>
      </c>
      <c r="BY555" s="18" t="str">
        <f t="shared" si="259"/>
        <v>Bajo poder antioxidante</v>
      </c>
      <c r="BZ555" s="6" t="str">
        <f t="shared" si="247"/>
        <v>Sin probióticos</v>
      </c>
      <c r="CA555" s="18" t="str">
        <f t="shared" si="260"/>
        <v>Poco inflamatorio</v>
      </c>
      <c r="CB555" s="18" t="str">
        <f>IF(ISNUMBER(SEARCH("miel", D555)), "No irritante (Uso condicionado SII)", IF(OR(J555&gt;0, ISNUMBER(SEARCH("cacao", D555)), ISNUMBER(SEARCH("chocolate puro", D555))), "Altamente irritante", IF(OR(AND(O555&gt;15, BI555&gt;1), ISNUMBER(SEARCH("chocolate", D555))), "Moderadamente irritante", "No irritante")))</f>
        <v>No irritante</v>
      </c>
      <c r="CC555" s="6" t="str">
        <f t="shared" si="248"/>
        <v>Sin Omega 3 para evaluar</v>
      </c>
    </row>
    <row r="556" spans="1:81" ht="15" customHeight="1" x14ac:dyDescent="0.3">
      <c r="A556" s="2">
        <f t="shared" si="249"/>
        <v>555</v>
      </c>
      <c r="B556" s="3" t="s">
        <v>686</v>
      </c>
      <c r="C556" s="3" t="s">
        <v>717</v>
      </c>
      <c r="D556" s="3" t="s">
        <v>722</v>
      </c>
      <c r="E556" s="3"/>
      <c r="F556" s="4">
        <v>1.5</v>
      </c>
      <c r="G556" s="5">
        <v>1</v>
      </c>
      <c r="H556" s="5">
        <v>97.3</v>
      </c>
      <c r="I556" s="5">
        <v>79</v>
      </c>
      <c r="J556" s="5">
        <v>0</v>
      </c>
      <c r="K556" s="5">
        <v>1.2</v>
      </c>
      <c r="L556" s="5">
        <v>17</v>
      </c>
      <c r="M556" s="5">
        <v>3.1</v>
      </c>
      <c r="N556" s="5">
        <v>13.9</v>
      </c>
      <c r="O556" s="5">
        <v>13.9</v>
      </c>
      <c r="P556" s="5">
        <v>0.1</v>
      </c>
      <c r="Q556" s="5">
        <v>2.7</v>
      </c>
      <c r="R556" s="5">
        <v>0.4</v>
      </c>
      <c r="S556" s="5">
        <v>1.9</v>
      </c>
      <c r="T556" s="5">
        <v>0.3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0.02</v>
      </c>
      <c r="AC556" s="5">
        <v>0</v>
      </c>
      <c r="AD556" s="5">
        <v>0.13</v>
      </c>
      <c r="AE556" s="5">
        <v>0</v>
      </c>
      <c r="AF556" s="5">
        <v>2</v>
      </c>
      <c r="AG556" s="5">
        <v>0</v>
      </c>
      <c r="AH556" s="5">
        <v>0</v>
      </c>
      <c r="AI556" s="5">
        <v>0</v>
      </c>
      <c r="AJ556" s="5">
        <v>0.03</v>
      </c>
      <c r="AK556" s="5">
        <v>29</v>
      </c>
      <c r="AL556" s="5">
        <v>26</v>
      </c>
      <c r="AM556" s="5">
        <v>1.2</v>
      </c>
      <c r="AN556" s="5">
        <v>0</v>
      </c>
      <c r="AO556" s="5">
        <v>1</v>
      </c>
      <c r="AP556" s="5">
        <v>15</v>
      </c>
      <c r="AQ556" s="5">
        <v>9</v>
      </c>
      <c r="AR556" s="5">
        <v>52</v>
      </c>
      <c r="AS556" s="5">
        <v>0</v>
      </c>
      <c r="AT556" s="5">
        <v>0</v>
      </c>
      <c r="AU556" s="5">
        <v>0</v>
      </c>
      <c r="AV556" s="5">
        <f>IFERROR(VLOOKUP(IFERROR(VLOOKUP(D556,Mapa_Similitud!$A$2:$B$2000,2,FALSE()),D556),Hoja1!$A$2:$K$1000,2,FALSE()),IFERROR(VLOOKUP(IFERROR(VLOOKUP(D556,Mapa_Similitud!$A$2:$B$2000,2,FALSE()),D556),Omega3_Referencia!$A$2:$E$100,3,FALSE()),0))</f>
        <v>0.02</v>
      </c>
      <c r="AW556" s="3" t="str">
        <f>IFERROR(VLOOKUP(IFERROR(VLOOKUP(D556,Mapa_Similitud!$A$2:$B$2000,2,FALSE()),D556),Hoja1!$A$2:$K$1000,3,FALSE()),IFERROR(VLOOKUP(IFERROR(VLOOKUP(D556,Mapa_Similitud!$A$2:$B$2000,2,FALSE()),D556),Omega3_Referencia!$A$2:$E$100,4,FALSE()),"N/A"))</f>
        <v>ALA</v>
      </c>
      <c r="AX556" s="5">
        <f>IFERROR(VLOOKUP(IFERROR(VLOOKUP(D556,Mapa_Similitud!$A$2:$B$2000,2,FALSE()),D556),Hoja1!$A$2:$K$1000,5,FALSE()),0)</f>
        <v>0</v>
      </c>
      <c r="AY556" s="5">
        <f>IFERROR(VLOOKUP(IFERROR(VLOOKUP(D556,Mapa_Similitud!$A$2:$B$2000,2,FALSE()),D556),Hoja1!$A$2:$K$1000,7,FALSE()),0)</f>
        <v>5</v>
      </c>
      <c r="AZ556" s="5">
        <f>IFERROR(VLOOKUP(IFERROR(VLOOKUP(D556,Mapa_Similitud!$A$2:$B$2000,2,FALSE()),D556),Hoja1!$A$2:$K$1000,9,FALSE()),0)</f>
        <v>0</v>
      </c>
      <c r="BA556" s="25">
        <f t="shared" si="232"/>
        <v>1.2332990750256937E-2</v>
      </c>
      <c r="BB556" s="25">
        <f t="shared" si="233"/>
        <v>1.0277492291880781E-3</v>
      </c>
      <c r="BC556" s="25">
        <f t="shared" si="234"/>
        <v>0.29804727646454265</v>
      </c>
      <c r="BD556" s="25">
        <f t="shared" si="235"/>
        <v>1.2332990750256937E-2</v>
      </c>
      <c r="BE556" s="25">
        <f t="shared" si="236"/>
        <v>9.249743062692703E-2</v>
      </c>
      <c r="BF556" s="25">
        <f t="shared" si="237"/>
        <v>0.74999999999999989</v>
      </c>
      <c r="BG556" s="25">
        <f t="shared" si="238"/>
        <v>1.1153846153846154</v>
      </c>
      <c r="BH556" s="25">
        <f t="shared" si="239"/>
        <v>0.14814814814814814</v>
      </c>
      <c r="BI556" s="25">
        <f t="shared" si="240"/>
        <v>0.17307692307692307</v>
      </c>
      <c r="BJ556" s="25">
        <f t="shared" si="241"/>
        <v>0.81764705882352939</v>
      </c>
      <c r="BK556" s="25">
        <f t="shared" si="242"/>
        <v>5.8823529411764705E-3</v>
      </c>
      <c r="BL556" s="25">
        <f t="shared" si="243"/>
        <v>0.24974306269270299</v>
      </c>
      <c r="BM556" s="25">
        <f t="shared" si="244"/>
        <v>0.15416238437821173</v>
      </c>
      <c r="BN556" s="18" t="str">
        <f t="shared" si="250"/>
        <v>Baja fuente de proteína</v>
      </c>
      <c r="BO556" s="18" t="str">
        <f t="shared" si="251"/>
        <v>Baja fuente de fibra</v>
      </c>
      <c r="BP556" s="18" t="str">
        <f t="shared" si="252"/>
        <v>Baja fuente de calcio</v>
      </c>
      <c r="BQ556" s="18" t="str">
        <f t="shared" si="253"/>
        <v>Media fuente de hierro</v>
      </c>
      <c r="BR556" s="18" t="str">
        <f t="shared" si="254"/>
        <v>Bajo en sodio</v>
      </c>
      <c r="BS556" s="6" t="str">
        <f t="shared" si="245"/>
        <v>Neutro</v>
      </c>
      <c r="BT556" s="6" t="str">
        <f t="shared" si="246"/>
        <v>Moderado en grasas</v>
      </c>
      <c r="BU556" s="18" t="str">
        <f t="shared" si="255"/>
        <v>Equilibrio de líquidos ideal</v>
      </c>
      <c r="BV556" s="18" t="str">
        <f t="shared" si="256"/>
        <v>Baja fuente de magnesio</v>
      </c>
      <c r="BW556" s="18" t="str">
        <f t="shared" si="257"/>
        <v>Sin aporte de Omega 3</v>
      </c>
      <c r="BX556" s="18" t="str">
        <f t="shared" si="258"/>
        <v>Libre de grasas trans</v>
      </c>
      <c r="BY556" s="18" t="str">
        <f t="shared" si="259"/>
        <v>Bajo poder antioxidante</v>
      </c>
      <c r="BZ556" s="6" t="str">
        <f t="shared" si="247"/>
        <v>Sin probióticos</v>
      </c>
      <c r="CA556" s="18" t="str">
        <f t="shared" si="260"/>
        <v>Moderadamente inflamatorio</v>
      </c>
      <c r="CB556" s="18" t="str">
        <f>IF(ISNUMBER(SEARCH("miel", D556)), "No irritante (Uso condicionado SII)", IF(OR(J556&gt;0, ISNUMBER(SEARCH("cacao", D556)), ISNUMBER(SEARCH("chocolate puro", D556))), "Altamente irritante", IF(OR(AND(O556&gt;15, BI556&gt;1), ISNUMBER(SEARCH("chocolate", D556))), "Moderadamente irritante", "No irritante")))</f>
        <v>No irritante</v>
      </c>
      <c r="CC556" s="6" t="str">
        <f t="shared" si="248"/>
        <v>Exceso relativo de Omega 6</v>
      </c>
    </row>
    <row r="557" spans="1:81" ht="15" customHeight="1" x14ac:dyDescent="0.3">
      <c r="A557" s="2">
        <f t="shared" si="249"/>
        <v>556</v>
      </c>
      <c r="B557" s="3" t="s">
        <v>686</v>
      </c>
      <c r="C557" s="3" t="s">
        <v>717</v>
      </c>
      <c r="D557" s="3" t="s">
        <v>723</v>
      </c>
      <c r="E557" s="3"/>
      <c r="F557" s="4">
        <v>1.5</v>
      </c>
      <c r="G557" s="5">
        <v>1</v>
      </c>
      <c r="H557" s="5">
        <v>48</v>
      </c>
      <c r="I557" s="5">
        <v>89.1</v>
      </c>
      <c r="J557" s="5">
        <v>0</v>
      </c>
      <c r="K557" s="5">
        <v>0.47</v>
      </c>
      <c r="L557" s="5">
        <v>9.1999999999999993</v>
      </c>
      <c r="M557" s="5">
        <v>3.8</v>
      </c>
      <c r="N557" s="5">
        <v>5.3</v>
      </c>
      <c r="O557" s="5">
        <v>0</v>
      </c>
      <c r="P557" s="5">
        <v>0.3</v>
      </c>
      <c r="Q557" s="5">
        <v>0.97</v>
      </c>
      <c r="R557" s="5">
        <v>0</v>
      </c>
      <c r="S557" s="5">
        <v>0.63</v>
      </c>
      <c r="T557" s="5">
        <v>0.31</v>
      </c>
      <c r="U557" s="5">
        <v>0</v>
      </c>
      <c r="V557" s="5">
        <v>62.4</v>
      </c>
      <c r="W557" s="5">
        <v>0</v>
      </c>
      <c r="X557" s="5">
        <v>374</v>
      </c>
      <c r="Y557" s="5">
        <v>1.1000000000000001</v>
      </c>
      <c r="Z557" s="5">
        <v>0.47</v>
      </c>
      <c r="AA557" s="5">
        <v>0.2</v>
      </c>
      <c r="AB557" s="5">
        <v>2.7E-2</v>
      </c>
      <c r="AC557" s="5">
        <v>0.14000000000000001</v>
      </c>
      <c r="AD557" s="5">
        <v>0.39</v>
      </c>
      <c r="AE557" s="5">
        <v>3.9E-2</v>
      </c>
      <c r="AF557" s="5">
        <v>2</v>
      </c>
      <c r="AG557" s="5">
        <v>0.63</v>
      </c>
      <c r="AH557" s="5">
        <v>0</v>
      </c>
      <c r="AI557" s="5">
        <v>0</v>
      </c>
      <c r="AJ557" s="5">
        <v>0</v>
      </c>
      <c r="AK557" s="5">
        <v>118</v>
      </c>
      <c r="AL557" s="5">
        <v>56</v>
      </c>
      <c r="AM557" s="5">
        <v>0.2</v>
      </c>
      <c r="AN557" s="5">
        <v>0</v>
      </c>
      <c r="AO557" s="5">
        <v>0.13</v>
      </c>
      <c r="AP557" s="5">
        <v>11</v>
      </c>
      <c r="AQ557" s="5">
        <v>39</v>
      </c>
      <c r="AR557" s="5">
        <v>27</v>
      </c>
      <c r="AS557" s="5">
        <v>0</v>
      </c>
      <c r="AT557" s="5">
        <v>0</v>
      </c>
      <c r="AU557" s="5">
        <v>0</v>
      </c>
      <c r="AV557" s="5">
        <f>IFERROR(VLOOKUP(IFERROR(VLOOKUP(D557,Mapa_Similitud!$A$2:$B$2000,2,FALSE()),D557),Hoja1!$A$2:$K$1000,2,FALSE()),IFERROR(VLOOKUP(IFERROR(VLOOKUP(D557,Mapa_Similitud!$A$2:$B$2000,2,FALSE()),D557),Omega3_Referencia!$A$2:$E$100,3,FALSE()),0))</f>
        <v>0</v>
      </c>
      <c r="AW557" s="3" t="str">
        <f>IFERROR(VLOOKUP(IFERROR(VLOOKUP(D557,Mapa_Similitud!$A$2:$B$2000,2,FALSE()),D557),Hoja1!$A$2:$K$1000,3,FALSE()),IFERROR(VLOOKUP(IFERROR(VLOOKUP(D557,Mapa_Similitud!$A$2:$B$2000,2,FALSE()),D557),Omega3_Referencia!$A$2:$E$100,4,FALSE()),"N/A"))</f>
        <v>N/A</v>
      </c>
      <c r="AX557" s="5">
        <f>IFERROR(VLOOKUP(IFERROR(VLOOKUP(D557,Mapa_Similitud!$A$2:$B$2000,2,FALSE()),D557),Hoja1!$A$2:$K$1000,5,FALSE()),0)</f>
        <v>0</v>
      </c>
      <c r="AY557" s="5">
        <f>IFERROR(VLOOKUP(IFERROR(VLOOKUP(D557,Mapa_Similitud!$A$2:$B$2000,2,FALSE()),D557),Hoja1!$A$2:$K$1000,7,FALSE()),0)</f>
        <v>0</v>
      </c>
      <c r="AZ557" s="5">
        <f>IFERROR(VLOOKUP(IFERROR(VLOOKUP(D557,Mapa_Similitud!$A$2:$B$2000,2,FALSE()),D557),Hoja1!$A$2:$K$1000,9,FALSE()),0)</f>
        <v>0</v>
      </c>
      <c r="BA557" s="25">
        <f t="shared" si="232"/>
        <v>9.7916666666666655E-3</v>
      </c>
      <c r="BB557" s="25">
        <f t="shared" si="233"/>
        <v>6.2499999999999995E-3</v>
      </c>
      <c r="BC557" s="25">
        <f t="shared" si="234"/>
        <v>2.4583333333333335</v>
      </c>
      <c r="BD557" s="25">
        <f t="shared" si="235"/>
        <v>4.1666666666666666E-3</v>
      </c>
      <c r="BE557" s="25">
        <f t="shared" si="236"/>
        <v>0.8125</v>
      </c>
      <c r="BF557" s="25">
        <f t="shared" si="237"/>
        <v>0</v>
      </c>
      <c r="BG557" s="25">
        <f t="shared" si="238"/>
        <v>2.1071428571428572</v>
      </c>
      <c r="BH557" s="25">
        <f t="shared" si="239"/>
        <v>0</v>
      </c>
      <c r="BI557" s="25">
        <f t="shared" si="240"/>
        <v>1.4444444444444444</v>
      </c>
      <c r="BJ557" s="25">
        <f t="shared" si="241"/>
        <v>0.57608695652173914</v>
      </c>
      <c r="BK557" s="25">
        <f t="shared" si="242"/>
        <v>3.2608695652173912E-2</v>
      </c>
      <c r="BL557" s="25">
        <f t="shared" si="243"/>
        <v>0.18187500000000001</v>
      </c>
      <c r="BM557" s="25">
        <f t="shared" si="244"/>
        <v>0.22916666666666666</v>
      </c>
      <c r="BN557" s="18" t="str">
        <f t="shared" si="250"/>
        <v>Baja fuente de proteína</v>
      </c>
      <c r="BO557" s="18" t="str">
        <f t="shared" si="251"/>
        <v>Baja fuente de fibra</v>
      </c>
      <c r="BP557" s="18" t="str">
        <f t="shared" si="252"/>
        <v>Alta fuente de calcio</v>
      </c>
      <c r="BQ557" s="18" t="str">
        <f t="shared" si="253"/>
        <v>Baja fuente de hierro</v>
      </c>
      <c r="BR557" s="18" t="str">
        <f t="shared" si="254"/>
        <v>Moderado en sodio</v>
      </c>
      <c r="BS557" s="6" t="str">
        <f t="shared" si="245"/>
        <v>Proinflamatorio</v>
      </c>
      <c r="BT557" s="6" t="str">
        <f t="shared" si="246"/>
        <v>Bajo en grasas</v>
      </c>
      <c r="BU557" s="18" t="str">
        <f t="shared" si="255"/>
        <v>Alto riesgo de retención de líquidos</v>
      </c>
      <c r="BV557" s="18" t="str">
        <f t="shared" si="256"/>
        <v>Media fuente de magnesio</v>
      </c>
      <c r="BW557" s="18" t="str">
        <f t="shared" si="257"/>
        <v>Sin aporte de Omega 3</v>
      </c>
      <c r="BX557" s="18" t="str">
        <f t="shared" si="258"/>
        <v>Libre de grasas trans</v>
      </c>
      <c r="BY557" s="18" t="str">
        <f t="shared" si="259"/>
        <v>Bajo poder antioxidante</v>
      </c>
      <c r="BZ557" s="6" t="str">
        <f t="shared" si="247"/>
        <v>Sin probióticos</v>
      </c>
      <c r="CA557" s="18" t="str">
        <f t="shared" si="260"/>
        <v>Poco inflamatorio</v>
      </c>
      <c r="CB557" s="18" t="str">
        <f>IF(ISNUMBER(SEARCH("miel", D557)), "No irritante (Uso condicionado SII)", IF(OR(J557&gt;0, ISNUMBER(SEARCH("cacao", D557)), ISNUMBER(SEARCH("chocolate puro", D557))), "Altamente irritante", IF(OR(AND(O557&gt;15, BI557&gt;1), ISNUMBER(SEARCH("chocolate", D557))), "Moderadamente irritante", "No irritante")))</f>
        <v>No irritante</v>
      </c>
      <c r="CC557" s="6" t="str">
        <f t="shared" si="248"/>
        <v>Sin Omega 3 para evaluar</v>
      </c>
    </row>
    <row r="558" spans="1:81" ht="15" customHeight="1" x14ac:dyDescent="0.3">
      <c r="A558" s="2">
        <f t="shared" si="249"/>
        <v>557</v>
      </c>
      <c r="B558" s="3" t="s">
        <v>686</v>
      </c>
      <c r="C558" s="3" t="s">
        <v>717</v>
      </c>
      <c r="D558" s="3" t="s">
        <v>724</v>
      </c>
      <c r="E558" s="3"/>
      <c r="F558" s="4">
        <v>1.5</v>
      </c>
      <c r="G558" s="5">
        <v>1</v>
      </c>
      <c r="H558" s="5">
        <v>241</v>
      </c>
      <c r="I558" s="5">
        <v>68.400000000000006</v>
      </c>
      <c r="J558" s="5">
        <v>0</v>
      </c>
      <c r="K558" s="5">
        <v>2.2999999999999998</v>
      </c>
      <c r="L558" s="5">
        <v>3.3</v>
      </c>
      <c r="M558" s="5">
        <v>0</v>
      </c>
      <c r="N558" s="5">
        <v>3.3</v>
      </c>
      <c r="O558" s="5">
        <v>3.3</v>
      </c>
      <c r="P558" s="5">
        <v>2.2000000000000002</v>
      </c>
      <c r="Q558" s="5">
        <v>23.8</v>
      </c>
      <c r="R558" s="5">
        <v>21.1</v>
      </c>
      <c r="S558" s="5">
        <v>1</v>
      </c>
      <c r="T558" s="5">
        <v>0.26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0.15</v>
      </c>
      <c r="AA558" s="5">
        <v>0.1</v>
      </c>
      <c r="AB558" s="5">
        <v>2.5999999999999999E-2</v>
      </c>
      <c r="AC558" s="5">
        <v>0</v>
      </c>
      <c r="AD558" s="5">
        <v>0.76</v>
      </c>
      <c r="AE558" s="5">
        <v>3.3000000000000002E-2</v>
      </c>
      <c r="AF558" s="5">
        <v>16</v>
      </c>
      <c r="AG558" s="5">
        <v>0</v>
      </c>
      <c r="AH558" s="5">
        <v>0.18</v>
      </c>
      <c r="AI558" s="5">
        <v>0</v>
      </c>
      <c r="AJ558" s="5">
        <v>2.6</v>
      </c>
      <c r="AK558" s="5">
        <v>16</v>
      </c>
      <c r="AL558" s="5">
        <v>100</v>
      </c>
      <c r="AM558" s="5">
        <v>1.6</v>
      </c>
      <c r="AN558" s="5">
        <v>0</v>
      </c>
      <c r="AO558" s="5">
        <v>0.67</v>
      </c>
      <c r="AP558" s="5">
        <v>37</v>
      </c>
      <c r="AQ558" s="5">
        <v>15</v>
      </c>
      <c r="AR558" s="5">
        <v>263</v>
      </c>
      <c r="AS558" s="5">
        <v>0.92</v>
      </c>
      <c r="AT558" s="5">
        <v>0.27</v>
      </c>
      <c r="AU558" s="5">
        <v>6.2</v>
      </c>
      <c r="AV558" s="5">
        <f>IFERROR(VLOOKUP(IFERROR(VLOOKUP(D558,Mapa_Similitud!$A$2:$B$2000,2,FALSE()),D558),Hoja1!$A$2:$K$1000,2,FALSE()),IFERROR(VLOOKUP(IFERROR(VLOOKUP(D558,Mapa_Similitud!$A$2:$B$2000,2,FALSE()),D558),Omega3_Referencia!$A$2:$E$100,3,FALSE()),0))</f>
        <v>0</v>
      </c>
      <c r="AW558" s="3" t="str">
        <f>IFERROR(VLOOKUP(IFERROR(VLOOKUP(D558,Mapa_Similitud!$A$2:$B$2000,2,FALSE()),D558),Hoja1!$A$2:$K$1000,3,FALSE()),IFERROR(VLOOKUP(IFERROR(VLOOKUP(D558,Mapa_Similitud!$A$2:$B$2000,2,FALSE()),D558),Omega3_Referencia!$A$2:$E$100,4,FALSE()),"N/A"))</f>
        <v>N/A</v>
      </c>
      <c r="AX558" s="5">
        <f>IFERROR(VLOOKUP(IFERROR(VLOOKUP(D558,Mapa_Similitud!$A$2:$B$2000,2,FALSE()),D558),Hoja1!$A$2:$K$1000,5,FALSE()),0)</f>
        <v>0</v>
      </c>
      <c r="AY558" s="5">
        <f>IFERROR(VLOOKUP(IFERROR(VLOOKUP(D558,Mapa_Similitud!$A$2:$B$2000,2,FALSE()),D558),Hoja1!$A$2:$K$1000,7,FALSE()),0)</f>
        <v>0</v>
      </c>
      <c r="AZ558" s="5">
        <f>IFERROR(VLOOKUP(IFERROR(VLOOKUP(D558,Mapa_Similitud!$A$2:$B$2000,2,FALSE()),D558),Hoja1!$A$2:$K$1000,9,FALSE()),0)</f>
        <v>0</v>
      </c>
      <c r="BA558" s="25">
        <f t="shared" si="232"/>
        <v>9.5435684647302895E-3</v>
      </c>
      <c r="BB558" s="25">
        <f t="shared" si="233"/>
        <v>9.1286307053941914E-3</v>
      </c>
      <c r="BC558" s="25">
        <f t="shared" si="234"/>
        <v>6.6390041493775934E-2</v>
      </c>
      <c r="BD558" s="25">
        <f t="shared" si="235"/>
        <v>6.6390041493775941E-3</v>
      </c>
      <c r="BE558" s="25">
        <f t="shared" si="236"/>
        <v>6.2240663900414939E-2</v>
      </c>
      <c r="BF558" s="25">
        <f t="shared" si="237"/>
        <v>1.2322274881516587E-2</v>
      </c>
      <c r="BG558" s="25">
        <f t="shared" si="238"/>
        <v>0.16</v>
      </c>
      <c r="BH558" s="25">
        <f t="shared" si="239"/>
        <v>0.88655462184873957</v>
      </c>
      <c r="BI558" s="25">
        <f t="shared" si="240"/>
        <v>5.7034220532319393E-2</v>
      </c>
      <c r="BJ558" s="25">
        <f t="shared" si="241"/>
        <v>1</v>
      </c>
      <c r="BK558" s="25">
        <f t="shared" si="242"/>
        <v>0.66666666666666674</v>
      </c>
      <c r="BL558" s="25">
        <f t="shared" si="243"/>
        <v>0.88879668049792537</v>
      </c>
      <c r="BM558" s="25">
        <f t="shared" si="244"/>
        <v>0.15352697095435686</v>
      </c>
      <c r="BN558" s="18" t="str">
        <f t="shared" si="250"/>
        <v>Baja fuente de proteína</v>
      </c>
      <c r="BO558" s="18" t="str">
        <f t="shared" si="251"/>
        <v>Baja fuente de fibra</v>
      </c>
      <c r="BP558" s="18" t="str">
        <f t="shared" si="252"/>
        <v>Baja fuente de calcio</v>
      </c>
      <c r="BQ558" s="18" t="str">
        <f t="shared" si="253"/>
        <v>Baja fuente de hierro</v>
      </c>
      <c r="BR558" s="18" t="str">
        <f t="shared" si="254"/>
        <v>Bajo en sodio</v>
      </c>
      <c r="BS558" s="6" t="str">
        <f t="shared" si="245"/>
        <v>Proinflamatorio</v>
      </c>
      <c r="BT558" s="6" t="str">
        <f t="shared" si="246"/>
        <v>Muy alto en grasas</v>
      </c>
      <c r="BU558" s="18" t="str">
        <f t="shared" si="255"/>
        <v>Equilibrio de líquidos ideal</v>
      </c>
      <c r="BV558" s="18" t="str">
        <f t="shared" si="256"/>
        <v>Baja fuente de magnesio</v>
      </c>
      <c r="BW558" s="18" t="str">
        <f t="shared" si="257"/>
        <v>Sin aporte de Omega 3</v>
      </c>
      <c r="BX558" s="18" t="str">
        <f t="shared" si="258"/>
        <v>Libre de grasas trans</v>
      </c>
      <c r="BY558" s="18" t="str">
        <f t="shared" si="259"/>
        <v>Bajo poder antioxidante</v>
      </c>
      <c r="BZ558" s="6" t="str">
        <f t="shared" si="247"/>
        <v>Sin probióticos</v>
      </c>
      <c r="CA558" s="18" t="str">
        <f t="shared" si="260"/>
        <v>Poco inflamatorio</v>
      </c>
      <c r="CB558" s="18" t="str">
        <f>IF(ISNUMBER(SEARCH("miel", D558)), "No irritante (Uso condicionado SII)", IF(OR(J558&gt;0, ISNUMBER(SEARCH("cacao", D558)), ISNUMBER(SEARCH("chocolate puro", D558))), "Altamente irritante", IF(OR(AND(O558&gt;15, BI558&gt;1), ISNUMBER(SEARCH("chocolate", D558))), "Moderadamente irritante", "No irritante")))</f>
        <v>No irritante</v>
      </c>
      <c r="CC558" s="6" t="str">
        <f t="shared" si="248"/>
        <v>Sin Omega 3 para evaluar</v>
      </c>
    </row>
    <row r="559" spans="1:81" ht="15" customHeight="1" x14ac:dyDescent="0.3">
      <c r="A559" s="2">
        <f t="shared" si="249"/>
        <v>558</v>
      </c>
      <c r="B559" s="3" t="s">
        <v>686</v>
      </c>
      <c r="C559" s="3" t="s">
        <v>725</v>
      </c>
      <c r="D559" s="3" t="s">
        <v>726</v>
      </c>
      <c r="E559" s="3"/>
      <c r="F559" s="4">
        <v>1.5</v>
      </c>
      <c r="G559" s="5">
        <v>1</v>
      </c>
      <c r="H559" s="5">
        <v>54.4</v>
      </c>
      <c r="I559" s="5">
        <v>86.4</v>
      </c>
      <c r="J559" s="5">
        <v>0</v>
      </c>
      <c r="K559" s="5">
        <v>0.4</v>
      </c>
      <c r="L559" s="5">
        <v>13.2</v>
      </c>
      <c r="M559" s="5">
        <v>0</v>
      </c>
      <c r="N559" s="5">
        <v>13.2</v>
      </c>
      <c r="O559" s="5">
        <v>9.1999999999999993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16.7</v>
      </c>
      <c r="W559" s="5">
        <v>0</v>
      </c>
      <c r="X559" s="5">
        <v>100</v>
      </c>
      <c r="Y559" s="5">
        <v>0</v>
      </c>
      <c r="Z559" s="5">
        <v>0.3</v>
      </c>
      <c r="AA559" s="5">
        <v>0</v>
      </c>
      <c r="AB559" s="5">
        <v>0.04</v>
      </c>
      <c r="AC559" s="5">
        <v>0.03</v>
      </c>
      <c r="AD559" s="5">
        <v>0.25</v>
      </c>
      <c r="AE559" s="5">
        <v>0.01</v>
      </c>
      <c r="AF559" s="5">
        <v>5</v>
      </c>
      <c r="AG559" s="5">
        <v>0</v>
      </c>
      <c r="AH559" s="5">
        <v>0</v>
      </c>
      <c r="AI559" s="5">
        <v>0</v>
      </c>
      <c r="AJ559" s="5">
        <v>15</v>
      </c>
      <c r="AK559" s="5">
        <v>15</v>
      </c>
      <c r="AL559" s="5">
        <v>10</v>
      </c>
      <c r="AM559" s="5">
        <v>0.1</v>
      </c>
      <c r="AN559" s="5">
        <v>0</v>
      </c>
      <c r="AO559" s="5">
        <v>0</v>
      </c>
      <c r="AP559" s="5">
        <v>8</v>
      </c>
      <c r="AQ559" s="5">
        <v>3</v>
      </c>
      <c r="AR559" s="5">
        <v>120</v>
      </c>
      <c r="AS559" s="5">
        <v>0</v>
      </c>
      <c r="AT559" s="5">
        <v>0</v>
      </c>
      <c r="AU559" s="5">
        <v>0</v>
      </c>
      <c r="AV559" s="5">
        <f>IFERROR(VLOOKUP(IFERROR(VLOOKUP(D559,Mapa_Similitud!$A$2:$B$2000,2,FALSE()),D559),Hoja1!$A$2:$K$1000,2,FALSE()),IFERROR(VLOOKUP(IFERROR(VLOOKUP(D559,Mapa_Similitud!$A$2:$B$2000,2,FALSE()),D559),Omega3_Referencia!$A$2:$E$100,3,FALSE()),0))</f>
        <v>0</v>
      </c>
      <c r="AW559" s="3" t="str">
        <f>IFERROR(VLOOKUP(IFERROR(VLOOKUP(D559,Mapa_Similitud!$A$2:$B$2000,2,FALSE()),D559),Hoja1!$A$2:$K$1000,3,FALSE()),IFERROR(VLOOKUP(IFERROR(VLOOKUP(D559,Mapa_Similitud!$A$2:$B$2000,2,FALSE()),D559),Omega3_Referencia!$A$2:$E$100,4,FALSE()),"N/A"))</f>
        <v>N/A</v>
      </c>
      <c r="AX559" s="5">
        <f>IFERROR(VLOOKUP(IFERROR(VLOOKUP(D559,Mapa_Similitud!$A$2:$B$2000,2,FALSE()),D559),Hoja1!$A$2:$K$1000,5,FALSE()),0)</f>
        <v>0</v>
      </c>
      <c r="AY559" s="5">
        <f>IFERROR(VLOOKUP(IFERROR(VLOOKUP(D559,Mapa_Similitud!$A$2:$B$2000,2,FALSE()),D559),Hoja1!$A$2:$K$1000,7,FALSE()),0)</f>
        <v>0</v>
      </c>
      <c r="AZ559" s="5">
        <f>IFERROR(VLOOKUP(IFERROR(VLOOKUP(D559,Mapa_Similitud!$A$2:$B$2000,2,FALSE()),D559),Hoja1!$A$2:$K$1000,9,FALSE()),0)</f>
        <v>0</v>
      </c>
      <c r="BA559" s="25">
        <f t="shared" si="232"/>
        <v>7.352941176470589E-3</v>
      </c>
      <c r="BB559" s="25">
        <f t="shared" si="233"/>
        <v>0</v>
      </c>
      <c r="BC559" s="25">
        <f t="shared" si="234"/>
        <v>0.27573529411764708</v>
      </c>
      <c r="BD559" s="25">
        <f t="shared" si="235"/>
        <v>1.8382352941176473E-3</v>
      </c>
      <c r="BE559" s="25">
        <f t="shared" si="236"/>
        <v>5.514705882352941E-2</v>
      </c>
      <c r="BF559" s="25">
        <f t="shared" si="237"/>
        <v>0</v>
      </c>
      <c r="BG559" s="25">
        <f t="shared" si="238"/>
        <v>1.5</v>
      </c>
      <c r="BH559" s="25">
        <f t="shared" si="239"/>
        <v>0</v>
      </c>
      <c r="BI559" s="25">
        <f t="shared" si="240"/>
        <v>2.5000000000000001E-2</v>
      </c>
      <c r="BJ559" s="25">
        <f t="shared" si="241"/>
        <v>1</v>
      </c>
      <c r="BK559" s="25">
        <f t="shared" si="242"/>
        <v>0</v>
      </c>
      <c r="BL559" s="25">
        <f t="shared" si="243"/>
        <v>0</v>
      </c>
      <c r="BM559" s="25">
        <f t="shared" si="244"/>
        <v>0.14705882352941177</v>
      </c>
      <c r="BN559" s="18" t="str">
        <f t="shared" si="250"/>
        <v>Baja fuente de proteína</v>
      </c>
      <c r="BO559" s="18" t="str">
        <f t="shared" si="251"/>
        <v>Baja fuente de fibra</v>
      </c>
      <c r="BP559" s="18" t="str">
        <f t="shared" si="252"/>
        <v>Baja fuente de calcio</v>
      </c>
      <c r="BQ559" s="18" t="str">
        <f t="shared" si="253"/>
        <v>Baja fuente de hierro</v>
      </c>
      <c r="BR559" s="18" t="str">
        <f t="shared" si="254"/>
        <v>Bajo en sodio</v>
      </c>
      <c r="BS559" s="6" t="str">
        <f t="shared" si="245"/>
        <v>Proinflamatorio</v>
      </c>
      <c r="BT559" s="6" t="str">
        <f t="shared" si="246"/>
        <v>Bajo en grasas</v>
      </c>
      <c r="BU559" s="18" t="str">
        <f t="shared" si="255"/>
        <v>Equilibrio de líquidos ideal</v>
      </c>
      <c r="BV559" s="18" t="str">
        <f t="shared" si="256"/>
        <v>Baja fuente de magnesio</v>
      </c>
      <c r="BW559" s="18" t="str">
        <f t="shared" si="257"/>
        <v>Sin aporte de Omega 3</v>
      </c>
      <c r="BX559" s="18" t="str">
        <f t="shared" si="258"/>
        <v>Libre de grasas trans</v>
      </c>
      <c r="BY559" s="18" t="str">
        <f t="shared" si="259"/>
        <v>Bajo poder antioxidante</v>
      </c>
      <c r="BZ559" s="6" t="str">
        <f t="shared" si="247"/>
        <v>Sin probióticos</v>
      </c>
      <c r="CA559" s="18" t="str">
        <f t="shared" si="260"/>
        <v>Moderadamente inflamatorio</v>
      </c>
      <c r="CB559" s="18" t="str">
        <f>IF(ISNUMBER(SEARCH("miel", D559)), "No irritante (Uso condicionado SII)", IF(OR(J559&gt;0, ISNUMBER(SEARCH("cacao", D559)), ISNUMBER(SEARCH("chocolate puro", D559))), "Altamente irritante", IF(OR(AND(O559&gt;15, BI559&gt;1), ISNUMBER(SEARCH("chocolate", D559))), "Moderadamente irritante", "No irritante")))</f>
        <v>No irritante</v>
      </c>
      <c r="CC559" s="6" t="str">
        <f t="shared" si="248"/>
        <v>Sin Omega 3 para evaluar</v>
      </c>
    </row>
    <row r="560" spans="1:81" ht="15" customHeight="1" x14ac:dyDescent="0.3">
      <c r="A560" s="2">
        <f t="shared" si="249"/>
        <v>559</v>
      </c>
      <c r="B560" s="3" t="s">
        <v>686</v>
      </c>
      <c r="C560" s="3" t="s">
        <v>725</v>
      </c>
      <c r="D560" s="3" t="s">
        <v>727</v>
      </c>
      <c r="E560" s="3"/>
      <c r="F560" s="4">
        <v>1.5</v>
      </c>
      <c r="G560" s="5">
        <v>1</v>
      </c>
      <c r="H560" s="5">
        <v>140</v>
      </c>
      <c r="I560" s="5">
        <v>64.900000000000006</v>
      </c>
      <c r="J560" s="5">
        <v>0</v>
      </c>
      <c r="K560" s="5">
        <v>0.9</v>
      </c>
      <c r="L560" s="5">
        <v>34.200000000000003</v>
      </c>
      <c r="M560" s="5">
        <v>0</v>
      </c>
      <c r="N560" s="5">
        <v>34.200000000000003</v>
      </c>
      <c r="O560" s="5">
        <v>31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4.0000000000000001E-3</v>
      </c>
      <c r="AD560" s="5">
        <v>0.3</v>
      </c>
      <c r="AE560" s="5">
        <v>0.01</v>
      </c>
      <c r="AF560" s="5">
        <v>1</v>
      </c>
      <c r="AG560" s="5">
        <v>0</v>
      </c>
      <c r="AH560" s="5">
        <v>0</v>
      </c>
      <c r="AI560" s="5">
        <v>0</v>
      </c>
      <c r="AJ560" s="5">
        <v>0</v>
      </c>
      <c r="AK560" s="5">
        <v>2</v>
      </c>
      <c r="AL560" s="5">
        <v>5</v>
      </c>
      <c r="AM560" s="5">
        <v>0</v>
      </c>
      <c r="AN560" s="5">
        <v>0</v>
      </c>
      <c r="AO560" s="5">
        <v>1</v>
      </c>
      <c r="AP560" s="5">
        <v>2</v>
      </c>
      <c r="AQ560" s="5">
        <v>18</v>
      </c>
      <c r="AR560" s="5">
        <v>42</v>
      </c>
      <c r="AS560" s="5">
        <v>0</v>
      </c>
      <c r="AT560" s="5">
        <v>0</v>
      </c>
      <c r="AU560" s="5">
        <v>1</v>
      </c>
      <c r="AV560" s="5">
        <f>IFERROR(VLOOKUP(IFERROR(VLOOKUP(D560,Mapa_Similitud!$A$2:$B$2000,2,FALSE()),D560),Hoja1!$A$2:$K$1000,2,FALSE()),IFERROR(VLOOKUP(IFERROR(VLOOKUP(D560,Mapa_Similitud!$A$2:$B$2000,2,FALSE()),D560),Omega3_Referencia!$A$2:$E$100,3,FALSE()),0))</f>
        <v>0</v>
      </c>
      <c r="AW560" s="3" t="str">
        <f>IFERROR(VLOOKUP(IFERROR(VLOOKUP(D560,Mapa_Similitud!$A$2:$B$2000,2,FALSE()),D560),Hoja1!$A$2:$K$1000,3,FALSE()),IFERROR(VLOOKUP(IFERROR(VLOOKUP(D560,Mapa_Similitud!$A$2:$B$2000,2,FALSE()),D560),Omega3_Referencia!$A$2:$E$100,4,FALSE()),"N/A"))</f>
        <v>N/A</v>
      </c>
      <c r="AX560" s="5">
        <f>IFERROR(VLOOKUP(IFERROR(VLOOKUP(D560,Mapa_Similitud!$A$2:$B$2000,2,FALSE()),D560),Hoja1!$A$2:$K$1000,5,FALSE()),0)</f>
        <v>0</v>
      </c>
      <c r="AY560" s="5">
        <f>IFERROR(VLOOKUP(IFERROR(VLOOKUP(D560,Mapa_Similitud!$A$2:$B$2000,2,FALSE()),D560),Hoja1!$A$2:$K$1000,7,FALSE()),0)</f>
        <v>10</v>
      </c>
      <c r="AZ560" s="5">
        <f>IFERROR(VLOOKUP(IFERROR(VLOOKUP(D560,Mapa_Similitud!$A$2:$B$2000,2,FALSE()),D560),Hoja1!$A$2:$K$1000,9,FALSE()),0)</f>
        <v>0</v>
      </c>
      <c r="BA560" s="25">
        <f t="shared" si="232"/>
        <v>6.4285714285714285E-3</v>
      </c>
      <c r="BB560" s="25">
        <f t="shared" si="233"/>
        <v>0</v>
      </c>
      <c r="BC560" s="25">
        <f t="shared" si="234"/>
        <v>1.4285714285714285E-2</v>
      </c>
      <c r="BD560" s="25">
        <f t="shared" si="235"/>
        <v>0</v>
      </c>
      <c r="BE560" s="25">
        <f t="shared" si="236"/>
        <v>0.12857142857142856</v>
      </c>
      <c r="BF560" s="25">
        <f t="shared" si="237"/>
        <v>0</v>
      </c>
      <c r="BG560" s="25">
        <f t="shared" si="238"/>
        <v>0.4</v>
      </c>
      <c r="BH560" s="25">
        <f t="shared" si="239"/>
        <v>0</v>
      </c>
      <c r="BI560" s="25">
        <f t="shared" si="240"/>
        <v>0.42857142857142855</v>
      </c>
      <c r="BJ560" s="25">
        <f t="shared" si="241"/>
        <v>1</v>
      </c>
      <c r="BK560" s="25">
        <f t="shared" si="242"/>
        <v>0</v>
      </c>
      <c r="BL560" s="25">
        <f t="shared" si="243"/>
        <v>0</v>
      </c>
      <c r="BM560" s="25">
        <f t="shared" si="244"/>
        <v>1.4285714285714285E-2</v>
      </c>
      <c r="BN560" s="18" t="str">
        <f t="shared" si="250"/>
        <v>Baja fuente de proteína</v>
      </c>
      <c r="BO560" s="18" t="str">
        <f t="shared" si="251"/>
        <v>Baja fuente de fibra</v>
      </c>
      <c r="BP560" s="18" t="str">
        <f t="shared" si="252"/>
        <v>Baja fuente de calcio</v>
      </c>
      <c r="BQ560" s="18" t="str">
        <f t="shared" si="253"/>
        <v>Baja fuente de hierro</v>
      </c>
      <c r="BR560" s="18" t="str">
        <f t="shared" si="254"/>
        <v>Bajo en sodio</v>
      </c>
      <c r="BS560" s="6" t="str">
        <f t="shared" si="245"/>
        <v>Proinflamatorio</v>
      </c>
      <c r="BT560" s="6" t="str">
        <f t="shared" si="246"/>
        <v>Bajo en grasas</v>
      </c>
      <c r="BU560" s="18" t="str">
        <f t="shared" si="255"/>
        <v>Equilibrio de líquidos ideal</v>
      </c>
      <c r="BV560" s="18" t="str">
        <f t="shared" si="256"/>
        <v>Baja fuente de magnesio</v>
      </c>
      <c r="BW560" s="18" t="str">
        <f t="shared" si="257"/>
        <v>Sin aporte de Omega 3</v>
      </c>
      <c r="BX560" s="18" t="str">
        <f t="shared" si="258"/>
        <v>Libre de grasas trans</v>
      </c>
      <c r="BY560" s="18" t="str">
        <f t="shared" si="259"/>
        <v>Medio poder antioxidante</v>
      </c>
      <c r="BZ560" s="6" t="str">
        <f t="shared" si="247"/>
        <v>Sin probióticos</v>
      </c>
      <c r="CA560" s="18" t="str">
        <f t="shared" si="260"/>
        <v>Altamente inflamatorio</v>
      </c>
      <c r="CB560" s="18" t="str">
        <f>IF(ISNUMBER(SEARCH("miel", D560)), "No irritante (Uso condicionado SII)", IF(OR(J560&gt;0, ISNUMBER(SEARCH("cacao", D560)), ISNUMBER(SEARCH("chocolate puro", D560))), "Altamente irritante", IF(OR(AND(O560&gt;15, BI560&gt;1), ISNUMBER(SEARCH("chocolate", D560))), "Moderadamente irritante", "No irritante")))</f>
        <v>No irritante</v>
      </c>
      <c r="CC560" s="6" t="str">
        <f t="shared" si="248"/>
        <v>Sin Omega 3 para evaluar</v>
      </c>
    </row>
    <row r="561" spans="1:81" ht="15" customHeight="1" x14ac:dyDescent="0.3">
      <c r="A561" s="2">
        <f t="shared" si="249"/>
        <v>560</v>
      </c>
      <c r="B561" s="3" t="s">
        <v>686</v>
      </c>
      <c r="C561" s="3" t="s">
        <v>725</v>
      </c>
      <c r="D561" s="3" t="s">
        <v>728</v>
      </c>
      <c r="E561" s="3"/>
      <c r="F561" s="4">
        <v>1.5</v>
      </c>
      <c r="G561" s="5">
        <v>1</v>
      </c>
      <c r="H561" s="5">
        <v>43.3</v>
      </c>
      <c r="I561" s="5">
        <v>89.1</v>
      </c>
      <c r="J561" s="5">
        <v>0</v>
      </c>
      <c r="K561" s="5">
        <v>0.63</v>
      </c>
      <c r="L561" s="5">
        <v>9.4</v>
      </c>
      <c r="M561" s="5">
        <v>0</v>
      </c>
      <c r="N561" s="5">
        <v>9.4</v>
      </c>
      <c r="O561" s="5">
        <v>0</v>
      </c>
      <c r="P561" s="5">
        <v>0.7</v>
      </c>
      <c r="Q561" s="5">
        <v>0.2</v>
      </c>
      <c r="R561" s="5">
        <v>2.5999999999999999E-2</v>
      </c>
      <c r="S561" s="5">
        <v>3.5999999999999997E-2</v>
      </c>
      <c r="T561" s="5">
        <v>4.9000000000000002E-2</v>
      </c>
      <c r="U561" s="5">
        <v>0</v>
      </c>
      <c r="V561" s="5">
        <v>2.6</v>
      </c>
      <c r="W561" s="5">
        <v>0</v>
      </c>
      <c r="X561" s="5">
        <v>15.5</v>
      </c>
      <c r="Y561" s="5">
        <v>0</v>
      </c>
      <c r="Z561" s="5">
        <v>0.25</v>
      </c>
      <c r="AA561" s="5">
        <v>0.1</v>
      </c>
      <c r="AB561" s="5">
        <v>0.03</v>
      </c>
      <c r="AC561" s="5">
        <v>0.02</v>
      </c>
      <c r="AD561" s="5">
        <v>0.28000000000000003</v>
      </c>
      <c r="AE561" s="5">
        <v>0.02</v>
      </c>
      <c r="AF561" s="5">
        <v>18.600000000000001</v>
      </c>
      <c r="AG561" s="5">
        <v>0</v>
      </c>
      <c r="AH561" s="5">
        <v>0.13</v>
      </c>
      <c r="AI561" s="5">
        <v>1</v>
      </c>
      <c r="AJ561" s="5">
        <v>30.5</v>
      </c>
      <c r="AK561" s="5">
        <v>10.8</v>
      </c>
      <c r="AL561" s="5">
        <v>13</v>
      </c>
      <c r="AM561" s="5">
        <v>0.15</v>
      </c>
      <c r="AN561" s="5">
        <v>2</v>
      </c>
      <c r="AO561" s="5">
        <v>0.11</v>
      </c>
      <c r="AP561" s="5">
        <v>10.9</v>
      </c>
      <c r="AQ561" s="5">
        <v>1.4</v>
      </c>
      <c r="AR561" s="5">
        <v>150</v>
      </c>
      <c r="AS561" s="5">
        <v>0.03</v>
      </c>
      <c r="AT561" s="5">
        <v>5.7000000000000002E-2</v>
      </c>
      <c r="AU561" s="5">
        <v>1</v>
      </c>
      <c r="AV561" s="5">
        <f>IFERROR(VLOOKUP(IFERROR(VLOOKUP(D561,Mapa_Similitud!$A$2:$B$2000,2,FALSE()),D561),Hoja1!$A$2:$K$1000,2,FALSE()),IFERROR(VLOOKUP(IFERROR(VLOOKUP(D561,Mapa_Similitud!$A$2:$B$2000,2,FALSE()),D561),Omega3_Referencia!$A$2:$E$100,3,FALSE()),0))</f>
        <v>0</v>
      </c>
      <c r="AW561" s="3" t="str">
        <f>IFERROR(VLOOKUP(IFERROR(VLOOKUP(D561,Mapa_Similitud!$A$2:$B$2000,2,FALSE()),D561),Hoja1!$A$2:$K$1000,3,FALSE()),IFERROR(VLOOKUP(IFERROR(VLOOKUP(D561,Mapa_Similitud!$A$2:$B$2000,2,FALSE()),D561),Omega3_Referencia!$A$2:$E$100,4,FALSE()),"N/A"))</f>
        <v>N/A</v>
      </c>
      <c r="AX561" s="5">
        <f>IFERROR(VLOOKUP(IFERROR(VLOOKUP(D561,Mapa_Similitud!$A$2:$B$2000,2,FALSE()),D561),Hoja1!$A$2:$K$1000,5,FALSE()),0)</f>
        <v>0</v>
      </c>
      <c r="AY561" s="5">
        <f>IFERROR(VLOOKUP(IFERROR(VLOOKUP(D561,Mapa_Similitud!$A$2:$B$2000,2,FALSE()),D561),Hoja1!$A$2:$K$1000,7,FALSE()),0)</f>
        <v>0</v>
      </c>
      <c r="AZ561" s="5">
        <f>IFERROR(VLOOKUP(IFERROR(VLOOKUP(D561,Mapa_Similitud!$A$2:$B$2000,2,FALSE()),D561),Hoja1!$A$2:$K$1000,9,FALSE()),0)</f>
        <v>0</v>
      </c>
      <c r="BA561" s="25">
        <f t="shared" si="232"/>
        <v>1.4549653579676676E-2</v>
      </c>
      <c r="BB561" s="25">
        <f t="shared" si="233"/>
        <v>1.6166281755196306E-2</v>
      </c>
      <c r="BC561" s="25">
        <f t="shared" si="234"/>
        <v>0.24942263279445731</v>
      </c>
      <c r="BD561" s="25">
        <f t="shared" si="235"/>
        <v>3.4642032332563512E-3</v>
      </c>
      <c r="BE561" s="25">
        <f t="shared" si="236"/>
        <v>3.2332563510392612E-2</v>
      </c>
      <c r="BF561" s="25">
        <f t="shared" si="237"/>
        <v>1.8846153846153848</v>
      </c>
      <c r="BG561" s="25">
        <f t="shared" si="238"/>
        <v>0.83076923076923082</v>
      </c>
      <c r="BH561" s="25">
        <f t="shared" si="239"/>
        <v>0.12999999999999998</v>
      </c>
      <c r="BI561" s="25">
        <f t="shared" si="240"/>
        <v>9.3333333333333324E-3</v>
      </c>
      <c r="BJ561" s="25">
        <f t="shared" si="241"/>
        <v>1</v>
      </c>
      <c r="BK561" s="25">
        <f t="shared" si="242"/>
        <v>7.4468085106382975E-2</v>
      </c>
      <c r="BL561" s="25">
        <f t="shared" si="243"/>
        <v>4.1570438799076216E-2</v>
      </c>
      <c r="BM561" s="25">
        <f t="shared" si="244"/>
        <v>0.25173210161662818</v>
      </c>
      <c r="BN561" s="18" t="str">
        <f t="shared" si="250"/>
        <v>Baja fuente de proteína</v>
      </c>
      <c r="BO561" s="18" t="str">
        <f t="shared" si="251"/>
        <v>Media fuente de fibra</v>
      </c>
      <c r="BP561" s="18" t="str">
        <f t="shared" si="252"/>
        <v>Baja fuente de calcio</v>
      </c>
      <c r="BQ561" s="18" t="str">
        <f t="shared" si="253"/>
        <v>Baja fuente de hierro</v>
      </c>
      <c r="BR561" s="18" t="str">
        <f t="shared" si="254"/>
        <v>Bajo en sodio</v>
      </c>
      <c r="BS561" s="6" t="str">
        <f t="shared" si="245"/>
        <v>Ligeramente antiinflamatorio</v>
      </c>
      <c r="BT561" s="6" t="str">
        <f t="shared" si="246"/>
        <v>Bajo en grasas</v>
      </c>
      <c r="BU561" s="18" t="str">
        <f t="shared" si="255"/>
        <v>Equilibrio de líquidos ideal</v>
      </c>
      <c r="BV561" s="18" t="str">
        <f t="shared" si="256"/>
        <v>Media fuente de magnesio</v>
      </c>
      <c r="BW561" s="18" t="str">
        <f t="shared" si="257"/>
        <v>Sin aporte de Omega 3</v>
      </c>
      <c r="BX561" s="18" t="str">
        <f t="shared" si="258"/>
        <v>Libre de grasas trans</v>
      </c>
      <c r="BY561" s="18" t="str">
        <f t="shared" si="259"/>
        <v>Bajo poder antioxidante</v>
      </c>
      <c r="BZ561" s="6" t="str">
        <f t="shared" si="247"/>
        <v>Sin probióticos</v>
      </c>
      <c r="CA561" s="18" t="str">
        <f t="shared" si="260"/>
        <v>Poco inflamatorio</v>
      </c>
      <c r="CB561" s="18" t="str">
        <f>IF(ISNUMBER(SEARCH("miel", D561)), "No irritante (Uso condicionado SII)", IF(OR(J561&gt;0, ISNUMBER(SEARCH("cacao", D561)), ISNUMBER(SEARCH("chocolate puro", D561))), "Altamente irritante", IF(OR(AND(O561&gt;15, BI561&gt;1), ISNUMBER(SEARCH("chocolate", D561))), "Moderadamente irritante", "No irritante")))</f>
        <v>No irritante</v>
      </c>
      <c r="CC561" s="6" t="str">
        <f t="shared" si="248"/>
        <v>Sin Omega 3 para evaluar</v>
      </c>
    </row>
    <row r="562" spans="1:81" ht="15" customHeight="1" x14ac:dyDescent="0.3">
      <c r="A562" s="2">
        <f t="shared" si="249"/>
        <v>561</v>
      </c>
      <c r="B562" s="3" t="s">
        <v>686</v>
      </c>
      <c r="C562" s="3" t="s">
        <v>725</v>
      </c>
      <c r="D562" s="3" t="s">
        <v>729</v>
      </c>
      <c r="E562" s="3"/>
      <c r="F562" s="4">
        <v>1.5</v>
      </c>
      <c r="G562" s="5">
        <v>1</v>
      </c>
      <c r="H562" s="5">
        <v>60.8</v>
      </c>
      <c r="I562" s="5">
        <v>84.8</v>
      </c>
      <c r="J562" s="5">
        <v>0</v>
      </c>
      <c r="K562" s="5">
        <v>0.3</v>
      </c>
      <c r="L562" s="5">
        <v>14.9</v>
      </c>
      <c r="M562" s="5">
        <v>0</v>
      </c>
      <c r="N562" s="5">
        <v>14.9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120</v>
      </c>
      <c r="W562" s="5">
        <v>0</v>
      </c>
      <c r="X562" s="5">
        <v>0</v>
      </c>
      <c r="Y562" s="5">
        <v>0</v>
      </c>
      <c r="Z562" s="5">
        <v>1.5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9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f>IFERROR(VLOOKUP(IFERROR(VLOOKUP(D562,Mapa_Similitud!$A$2:$B$2000,2,FALSE()),D562),Hoja1!$A$2:$K$1000,2,FALSE()),IFERROR(VLOOKUP(IFERROR(VLOOKUP(D562,Mapa_Similitud!$A$2:$B$2000,2,FALSE()),D562),Omega3_Referencia!$A$2:$E$100,3,FALSE()),0))</f>
        <v>0</v>
      </c>
      <c r="AW562" s="3" t="str">
        <f>IFERROR(VLOOKUP(IFERROR(VLOOKUP(D562,Mapa_Similitud!$A$2:$B$2000,2,FALSE()),D562),Hoja1!$A$2:$K$1000,3,FALSE()),IFERROR(VLOOKUP(IFERROR(VLOOKUP(D562,Mapa_Similitud!$A$2:$B$2000,2,FALSE()),D562),Omega3_Referencia!$A$2:$E$100,4,FALSE()),"N/A"))</f>
        <v>N/A</v>
      </c>
      <c r="AX562" s="5">
        <f>IFERROR(VLOOKUP(IFERROR(VLOOKUP(D562,Mapa_Similitud!$A$2:$B$2000,2,FALSE()),D562),Hoja1!$A$2:$K$1000,5,FALSE()),0)</f>
        <v>0</v>
      </c>
      <c r="AY562" s="5">
        <f>IFERROR(VLOOKUP(IFERROR(VLOOKUP(D562,Mapa_Similitud!$A$2:$B$2000,2,FALSE()),D562),Hoja1!$A$2:$K$1000,7,FALSE()),0)</f>
        <v>0</v>
      </c>
      <c r="AZ562" s="5">
        <f>IFERROR(VLOOKUP(IFERROR(VLOOKUP(D562,Mapa_Similitud!$A$2:$B$2000,2,FALSE()),D562),Hoja1!$A$2:$K$1000,9,FALSE()),0)</f>
        <v>0</v>
      </c>
      <c r="BA562" s="25">
        <f t="shared" si="232"/>
        <v>4.9342105263157892E-3</v>
      </c>
      <c r="BB562" s="25">
        <f t="shared" si="233"/>
        <v>0</v>
      </c>
      <c r="BC562" s="25">
        <f t="shared" si="234"/>
        <v>0</v>
      </c>
      <c r="BD562" s="25">
        <f t="shared" si="235"/>
        <v>0</v>
      </c>
      <c r="BE562" s="25">
        <f t="shared" si="236"/>
        <v>0</v>
      </c>
      <c r="BF562" s="25">
        <f t="shared" si="237"/>
        <v>0</v>
      </c>
      <c r="BG562" s="25">
        <f t="shared" si="238"/>
        <v>0</v>
      </c>
      <c r="BH562" s="25">
        <f t="shared" si="239"/>
        <v>0</v>
      </c>
      <c r="BI562" s="25">
        <f t="shared" si="240"/>
        <v>0</v>
      </c>
      <c r="BJ562" s="25">
        <f t="shared" si="241"/>
        <v>1</v>
      </c>
      <c r="BK562" s="25">
        <f t="shared" si="242"/>
        <v>0</v>
      </c>
      <c r="BL562" s="25">
        <f t="shared" si="243"/>
        <v>0</v>
      </c>
      <c r="BM562" s="25">
        <f t="shared" si="244"/>
        <v>0</v>
      </c>
      <c r="BN562" s="18" t="str">
        <f t="shared" si="250"/>
        <v>Baja fuente de proteína</v>
      </c>
      <c r="BO562" s="18" t="str">
        <f t="shared" si="251"/>
        <v>Baja fuente de fibra</v>
      </c>
      <c r="BP562" s="18" t="str">
        <f t="shared" si="252"/>
        <v>Baja fuente de calcio</v>
      </c>
      <c r="BQ562" s="18" t="str">
        <f t="shared" si="253"/>
        <v>Baja fuente de hierro</v>
      </c>
      <c r="BR562" s="18" t="str">
        <f t="shared" si="254"/>
        <v>Bajo en sodio</v>
      </c>
      <c r="BS562" s="6" t="str">
        <f t="shared" si="245"/>
        <v>Proinflamatorio</v>
      </c>
      <c r="BT562" s="6" t="str">
        <f t="shared" si="246"/>
        <v>Bajo en grasas</v>
      </c>
      <c r="BU562" s="18" t="str">
        <f t="shared" si="255"/>
        <v>Equilibrio de líquidos ideal</v>
      </c>
      <c r="BV562" s="18" t="str">
        <f t="shared" si="256"/>
        <v>Baja fuente de magnesio</v>
      </c>
      <c r="BW562" s="18" t="str">
        <f t="shared" si="257"/>
        <v>Sin aporte de Omega 3</v>
      </c>
      <c r="BX562" s="18" t="str">
        <f t="shared" si="258"/>
        <v>Libre de grasas trans</v>
      </c>
      <c r="BY562" s="18" t="str">
        <f t="shared" si="259"/>
        <v>Bajo poder antioxidante</v>
      </c>
      <c r="BZ562" s="6" t="str">
        <f t="shared" si="247"/>
        <v>Sin probióticos</v>
      </c>
      <c r="CA562" s="18" t="str">
        <f t="shared" si="260"/>
        <v>Poco inflamatorio</v>
      </c>
      <c r="CB562" s="18" t="str">
        <f>IF(ISNUMBER(SEARCH("miel", D562)), "No irritante (Uso condicionado SII)", IF(OR(J562&gt;0, ISNUMBER(SEARCH("cacao", D562)), ISNUMBER(SEARCH("chocolate puro", D562))), "Altamente irritante", IF(OR(AND(O562&gt;15, BI562&gt;1), ISNUMBER(SEARCH("chocolate", D562))), "Moderadamente irritante", "No irritante")))</f>
        <v>No irritante</v>
      </c>
      <c r="CC562" s="6" t="str">
        <f t="shared" si="248"/>
        <v>Sin Omega 3 para evaluar</v>
      </c>
    </row>
    <row r="563" spans="1:81" ht="15" customHeight="1" x14ac:dyDescent="0.3">
      <c r="A563" s="2">
        <f t="shared" si="249"/>
        <v>562</v>
      </c>
      <c r="B563" s="3" t="s">
        <v>686</v>
      </c>
      <c r="C563" s="3" t="s">
        <v>725</v>
      </c>
      <c r="D563" s="3" t="s">
        <v>730</v>
      </c>
      <c r="E563" s="3"/>
      <c r="F563" s="4">
        <v>1.5</v>
      </c>
      <c r="G563" s="5">
        <v>1</v>
      </c>
      <c r="H563" s="5">
        <v>42</v>
      </c>
      <c r="I563" s="5">
        <v>89.9</v>
      </c>
      <c r="J563" s="5">
        <v>0</v>
      </c>
      <c r="K563" s="5">
        <v>0.1</v>
      </c>
      <c r="L563" s="5">
        <v>9.8000000000000007</v>
      </c>
      <c r="M563" s="5">
        <v>1</v>
      </c>
      <c r="N563" s="5">
        <v>8.8000000000000007</v>
      </c>
      <c r="O563" s="5">
        <v>0</v>
      </c>
      <c r="P563" s="5">
        <v>0.3</v>
      </c>
      <c r="Q563" s="5">
        <v>0.2</v>
      </c>
      <c r="R563" s="5">
        <v>0.06</v>
      </c>
      <c r="S563" s="5">
        <v>0</v>
      </c>
      <c r="T563" s="5">
        <v>0</v>
      </c>
      <c r="U563" s="5">
        <v>0</v>
      </c>
      <c r="V563" s="5">
        <v>35</v>
      </c>
      <c r="W563" s="5">
        <v>0</v>
      </c>
      <c r="X563" s="5">
        <v>0</v>
      </c>
      <c r="Y563" s="5">
        <v>0</v>
      </c>
      <c r="Z563" s="5">
        <v>1.1000000000000001</v>
      </c>
      <c r="AA563" s="5">
        <v>0</v>
      </c>
      <c r="AB563" s="5">
        <v>0.01</v>
      </c>
      <c r="AC563" s="5">
        <v>0.01</v>
      </c>
      <c r="AD563" s="5">
        <v>0.5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13.9</v>
      </c>
      <c r="AK563" s="5">
        <v>9</v>
      </c>
      <c r="AL563" s="5">
        <v>22</v>
      </c>
      <c r="AM563" s="5">
        <v>0</v>
      </c>
      <c r="AN563" s="5">
        <v>0</v>
      </c>
      <c r="AO563" s="5">
        <v>0</v>
      </c>
      <c r="AP563" s="5">
        <v>0</v>
      </c>
      <c r="AQ563" s="5">
        <v>1</v>
      </c>
      <c r="AR563" s="5">
        <v>18</v>
      </c>
      <c r="AS563" s="5">
        <v>0</v>
      </c>
      <c r="AT563" s="5">
        <v>0</v>
      </c>
      <c r="AU563" s="5">
        <v>0</v>
      </c>
      <c r="AV563" s="5">
        <f>IFERROR(VLOOKUP(IFERROR(VLOOKUP(D563,Mapa_Similitud!$A$2:$B$2000,2,FALSE()),D563),Hoja1!$A$2:$K$1000,2,FALSE()),IFERROR(VLOOKUP(IFERROR(VLOOKUP(D563,Mapa_Similitud!$A$2:$B$2000,2,FALSE()),D563),Omega3_Referencia!$A$2:$E$100,3,FALSE()),0))</f>
        <v>0</v>
      </c>
      <c r="AW563" s="3" t="str">
        <f>IFERROR(VLOOKUP(IFERROR(VLOOKUP(D563,Mapa_Similitud!$A$2:$B$2000,2,FALSE()),D563),Hoja1!$A$2:$K$1000,3,FALSE()),IFERROR(VLOOKUP(IFERROR(VLOOKUP(D563,Mapa_Similitud!$A$2:$B$2000,2,FALSE()),D563),Omega3_Referencia!$A$2:$E$100,4,FALSE()),"N/A"))</f>
        <v>N/A</v>
      </c>
      <c r="AX563" s="5">
        <f>IFERROR(VLOOKUP(IFERROR(VLOOKUP(D563,Mapa_Similitud!$A$2:$B$2000,2,FALSE()),D563),Hoja1!$A$2:$K$1000,5,FALSE()),0)</f>
        <v>0</v>
      </c>
      <c r="AY563" s="5">
        <f>IFERROR(VLOOKUP(IFERROR(VLOOKUP(D563,Mapa_Similitud!$A$2:$B$2000,2,FALSE()),D563),Hoja1!$A$2:$K$1000,7,FALSE()),0)</f>
        <v>0</v>
      </c>
      <c r="AZ563" s="5">
        <f>IFERROR(VLOOKUP(IFERROR(VLOOKUP(D563,Mapa_Similitud!$A$2:$B$2000,2,FALSE()),D563),Hoja1!$A$2:$K$1000,9,FALSE()),0)</f>
        <v>0</v>
      </c>
      <c r="BA563" s="25">
        <f t="shared" si="232"/>
        <v>2.3809523809523812E-3</v>
      </c>
      <c r="BB563" s="25">
        <f t="shared" si="233"/>
        <v>7.1428571428571426E-3</v>
      </c>
      <c r="BC563" s="25">
        <f t="shared" si="234"/>
        <v>0.21428571428571427</v>
      </c>
      <c r="BD563" s="25">
        <f t="shared" si="235"/>
        <v>0</v>
      </c>
      <c r="BE563" s="25">
        <f t="shared" si="236"/>
        <v>2.3809523809523808E-2</v>
      </c>
      <c r="BF563" s="25">
        <f t="shared" si="237"/>
        <v>0</v>
      </c>
      <c r="BG563" s="25">
        <f t="shared" si="238"/>
        <v>0.40909090909090912</v>
      </c>
      <c r="BH563" s="25">
        <f t="shared" si="239"/>
        <v>0.3</v>
      </c>
      <c r="BI563" s="25">
        <f t="shared" si="240"/>
        <v>5.5555555555555552E-2</v>
      </c>
      <c r="BJ563" s="25">
        <f t="shared" si="241"/>
        <v>0.89795918367346939</v>
      </c>
      <c r="BK563" s="25">
        <f t="shared" si="242"/>
        <v>3.0612244897959179E-2</v>
      </c>
      <c r="BL563" s="25">
        <f t="shared" si="243"/>
        <v>4.2857142857142858E-2</v>
      </c>
      <c r="BM563" s="25">
        <f t="shared" si="244"/>
        <v>0</v>
      </c>
      <c r="BN563" s="18" t="str">
        <f t="shared" si="250"/>
        <v>Baja fuente de proteína</v>
      </c>
      <c r="BO563" s="18" t="str">
        <f t="shared" si="251"/>
        <v>Baja fuente de fibra</v>
      </c>
      <c r="BP563" s="18" t="str">
        <f t="shared" si="252"/>
        <v>Baja fuente de calcio</v>
      </c>
      <c r="BQ563" s="18" t="str">
        <f t="shared" si="253"/>
        <v>Baja fuente de hierro</v>
      </c>
      <c r="BR563" s="18" t="str">
        <f t="shared" si="254"/>
        <v>Bajo en sodio</v>
      </c>
      <c r="BS563" s="6" t="str">
        <f t="shared" si="245"/>
        <v>Proinflamatorio</v>
      </c>
      <c r="BT563" s="6" t="str">
        <f t="shared" si="246"/>
        <v>Bajo en grasas</v>
      </c>
      <c r="BU563" s="18" t="str">
        <f t="shared" si="255"/>
        <v>Equilibrio de líquidos ideal</v>
      </c>
      <c r="BV563" s="18" t="str">
        <f t="shared" si="256"/>
        <v>Baja fuente de magnesio</v>
      </c>
      <c r="BW563" s="18" t="str">
        <f t="shared" si="257"/>
        <v>Sin aporte de Omega 3</v>
      </c>
      <c r="BX563" s="18" t="str">
        <f t="shared" si="258"/>
        <v>Libre de grasas trans</v>
      </c>
      <c r="BY563" s="18" t="str">
        <f t="shared" si="259"/>
        <v>Bajo poder antioxidante</v>
      </c>
      <c r="BZ563" s="6" t="str">
        <f t="shared" si="247"/>
        <v>Sin probióticos</v>
      </c>
      <c r="CA563" s="18" t="str">
        <f t="shared" si="260"/>
        <v>Poco inflamatorio</v>
      </c>
      <c r="CB563" s="18" t="str">
        <f>IF(ISNUMBER(SEARCH("miel", D563)), "No irritante (Uso condicionado SII)", IF(OR(J563&gt;0, ISNUMBER(SEARCH("cacao", D563)), ISNUMBER(SEARCH("chocolate puro", D563))), "Altamente irritante", IF(OR(AND(O563&gt;15, BI563&gt;1), ISNUMBER(SEARCH("chocolate", D563))), "Moderadamente irritante", "No irritante")))</f>
        <v>No irritante</v>
      </c>
      <c r="CC563" s="6" t="str">
        <f t="shared" si="248"/>
        <v>Sin Omega 3 para evaluar</v>
      </c>
    </row>
    <row r="564" spans="1:81" ht="15" customHeight="1" x14ac:dyDescent="0.3">
      <c r="A564" s="2">
        <f t="shared" si="249"/>
        <v>563</v>
      </c>
      <c r="B564" s="3" t="s">
        <v>686</v>
      </c>
      <c r="C564" s="3" t="s">
        <v>725</v>
      </c>
      <c r="D564" s="3" t="s">
        <v>731</v>
      </c>
      <c r="E564" s="3"/>
      <c r="F564" s="4">
        <v>1.5</v>
      </c>
      <c r="G564" s="5">
        <v>1</v>
      </c>
      <c r="H564" s="5">
        <v>48.9</v>
      </c>
      <c r="I564" s="5">
        <v>88</v>
      </c>
      <c r="J564" s="5">
        <v>0</v>
      </c>
      <c r="K564" s="5">
        <v>6.3E-2</v>
      </c>
      <c r="L564" s="5">
        <v>11.9</v>
      </c>
      <c r="M564" s="5">
        <v>0</v>
      </c>
      <c r="N564" s="5">
        <v>11.9</v>
      </c>
      <c r="O564" s="5">
        <v>0</v>
      </c>
      <c r="P564" s="5">
        <v>0.01</v>
      </c>
      <c r="Q564" s="5">
        <v>0.11</v>
      </c>
      <c r="R564" s="5">
        <v>1.9E-2</v>
      </c>
      <c r="S564" s="5">
        <v>5.0000000000000001E-3</v>
      </c>
      <c r="T564" s="5">
        <v>3.5999999999999997E-2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0.01</v>
      </c>
      <c r="AA564" s="5">
        <v>0.1</v>
      </c>
      <c r="AB564" s="5">
        <v>0.02</v>
      </c>
      <c r="AC564" s="5">
        <v>2.5000000000000001E-2</v>
      </c>
      <c r="AD564" s="5">
        <v>0.12</v>
      </c>
      <c r="AE564" s="5">
        <v>0.05</v>
      </c>
      <c r="AF564" s="5">
        <v>3.1</v>
      </c>
      <c r="AG564" s="5">
        <v>0</v>
      </c>
      <c r="AH564" s="5">
        <v>5.5E-2</v>
      </c>
      <c r="AI564" s="5">
        <v>1</v>
      </c>
      <c r="AJ564" s="5">
        <v>1.4</v>
      </c>
      <c r="AK564" s="5">
        <v>6.9</v>
      </c>
      <c r="AL564" s="5">
        <v>7</v>
      </c>
      <c r="AM564" s="5">
        <v>0.26</v>
      </c>
      <c r="AN564" s="5">
        <v>1</v>
      </c>
      <c r="AO564" s="5">
        <v>0.12</v>
      </c>
      <c r="AP564" s="5">
        <v>4.2</v>
      </c>
      <c r="AQ564" s="5">
        <v>2.2000000000000002</v>
      </c>
      <c r="AR564" s="5">
        <v>116</v>
      </c>
      <c r="AS564" s="5">
        <v>0.12</v>
      </c>
      <c r="AT564" s="5">
        <v>5.8999999999999997E-2</v>
      </c>
      <c r="AU564" s="5">
        <v>0.1</v>
      </c>
      <c r="AV564" s="5">
        <f>IFERROR(VLOOKUP(IFERROR(VLOOKUP(D564,Mapa_Similitud!$A$2:$B$2000,2,FALSE()),D564),Hoja1!$A$2:$K$1000,2,FALSE()),IFERROR(VLOOKUP(IFERROR(VLOOKUP(D564,Mapa_Similitud!$A$2:$B$2000,2,FALSE()),D564),Omega3_Referencia!$A$2:$E$100,3,FALSE()),0))</f>
        <v>0</v>
      </c>
      <c r="AW564" s="3" t="str">
        <f>IFERROR(VLOOKUP(IFERROR(VLOOKUP(D564,Mapa_Similitud!$A$2:$B$2000,2,FALSE()),D564),Hoja1!$A$2:$K$1000,3,FALSE()),IFERROR(VLOOKUP(IFERROR(VLOOKUP(D564,Mapa_Similitud!$A$2:$B$2000,2,FALSE()),D564),Omega3_Referencia!$A$2:$E$100,4,FALSE()),"N/A"))</f>
        <v>N/A</v>
      </c>
      <c r="AX564" s="5">
        <f>IFERROR(VLOOKUP(IFERROR(VLOOKUP(D564,Mapa_Similitud!$A$2:$B$2000,2,FALSE()),D564),Hoja1!$A$2:$K$1000,5,FALSE()),0)</f>
        <v>0</v>
      </c>
      <c r="AY564" s="5">
        <f>IFERROR(VLOOKUP(IFERROR(VLOOKUP(D564,Mapa_Similitud!$A$2:$B$2000,2,FALSE()),D564),Hoja1!$A$2:$K$1000,7,FALSE()),0)</f>
        <v>0</v>
      </c>
      <c r="AZ564" s="5">
        <f>IFERROR(VLOOKUP(IFERROR(VLOOKUP(D564,Mapa_Similitud!$A$2:$B$2000,2,FALSE()),D564),Hoja1!$A$2:$K$1000,9,FALSE()),0)</f>
        <v>0</v>
      </c>
      <c r="BA564" s="25">
        <f t="shared" si="232"/>
        <v>1.2883435582822086E-3</v>
      </c>
      <c r="BB564" s="25">
        <f t="shared" si="233"/>
        <v>2.0449897750511248E-4</v>
      </c>
      <c r="BC564" s="25">
        <f t="shared" si="234"/>
        <v>0.14110429447852763</v>
      </c>
      <c r="BD564" s="25">
        <f t="shared" si="235"/>
        <v>5.3169734151329246E-3</v>
      </c>
      <c r="BE564" s="25">
        <f t="shared" si="236"/>
        <v>4.4989775051124746E-2</v>
      </c>
      <c r="BF564" s="25">
        <f t="shared" si="237"/>
        <v>1.8947368421052631</v>
      </c>
      <c r="BG564" s="25">
        <f t="shared" si="238"/>
        <v>0.98571428571428577</v>
      </c>
      <c r="BH564" s="25">
        <f t="shared" si="239"/>
        <v>0.17272727272727273</v>
      </c>
      <c r="BI564" s="25">
        <f t="shared" si="240"/>
        <v>1.8965517241379314E-2</v>
      </c>
      <c r="BJ564" s="25">
        <f t="shared" si="241"/>
        <v>1</v>
      </c>
      <c r="BK564" s="25">
        <f t="shared" si="242"/>
        <v>8.4033613445378145E-4</v>
      </c>
      <c r="BL564" s="25">
        <f t="shared" si="243"/>
        <v>2.0245398773006136E-2</v>
      </c>
      <c r="BM564" s="25">
        <f t="shared" si="244"/>
        <v>8.5889570552147243E-2</v>
      </c>
      <c r="BN564" s="18" t="str">
        <f t="shared" si="250"/>
        <v>Baja fuente de proteína</v>
      </c>
      <c r="BO564" s="18" t="str">
        <f t="shared" si="251"/>
        <v>Baja fuente de fibra</v>
      </c>
      <c r="BP564" s="18" t="str">
        <f t="shared" si="252"/>
        <v>Baja fuente de calcio</v>
      </c>
      <c r="BQ564" s="18" t="str">
        <f t="shared" si="253"/>
        <v>Baja fuente de hierro</v>
      </c>
      <c r="BR564" s="18" t="str">
        <f t="shared" si="254"/>
        <v>Bajo en sodio</v>
      </c>
      <c r="BS564" s="6" t="str">
        <f t="shared" si="245"/>
        <v>Ligeramente antiinflamatorio</v>
      </c>
      <c r="BT564" s="6" t="str">
        <f t="shared" si="246"/>
        <v>Bajo en grasas</v>
      </c>
      <c r="BU564" s="18" t="str">
        <f t="shared" si="255"/>
        <v>Equilibrio de líquidos ideal</v>
      </c>
      <c r="BV564" s="18" t="str">
        <f t="shared" si="256"/>
        <v>Baja fuente de magnesio</v>
      </c>
      <c r="BW564" s="18" t="str">
        <f t="shared" si="257"/>
        <v>Sin aporte de Omega 3</v>
      </c>
      <c r="BX564" s="18" t="str">
        <f t="shared" si="258"/>
        <v>Libre de grasas trans</v>
      </c>
      <c r="BY564" s="18" t="str">
        <f t="shared" si="259"/>
        <v>Bajo poder antioxidante</v>
      </c>
      <c r="BZ564" s="6" t="str">
        <f t="shared" si="247"/>
        <v>Sin probióticos</v>
      </c>
      <c r="CA564" s="18" t="str">
        <f t="shared" si="260"/>
        <v>Poco inflamatorio</v>
      </c>
      <c r="CB564" s="18" t="str">
        <f>IF(ISNUMBER(SEARCH("miel", D564)), "No irritante (Uso condicionado SII)", IF(OR(J564&gt;0, ISNUMBER(SEARCH("cacao", D564)), ISNUMBER(SEARCH("chocolate puro", D564))), "Altamente irritante", IF(OR(AND(O564&gt;15, BI564&gt;1), ISNUMBER(SEARCH("chocolate", D564))), "Moderadamente irritante", "No irritante")))</f>
        <v>No irritante</v>
      </c>
      <c r="CC564" s="6" t="str">
        <f t="shared" si="248"/>
        <v>Sin Omega 3 para evaluar</v>
      </c>
    </row>
    <row r="565" spans="1:81" ht="15" customHeight="1" x14ac:dyDescent="0.3">
      <c r="A565" s="2">
        <f t="shared" si="249"/>
        <v>564</v>
      </c>
      <c r="B565" s="3" t="s">
        <v>686</v>
      </c>
      <c r="C565" s="3" t="s">
        <v>725</v>
      </c>
      <c r="D565" s="3" t="s">
        <v>732</v>
      </c>
      <c r="E565" s="3"/>
      <c r="F565" s="4">
        <v>1.5</v>
      </c>
      <c r="G565" s="5">
        <v>1</v>
      </c>
      <c r="H565" s="5">
        <v>47.1</v>
      </c>
      <c r="I565" s="5">
        <v>88.4</v>
      </c>
      <c r="J565" s="5">
        <v>0</v>
      </c>
      <c r="K565" s="5">
        <v>0.63</v>
      </c>
      <c r="L565" s="5">
        <v>10.5</v>
      </c>
      <c r="M565" s="5">
        <v>0</v>
      </c>
      <c r="N565" s="5">
        <v>10.5</v>
      </c>
      <c r="O565" s="5">
        <v>0</v>
      </c>
      <c r="P565" s="5">
        <v>0.3</v>
      </c>
      <c r="Q565" s="5">
        <v>0.22</v>
      </c>
      <c r="R565" s="5">
        <v>2.7E-2</v>
      </c>
      <c r="S565" s="5">
        <v>0.08</v>
      </c>
      <c r="T565" s="5">
        <v>0.11</v>
      </c>
      <c r="U565" s="5">
        <v>0</v>
      </c>
      <c r="V565" s="5">
        <v>39.1</v>
      </c>
      <c r="W565" s="5">
        <v>0</v>
      </c>
      <c r="X565" s="5">
        <v>229</v>
      </c>
      <c r="Y565" s="5">
        <v>0</v>
      </c>
      <c r="Z565" s="5">
        <v>0.38</v>
      </c>
      <c r="AA565" s="5">
        <v>1.7</v>
      </c>
      <c r="AB565" s="5">
        <v>0.03</v>
      </c>
      <c r="AC565" s="5">
        <v>0.03</v>
      </c>
      <c r="AD565" s="5">
        <v>9.2999999999999999E-2</v>
      </c>
      <c r="AE565" s="5">
        <v>0.03</v>
      </c>
      <c r="AF565" s="5">
        <v>3.3</v>
      </c>
      <c r="AG565" s="5">
        <v>0</v>
      </c>
      <c r="AH565" s="5">
        <v>0.05</v>
      </c>
      <c r="AI565" s="5">
        <v>0</v>
      </c>
      <c r="AJ565" s="5">
        <v>8.9</v>
      </c>
      <c r="AK565" s="5">
        <v>8.6</v>
      </c>
      <c r="AL565" s="5">
        <v>17</v>
      </c>
      <c r="AM565" s="5">
        <v>0.43</v>
      </c>
      <c r="AN565" s="5">
        <v>0</v>
      </c>
      <c r="AO565" s="5">
        <v>0.04</v>
      </c>
      <c r="AP565" s="5">
        <v>6.1</v>
      </c>
      <c r="AQ565" s="5">
        <v>8</v>
      </c>
      <c r="AR565" s="5">
        <v>241</v>
      </c>
      <c r="AS565" s="5">
        <v>4.8000000000000001E-2</v>
      </c>
      <c r="AT565" s="5">
        <v>0.05</v>
      </c>
      <c r="AU565" s="5">
        <v>0.3</v>
      </c>
      <c r="AV565" s="5">
        <f>IFERROR(VLOOKUP(IFERROR(VLOOKUP(D565,Mapa_Similitud!$A$2:$B$2000,2,FALSE()),D565),Hoja1!$A$2:$K$1000,2,FALSE()),IFERROR(VLOOKUP(IFERROR(VLOOKUP(D565,Mapa_Similitud!$A$2:$B$2000,2,FALSE()),D565),Omega3_Referencia!$A$2:$E$100,3,FALSE()),0))</f>
        <v>0</v>
      </c>
      <c r="AW565" s="3" t="str">
        <f>IFERROR(VLOOKUP(IFERROR(VLOOKUP(D565,Mapa_Similitud!$A$2:$B$2000,2,FALSE()),D565),Hoja1!$A$2:$K$1000,3,FALSE()),IFERROR(VLOOKUP(IFERROR(VLOOKUP(D565,Mapa_Similitud!$A$2:$B$2000,2,FALSE()),D565),Omega3_Referencia!$A$2:$E$100,4,FALSE()),"N/A"))</f>
        <v>N/A</v>
      </c>
      <c r="AX565" s="5">
        <f>IFERROR(VLOOKUP(IFERROR(VLOOKUP(D565,Mapa_Similitud!$A$2:$B$2000,2,FALSE()),D565),Hoja1!$A$2:$K$1000,5,FALSE()),0)</f>
        <v>0</v>
      </c>
      <c r="AY565" s="5">
        <f>IFERROR(VLOOKUP(IFERROR(VLOOKUP(D565,Mapa_Similitud!$A$2:$B$2000,2,FALSE()),D565),Hoja1!$A$2:$K$1000,7,FALSE()),0)</f>
        <v>0</v>
      </c>
      <c r="AZ565" s="5">
        <f>IFERROR(VLOOKUP(IFERROR(VLOOKUP(D565,Mapa_Similitud!$A$2:$B$2000,2,FALSE()),D565),Hoja1!$A$2:$K$1000,9,FALSE()),0)</f>
        <v>0</v>
      </c>
      <c r="BA565" s="25">
        <f t="shared" si="232"/>
        <v>1.337579617834395E-2</v>
      </c>
      <c r="BB565" s="25">
        <f t="shared" si="233"/>
        <v>6.3694267515923561E-3</v>
      </c>
      <c r="BC565" s="25">
        <f t="shared" si="234"/>
        <v>0.18259023354564755</v>
      </c>
      <c r="BD565" s="25">
        <f t="shared" si="235"/>
        <v>9.1295116772823776E-3</v>
      </c>
      <c r="BE565" s="25">
        <f t="shared" si="236"/>
        <v>0.16985138004246284</v>
      </c>
      <c r="BF565" s="25">
        <f t="shared" si="237"/>
        <v>4.0740740740740744</v>
      </c>
      <c r="BG565" s="25">
        <f t="shared" si="238"/>
        <v>0.50588235294117645</v>
      </c>
      <c r="BH565" s="25">
        <f t="shared" si="239"/>
        <v>0.12272727272727273</v>
      </c>
      <c r="BI565" s="25">
        <f t="shared" si="240"/>
        <v>3.3195020746887967E-2</v>
      </c>
      <c r="BJ565" s="25">
        <f t="shared" si="241"/>
        <v>1</v>
      </c>
      <c r="BK565" s="25">
        <f t="shared" si="242"/>
        <v>2.8571428571428571E-2</v>
      </c>
      <c r="BL565" s="25">
        <f t="shared" si="243"/>
        <v>4.2038216560509552E-2</v>
      </c>
      <c r="BM565" s="25">
        <f t="shared" si="244"/>
        <v>0.12951167728237792</v>
      </c>
      <c r="BN565" s="18" t="str">
        <f t="shared" si="250"/>
        <v>Baja fuente de proteína</v>
      </c>
      <c r="BO565" s="18" t="str">
        <f t="shared" si="251"/>
        <v>Baja fuente de fibra</v>
      </c>
      <c r="BP565" s="18" t="str">
        <f t="shared" si="252"/>
        <v>Baja fuente de calcio</v>
      </c>
      <c r="BQ565" s="18" t="str">
        <f t="shared" si="253"/>
        <v>Media fuente de hierro</v>
      </c>
      <c r="BR565" s="18" t="str">
        <f t="shared" si="254"/>
        <v>Bajo en sodio</v>
      </c>
      <c r="BS565" s="6" t="str">
        <f t="shared" si="245"/>
        <v>Altamente antiinflamatorio</v>
      </c>
      <c r="BT565" s="6" t="str">
        <f t="shared" si="246"/>
        <v>Bajo en grasas</v>
      </c>
      <c r="BU565" s="18" t="str">
        <f t="shared" si="255"/>
        <v>Equilibrio de líquidos ideal</v>
      </c>
      <c r="BV565" s="18" t="str">
        <f t="shared" si="256"/>
        <v>Baja fuente de magnesio</v>
      </c>
      <c r="BW565" s="18" t="str">
        <f t="shared" si="257"/>
        <v>Sin aporte de Omega 3</v>
      </c>
      <c r="BX565" s="18" t="str">
        <f t="shared" si="258"/>
        <v>Libre de grasas trans</v>
      </c>
      <c r="BY565" s="18" t="str">
        <f t="shared" si="259"/>
        <v>Bajo poder antioxidante</v>
      </c>
      <c r="BZ565" s="6" t="str">
        <f t="shared" si="247"/>
        <v>Sin probióticos</v>
      </c>
      <c r="CA565" s="18" t="str">
        <f t="shared" si="260"/>
        <v>Poco inflamatorio</v>
      </c>
      <c r="CB565" s="18" t="str">
        <f>IF(ISNUMBER(SEARCH("miel", D565)), "No irritante (Uso condicionado SII)", IF(OR(J565&gt;0, ISNUMBER(SEARCH("cacao", D565)), ISNUMBER(SEARCH("chocolate puro", D565))), "Altamente irritante", IF(OR(AND(O565&gt;15, BI565&gt;1), ISNUMBER(SEARCH("chocolate", D565))), "Moderadamente irritante", "No irritante")))</f>
        <v>No irritante</v>
      </c>
      <c r="CC565" s="6" t="str">
        <f t="shared" si="248"/>
        <v>Sin Omega 3 para evaluar</v>
      </c>
    </row>
    <row r="566" spans="1:81" ht="15" customHeight="1" x14ac:dyDescent="0.3">
      <c r="A566" s="2">
        <f t="shared" si="249"/>
        <v>565</v>
      </c>
      <c r="B566" s="3" t="s">
        <v>686</v>
      </c>
      <c r="C566" s="3" t="s">
        <v>725</v>
      </c>
      <c r="D566" s="3" t="s">
        <v>733</v>
      </c>
      <c r="E566" s="3"/>
      <c r="F566" s="4">
        <v>1.5</v>
      </c>
      <c r="G566" s="5">
        <v>1</v>
      </c>
      <c r="H566" s="5">
        <v>41.4</v>
      </c>
      <c r="I566" s="5">
        <v>89.6</v>
      </c>
      <c r="J566" s="5">
        <v>0</v>
      </c>
      <c r="K566" s="5">
        <v>0.38</v>
      </c>
      <c r="L566" s="5">
        <v>9.6999999999999993</v>
      </c>
      <c r="M566" s="5">
        <v>0</v>
      </c>
      <c r="N566" s="5">
        <v>9.6999999999999993</v>
      </c>
      <c r="O566" s="5">
        <v>0</v>
      </c>
      <c r="P566" s="5">
        <v>0.2</v>
      </c>
      <c r="Q566" s="5">
        <v>0.08</v>
      </c>
      <c r="R566" s="5">
        <v>5.0000000000000001E-3</v>
      </c>
      <c r="S566" s="5">
        <v>8.9999999999999993E-3</v>
      </c>
      <c r="T566" s="5">
        <v>2.8000000000000001E-2</v>
      </c>
      <c r="U566" s="5">
        <v>0</v>
      </c>
      <c r="V566" s="5">
        <v>0.5</v>
      </c>
      <c r="W566" s="5">
        <v>0</v>
      </c>
      <c r="X566" s="5">
        <v>3</v>
      </c>
      <c r="Y566" s="5">
        <v>0</v>
      </c>
      <c r="Z566" s="5">
        <v>0.03</v>
      </c>
      <c r="AA566" s="5">
        <v>0.3</v>
      </c>
      <c r="AB566" s="5">
        <v>0.05</v>
      </c>
      <c r="AC566" s="5">
        <v>0.02</v>
      </c>
      <c r="AD566" s="5">
        <v>0.2</v>
      </c>
      <c r="AE566" s="5">
        <v>0.1</v>
      </c>
      <c r="AF566" s="5">
        <v>8</v>
      </c>
      <c r="AG566" s="5">
        <v>0</v>
      </c>
      <c r="AH566" s="5">
        <v>7.0000000000000007E-2</v>
      </c>
      <c r="AI566" s="5">
        <v>0</v>
      </c>
      <c r="AJ566" s="5">
        <v>11</v>
      </c>
      <c r="AK566" s="5">
        <v>15</v>
      </c>
      <c r="AL566" s="5">
        <v>4.5</v>
      </c>
      <c r="AM566" s="5">
        <v>0.28999999999999998</v>
      </c>
      <c r="AN566" s="5">
        <v>0</v>
      </c>
      <c r="AO566" s="5">
        <v>8.1000000000000003E-2</v>
      </c>
      <c r="AP566" s="5">
        <v>13</v>
      </c>
      <c r="AQ566" s="5">
        <v>4.5999999999999996</v>
      </c>
      <c r="AR566" s="5">
        <v>116</v>
      </c>
      <c r="AS566" s="5">
        <v>0.7</v>
      </c>
      <c r="AT566" s="5">
        <v>6.4000000000000001E-2</v>
      </c>
      <c r="AU566" s="5">
        <v>0.1</v>
      </c>
      <c r="AV566" s="5">
        <f>IFERROR(VLOOKUP(IFERROR(VLOOKUP(D566,Mapa_Similitud!$A$2:$B$2000,2,FALSE()),D566),Hoja1!$A$2:$K$1000,2,FALSE()),IFERROR(VLOOKUP(IFERROR(VLOOKUP(D566,Mapa_Similitud!$A$2:$B$2000,2,FALSE()),D566),Omega3_Referencia!$A$2:$E$100,3,FALSE()),0))</f>
        <v>0</v>
      </c>
      <c r="AW566" s="3" t="str">
        <f>IFERROR(VLOOKUP(IFERROR(VLOOKUP(D566,Mapa_Similitud!$A$2:$B$2000,2,FALSE()),D566),Hoja1!$A$2:$K$1000,3,FALSE()),IFERROR(VLOOKUP(IFERROR(VLOOKUP(D566,Mapa_Similitud!$A$2:$B$2000,2,FALSE()),D566),Omega3_Referencia!$A$2:$E$100,4,FALSE()),"N/A"))</f>
        <v>N/A</v>
      </c>
      <c r="AX566" s="5">
        <f>IFERROR(VLOOKUP(IFERROR(VLOOKUP(D566,Mapa_Similitud!$A$2:$B$2000,2,FALSE()),D566),Hoja1!$A$2:$K$1000,5,FALSE()),0)</f>
        <v>0</v>
      </c>
      <c r="AY566" s="5">
        <f>IFERROR(VLOOKUP(IFERROR(VLOOKUP(D566,Mapa_Similitud!$A$2:$B$2000,2,FALSE()),D566),Hoja1!$A$2:$K$1000,7,FALSE()),0)</f>
        <v>0</v>
      </c>
      <c r="AZ566" s="5">
        <f>IFERROR(VLOOKUP(IFERROR(VLOOKUP(D566,Mapa_Similitud!$A$2:$B$2000,2,FALSE()),D566),Hoja1!$A$2:$K$1000,9,FALSE()),0)</f>
        <v>0</v>
      </c>
      <c r="BA566" s="25">
        <f t="shared" si="232"/>
        <v>9.1787439613526568E-3</v>
      </c>
      <c r="BB566" s="25">
        <f t="shared" si="233"/>
        <v>4.8309178743961359E-3</v>
      </c>
      <c r="BC566" s="25">
        <f t="shared" si="234"/>
        <v>0.36231884057971014</v>
      </c>
      <c r="BD566" s="25">
        <f t="shared" si="235"/>
        <v>7.0048309178743955E-3</v>
      </c>
      <c r="BE566" s="25">
        <f t="shared" si="236"/>
        <v>0.1111111111111111</v>
      </c>
      <c r="BF566" s="25">
        <f t="shared" si="237"/>
        <v>5.6</v>
      </c>
      <c r="BG566" s="25">
        <f t="shared" si="238"/>
        <v>3.3333333333333335</v>
      </c>
      <c r="BH566" s="25">
        <f t="shared" si="239"/>
        <v>6.25E-2</v>
      </c>
      <c r="BI566" s="25">
        <f t="shared" si="240"/>
        <v>3.9655172413793099E-2</v>
      </c>
      <c r="BJ566" s="25">
        <f t="shared" si="241"/>
        <v>1</v>
      </c>
      <c r="BK566" s="25">
        <f t="shared" si="242"/>
        <v>2.0618556701030931E-2</v>
      </c>
      <c r="BL566" s="25">
        <f t="shared" si="243"/>
        <v>1.7391304347826087E-2</v>
      </c>
      <c r="BM566" s="25">
        <f t="shared" si="244"/>
        <v>0.3140096618357488</v>
      </c>
      <c r="BN566" s="18" t="str">
        <f t="shared" si="250"/>
        <v>Baja fuente de proteína</v>
      </c>
      <c r="BO566" s="18" t="str">
        <f t="shared" si="251"/>
        <v>Baja fuente de fibra</v>
      </c>
      <c r="BP566" s="18" t="str">
        <f t="shared" si="252"/>
        <v>Baja fuente de calcio</v>
      </c>
      <c r="BQ566" s="18" t="str">
        <f t="shared" si="253"/>
        <v>Baja fuente de hierro</v>
      </c>
      <c r="BR566" s="18" t="str">
        <f t="shared" si="254"/>
        <v>Bajo en sodio</v>
      </c>
      <c r="BS566" s="6" t="str">
        <f t="shared" si="245"/>
        <v>Altamente antiinflamatorio</v>
      </c>
      <c r="BT566" s="6" t="str">
        <f t="shared" si="246"/>
        <v>Bajo en grasas</v>
      </c>
      <c r="BU566" s="18" t="str">
        <f t="shared" si="255"/>
        <v>Equilibrio de líquidos ideal</v>
      </c>
      <c r="BV566" s="18" t="str">
        <f t="shared" si="256"/>
        <v>Media fuente de magnesio</v>
      </c>
      <c r="BW566" s="18" t="str">
        <f t="shared" si="257"/>
        <v>Sin aporte de Omega 3</v>
      </c>
      <c r="BX566" s="18" t="str">
        <f t="shared" si="258"/>
        <v>Libre de grasas trans</v>
      </c>
      <c r="BY566" s="18" t="str">
        <f t="shared" si="259"/>
        <v>Bajo poder antioxidante</v>
      </c>
      <c r="BZ566" s="6" t="str">
        <f t="shared" si="247"/>
        <v>Sin probióticos</v>
      </c>
      <c r="CA566" s="18" t="str">
        <f t="shared" si="260"/>
        <v>Poco inflamatorio</v>
      </c>
      <c r="CB566" s="18" t="str">
        <f>IF(ISNUMBER(SEARCH("miel", D566)), "No irritante (Uso condicionado SII)", IF(OR(J566&gt;0, ISNUMBER(SEARCH("cacao", D566)), ISNUMBER(SEARCH("chocolate puro", D566))), "Altamente irritante", IF(OR(AND(O566&gt;15, BI566&gt;1), ISNUMBER(SEARCH("chocolate", D566))), "Moderadamente irritante", "No irritante")))</f>
        <v>No irritante</v>
      </c>
      <c r="CC566" s="6" t="str">
        <f t="shared" si="248"/>
        <v>Sin Omega 3 para evaluar</v>
      </c>
    </row>
    <row r="567" spans="1:81" ht="15" customHeight="1" x14ac:dyDescent="0.3">
      <c r="A567" s="2">
        <f t="shared" si="249"/>
        <v>566</v>
      </c>
      <c r="B567" s="3" t="s">
        <v>686</v>
      </c>
      <c r="C567" s="3" t="s">
        <v>725</v>
      </c>
      <c r="D567" s="3" t="s">
        <v>734</v>
      </c>
      <c r="E567" s="3"/>
      <c r="F567" s="4">
        <v>1.5</v>
      </c>
      <c r="G567" s="5">
        <v>1</v>
      </c>
      <c r="H567" s="5">
        <v>43.6</v>
      </c>
      <c r="I567" s="5">
        <v>89.2</v>
      </c>
      <c r="J567" s="5">
        <v>0</v>
      </c>
      <c r="K567" s="5">
        <v>0.53</v>
      </c>
      <c r="L567" s="5">
        <v>10.1</v>
      </c>
      <c r="M567" s="5">
        <v>0</v>
      </c>
      <c r="N567" s="5">
        <v>10.1</v>
      </c>
      <c r="O567" s="5">
        <v>0</v>
      </c>
      <c r="P567" s="5">
        <v>0.1</v>
      </c>
      <c r="Q567" s="5">
        <v>0.1</v>
      </c>
      <c r="R567" s="5">
        <v>1.2E-2</v>
      </c>
      <c r="S567" s="5">
        <v>1.2E-2</v>
      </c>
      <c r="T567" s="5">
        <v>2.1000000000000001E-2</v>
      </c>
      <c r="U567" s="5">
        <v>0</v>
      </c>
      <c r="V567" s="5">
        <v>0.92</v>
      </c>
      <c r="W567" s="5">
        <v>0</v>
      </c>
      <c r="X567" s="5">
        <v>5.5</v>
      </c>
      <c r="Y567" s="5">
        <v>0</v>
      </c>
      <c r="Z567" s="5">
        <v>0.19</v>
      </c>
      <c r="AA567" s="5">
        <v>0</v>
      </c>
      <c r="AB567" s="5">
        <v>3.3000000000000002E-2</v>
      </c>
      <c r="AC567" s="5">
        <v>1.7999999999999999E-2</v>
      </c>
      <c r="AD567" s="5">
        <v>0.2</v>
      </c>
      <c r="AE567" s="5">
        <v>0.02</v>
      </c>
      <c r="AF567" s="5">
        <v>8.8000000000000007</v>
      </c>
      <c r="AG567" s="5">
        <v>0</v>
      </c>
      <c r="AH567" s="5">
        <v>0.15</v>
      </c>
      <c r="AI567" s="5">
        <v>0.52</v>
      </c>
      <c r="AJ567" s="5">
        <v>36</v>
      </c>
      <c r="AK567" s="5">
        <v>9.3000000000000007</v>
      </c>
      <c r="AL567" s="5">
        <v>13</v>
      </c>
      <c r="AM567" s="5">
        <v>0.56999999999999995</v>
      </c>
      <c r="AN567" s="5">
        <v>1</v>
      </c>
      <c r="AO567" s="5">
        <v>0.11</v>
      </c>
      <c r="AP567" s="5">
        <v>8</v>
      </c>
      <c r="AQ567" s="5">
        <v>1.3</v>
      </c>
      <c r="AR567" s="5">
        <v>149</v>
      </c>
      <c r="AS567" s="5">
        <v>0.01</v>
      </c>
      <c r="AT567" s="5">
        <v>0.12</v>
      </c>
      <c r="AU567" s="5">
        <v>0.1</v>
      </c>
      <c r="AV567" s="5">
        <f>IFERROR(VLOOKUP(IFERROR(VLOOKUP(D567,Mapa_Similitud!$A$2:$B$2000,2,FALSE()),D567),Hoja1!$A$2:$K$1000,2,FALSE()),IFERROR(VLOOKUP(IFERROR(VLOOKUP(D567,Mapa_Similitud!$A$2:$B$2000,2,FALSE()),D567),Omega3_Referencia!$A$2:$E$100,3,FALSE()),0))</f>
        <v>0</v>
      </c>
      <c r="AW567" s="3" t="str">
        <f>IFERROR(VLOOKUP(IFERROR(VLOOKUP(D567,Mapa_Similitud!$A$2:$B$2000,2,FALSE()),D567),Hoja1!$A$2:$K$1000,3,FALSE()),IFERROR(VLOOKUP(IFERROR(VLOOKUP(D567,Mapa_Similitud!$A$2:$B$2000,2,FALSE()),D567),Omega3_Referencia!$A$2:$E$100,4,FALSE()),"N/A"))</f>
        <v>N/A</v>
      </c>
      <c r="AX567" s="5">
        <f>IFERROR(VLOOKUP(IFERROR(VLOOKUP(D567,Mapa_Similitud!$A$2:$B$2000,2,FALSE()),D567),Hoja1!$A$2:$K$1000,5,FALSE()),0)</f>
        <v>0</v>
      </c>
      <c r="AY567" s="5">
        <f>IFERROR(VLOOKUP(IFERROR(VLOOKUP(D567,Mapa_Similitud!$A$2:$B$2000,2,FALSE()),D567),Hoja1!$A$2:$K$1000,7,FALSE()),0)</f>
        <v>0</v>
      </c>
      <c r="AZ567" s="5">
        <f>IFERROR(VLOOKUP(IFERROR(VLOOKUP(D567,Mapa_Similitud!$A$2:$B$2000,2,FALSE()),D567),Hoja1!$A$2:$K$1000,9,FALSE()),0)</f>
        <v>0</v>
      </c>
      <c r="BA567" s="25">
        <f t="shared" si="232"/>
        <v>1.2155963302752294E-2</v>
      </c>
      <c r="BB567" s="25">
        <f t="shared" si="233"/>
        <v>2.2935779816513763E-3</v>
      </c>
      <c r="BC567" s="25">
        <f t="shared" si="234"/>
        <v>0.21330275229357798</v>
      </c>
      <c r="BD567" s="25">
        <f t="shared" si="235"/>
        <v>1.3073394495412843E-2</v>
      </c>
      <c r="BE567" s="25">
        <f t="shared" si="236"/>
        <v>2.9816513761467892E-2</v>
      </c>
      <c r="BF567" s="25">
        <f t="shared" si="237"/>
        <v>1.75</v>
      </c>
      <c r="BG567" s="25">
        <f t="shared" si="238"/>
        <v>0.7153846153846154</v>
      </c>
      <c r="BH567" s="25">
        <f t="shared" si="239"/>
        <v>0.12</v>
      </c>
      <c r="BI567" s="25">
        <f t="shared" si="240"/>
        <v>8.7248322147651016E-3</v>
      </c>
      <c r="BJ567" s="25">
        <f t="shared" si="241"/>
        <v>1</v>
      </c>
      <c r="BK567" s="25">
        <f t="shared" si="242"/>
        <v>9.9009900990099011E-3</v>
      </c>
      <c r="BL567" s="25">
        <f t="shared" si="243"/>
        <v>2.0642201834862386E-2</v>
      </c>
      <c r="BM567" s="25">
        <f t="shared" si="244"/>
        <v>0.18348623853211007</v>
      </c>
      <c r="BN567" s="18" t="str">
        <f t="shared" si="250"/>
        <v>Baja fuente de proteína</v>
      </c>
      <c r="BO567" s="18" t="str">
        <f t="shared" si="251"/>
        <v>Baja fuente de fibra</v>
      </c>
      <c r="BP567" s="18" t="str">
        <f t="shared" si="252"/>
        <v>Baja fuente de calcio</v>
      </c>
      <c r="BQ567" s="18" t="str">
        <f t="shared" si="253"/>
        <v>Media fuente de hierro</v>
      </c>
      <c r="BR567" s="18" t="str">
        <f t="shared" si="254"/>
        <v>Bajo en sodio</v>
      </c>
      <c r="BS567" s="6" t="str">
        <f t="shared" si="245"/>
        <v>Ligeramente antiinflamatorio</v>
      </c>
      <c r="BT567" s="6" t="str">
        <f t="shared" si="246"/>
        <v>Bajo en grasas</v>
      </c>
      <c r="BU567" s="18" t="str">
        <f t="shared" si="255"/>
        <v>Equilibrio de líquidos ideal</v>
      </c>
      <c r="BV567" s="18" t="str">
        <f t="shared" si="256"/>
        <v>Baja fuente de magnesio</v>
      </c>
      <c r="BW567" s="18" t="str">
        <f t="shared" si="257"/>
        <v>Sin aporte de Omega 3</v>
      </c>
      <c r="BX567" s="18" t="str">
        <f t="shared" si="258"/>
        <v>Libre de grasas trans</v>
      </c>
      <c r="BY567" s="18" t="str">
        <f t="shared" si="259"/>
        <v>Bajo poder antioxidante</v>
      </c>
      <c r="BZ567" s="6" t="str">
        <f t="shared" si="247"/>
        <v>Sin probióticos</v>
      </c>
      <c r="CA567" s="18" t="str">
        <f t="shared" si="260"/>
        <v>Poco inflamatorio</v>
      </c>
      <c r="CB567" s="18" t="str">
        <f>IF(ISNUMBER(SEARCH("miel", D567)), "No irritante (Uso condicionado SII)", IF(OR(J567&gt;0, ISNUMBER(SEARCH("cacao", D567)), ISNUMBER(SEARCH("chocolate puro", D567))), "Altamente irritante", IF(OR(AND(O567&gt;15, BI567&gt;1), ISNUMBER(SEARCH("chocolate", D567))), "Moderadamente irritante", "No irritante")))</f>
        <v>No irritante</v>
      </c>
      <c r="CC567" s="6" t="str">
        <f t="shared" si="248"/>
        <v>Sin Omega 3 para evaluar</v>
      </c>
    </row>
    <row r="568" spans="1:81" ht="15" customHeight="1" x14ac:dyDescent="0.3">
      <c r="A568" s="2">
        <f t="shared" si="249"/>
        <v>567</v>
      </c>
      <c r="B568" s="3" t="s">
        <v>686</v>
      </c>
      <c r="C568" s="3" t="s">
        <v>725</v>
      </c>
      <c r="D568" s="3" t="s">
        <v>735</v>
      </c>
      <c r="E568" s="3"/>
      <c r="F568" s="4">
        <v>1.5</v>
      </c>
      <c r="G568" s="5">
        <v>1</v>
      </c>
      <c r="H568" s="5">
        <v>14.1</v>
      </c>
      <c r="I568" s="5">
        <v>96.4</v>
      </c>
      <c r="J568" s="5">
        <v>0</v>
      </c>
      <c r="K568" s="5">
        <v>0.63</v>
      </c>
      <c r="L568" s="5">
        <v>2.6</v>
      </c>
      <c r="M568" s="5">
        <v>0</v>
      </c>
      <c r="N568" s="5">
        <v>2.6</v>
      </c>
      <c r="O568" s="5">
        <v>0</v>
      </c>
      <c r="P568" s="5">
        <v>0.3</v>
      </c>
      <c r="Q568" s="5">
        <v>0.06</v>
      </c>
      <c r="R568" s="5">
        <v>8.0000000000000002E-3</v>
      </c>
      <c r="S568" s="5">
        <v>8.9999999999999993E-3</v>
      </c>
      <c r="T568" s="5">
        <v>2.4E-2</v>
      </c>
      <c r="U568" s="5">
        <v>0</v>
      </c>
      <c r="V568" s="5">
        <v>11.4</v>
      </c>
      <c r="W568" s="5">
        <v>0</v>
      </c>
      <c r="X568" s="5">
        <v>68.099999999999994</v>
      </c>
      <c r="Y568" s="5">
        <v>0</v>
      </c>
      <c r="Z568" s="5">
        <v>0.35</v>
      </c>
      <c r="AA568" s="5">
        <v>2.2999999999999998</v>
      </c>
      <c r="AB568" s="5">
        <v>0.04</v>
      </c>
      <c r="AC568" s="5">
        <v>0.03</v>
      </c>
      <c r="AD568" s="5">
        <v>0.57999999999999996</v>
      </c>
      <c r="AE568" s="5">
        <v>0.92</v>
      </c>
      <c r="AF568" s="5">
        <v>21.9</v>
      </c>
      <c r="AG568" s="5">
        <v>0</v>
      </c>
      <c r="AH568" s="5">
        <v>0.2</v>
      </c>
      <c r="AI568" s="5">
        <v>1.5</v>
      </c>
      <c r="AJ568" s="5">
        <v>9.4</v>
      </c>
      <c r="AK568" s="5">
        <v>8.6</v>
      </c>
      <c r="AL568" s="5">
        <v>19</v>
      </c>
      <c r="AM568" s="5">
        <v>0.28999999999999998</v>
      </c>
      <c r="AN568" s="5">
        <v>2</v>
      </c>
      <c r="AO568" s="5">
        <v>0.06</v>
      </c>
      <c r="AP568" s="5">
        <v>8.3000000000000007</v>
      </c>
      <c r="AQ568" s="5">
        <v>4.8</v>
      </c>
      <c r="AR568" s="5">
        <v>230</v>
      </c>
      <c r="AS568" s="5">
        <v>0.1</v>
      </c>
      <c r="AT568" s="5">
        <v>0.12</v>
      </c>
      <c r="AU568" s="5">
        <v>0.6</v>
      </c>
      <c r="AV568" s="5">
        <f>IFERROR(VLOOKUP(IFERROR(VLOOKUP(D568,Mapa_Similitud!$A$2:$B$2000,2,FALSE()),D568),Hoja1!$A$2:$K$1000,2,FALSE()),IFERROR(VLOOKUP(IFERROR(VLOOKUP(D568,Mapa_Similitud!$A$2:$B$2000,2,FALSE()),D568),Omega3_Referencia!$A$2:$E$100,3,FALSE()),0))</f>
        <v>0</v>
      </c>
      <c r="AW568" s="3" t="str">
        <f>IFERROR(VLOOKUP(IFERROR(VLOOKUP(D568,Mapa_Similitud!$A$2:$B$2000,2,FALSE()),D568),Hoja1!$A$2:$K$1000,3,FALSE()),IFERROR(VLOOKUP(IFERROR(VLOOKUP(D568,Mapa_Similitud!$A$2:$B$2000,2,FALSE()),D568),Omega3_Referencia!$A$2:$E$100,4,FALSE()),"N/A"))</f>
        <v>N/A</v>
      </c>
      <c r="AX568" s="5">
        <f>IFERROR(VLOOKUP(IFERROR(VLOOKUP(D568,Mapa_Similitud!$A$2:$B$2000,2,FALSE()),D568),Hoja1!$A$2:$K$1000,5,FALSE()),0)</f>
        <v>0</v>
      </c>
      <c r="AY568" s="5">
        <f>IFERROR(VLOOKUP(IFERROR(VLOOKUP(D568,Mapa_Similitud!$A$2:$B$2000,2,FALSE()),D568),Hoja1!$A$2:$K$1000,7,FALSE()),0)</f>
        <v>0</v>
      </c>
      <c r="AZ568" s="5">
        <f>IFERROR(VLOOKUP(IFERROR(VLOOKUP(D568,Mapa_Similitud!$A$2:$B$2000,2,FALSE()),D568),Hoja1!$A$2:$K$1000,9,FALSE()),0)</f>
        <v>0</v>
      </c>
      <c r="BA568" s="25">
        <f t="shared" si="232"/>
        <v>4.4680851063829789E-2</v>
      </c>
      <c r="BB568" s="25">
        <f t="shared" si="233"/>
        <v>2.1276595744680851E-2</v>
      </c>
      <c r="BC568" s="25">
        <f t="shared" si="234"/>
        <v>0.60992907801418439</v>
      </c>
      <c r="BD568" s="25">
        <f t="shared" si="235"/>
        <v>2.0567375886524821E-2</v>
      </c>
      <c r="BE568" s="25">
        <f t="shared" si="236"/>
        <v>0.34042553191489361</v>
      </c>
      <c r="BF568" s="25">
        <f t="shared" si="237"/>
        <v>3</v>
      </c>
      <c r="BG568" s="25">
        <f t="shared" si="238"/>
        <v>0.45263157894736838</v>
      </c>
      <c r="BH568" s="25">
        <f t="shared" si="239"/>
        <v>0.13333333333333333</v>
      </c>
      <c r="BI568" s="25">
        <f t="shared" si="240"/>
        <v>2.0869565217391303E-2</v>
      </c>
      <c r="BJ568" s="25">
        <f t="shared" si="241"/>
        <v>1</v>
      </c>
      <c r="BK568" s="25">
        <f t="shared" si="242"/>
        <v>0.11538461538461538</v>
      </c>
      <c r="BL568" s="25">
        <f t="shared" si="243"/>
        <v>3.8297872340425539E-2</v>
      </c>
      <c r="BM568" s="25">
        <f t="shared" si="244"/>
        <v>0.58865248226950362</v>
      </c>
      <c r="BN568" s="18" t="str">
        <f t="shared" si="250"/>
        <v>Baja fuente de proteína</v>
      </c>
      <c r="BO568" s="18" t="str">
        <f t="shared" si="251"/>
        <v>Media fuente de fibra</v>
      </c>
      <c r="BP568" s="18" t="str">
        <f t="shared" si="252"/>
        <v>Baja fuente de calcio</v>
      </c>
      <c r="BQ568" s="18" t="str">
        <f t="shared" si="253"/>
        <v>Alta fuente de hierro</v>
      </c>
      <c r="BR568" s="18" t="str">
        <f t="shared" si="254"/>
        <v>Bajo en sodio</v>
      </c>
      <c r="BS568" s="6" t="str">
        <f t="shared" si="245"/>
        <v>Altamente antiinflamatorio</v>
      </c>
      <c r="BT568" s="6" t="str">
        <f t="shared" si="246"/>
        <v>Bajo en grasas</v>
      </c>
      <c r="BU568" s="18" t="str">
        <f t="shared" si="255"/>
        <v>Equilibrio de líquidos ideal</v>
      </c>
      <c r="BV568" s="18" t="str">
        <f t="shared" si="256"/>
        <v>Alta fuente de magnesio</v>
      </c>
      <c r="BW568" s="18" t="str">
        <f t="shared" si="257"/>
        <v>Sin aporte de Omega 3</v>
      </c>
      <c r="BX568" s="18" t="str">
        <f t="shared" si="258"/>
        <v>Libre de grasas trans</v>
      </c>
      <c r="BY568" s="18" t="str">
        <f t="shared" si="259"/>
        <v>Bajo poder antioxidante</v>
      </c>
      <c r="BZ568" s="6" t="str">
        <f t="shared" si="247"/>
        <v>Sin probióticos</v>
      </c>
      <c r="CA568" s="18" t="str">
        <f t="shared" si="260"/>
        <v>Poco inflamatorio</v>
      </c>
      <c r="CB568" s="18" t="str">
        <f>IF(ISNUMBER(SEARCH("miel", D568)), "No irritante (Uso condicionado SII)", IF(OR(J568&gt;0, ISNUMBER(SEARCH("cacao", D568)), ISNUMBER(SEARCH("chocolate puro", D568))), "Altamente irritante", IF(OR(AND(O568&gt;15, BI568&gt;1), ISNUMBER(SEARCH("chocolate", D568))), "Moderadamente irritante", "No irritante")))</f>
        <v>No irritante</v>
      </c>
      <c r="CC568" s="6" t="str">
        <f t="shared" si="248"/>
        <v>Sin Omega 3 para evaluar</v>
      </c>
    </row>
    <row r="569" spans="1:81" ht="15" customHeight="1" x14ac:dyDescent="0.3">
      <c r="A569" s="2">
        <f t="shared" si="249"/>
        <v>568</v>
      </c>
      <c r="B569" s="3" t="s">
        <v>686</v>
      </c>
      <c r="C569" s="3" t="s">
        <v>725</v>
      </c>
      <c r="D569" s="3" t="s">
        <v>736</v>
      </c>
      <c r="E569" s="3"/>
      <c r="F569" s="4">
        <v>1.5</v>
      </c>
      <c r="G569" s="5">
        <v>1</v>
      </c>
      <c r="H569" s="5">
        <v>68.099999999999994</v>
      </c>
      <c r="I569" s="5">
        <v>83.1</v>
      </c>
      <c r="J569" s="5">
        <v>0</v>
      </c>
      <c r="K569" s="5">
        <v>0.21</v>
      </c>
      <c r="L569" s="5">
        <v>16.600000000000001</v>
      </c>
      <c r="M569" s="5">
        <v>0</v>
      </c>
      <c r="N569" s="5">
        <v>16.600000000000001</v>
      </c>
      <c r="O569" s="5">
        <v>0</v>
      </c>
      <c r="P569" s="5">
        <v>0</v>
      </c>
      <c r="Q569" s="5">
        <v>0.1</v>
      </c>
      <c r="R569" s="5">
        <v>3.1E-2</v>
      </c>
      <c r="S569" s="5">
        <v>4.0000000000000001E-3</v>
      </c>
      <c r="T569" s="5">
        <v>2.8000000000000001E-2</v>
      </c>
      <c r="U569" s="5">
        <v>0</v>
      </c>
      <c r="V569" s="5">
        <v>0.5</v>
      </c>
      <c r="W569" s="5">
        <v>0</v>
      </c>
      <c r="X569" s="5">
        <v>3</v>
      </c>
      <c r="Y569" s="5">
        <v>0</v>
      </c>
      <c r="Z569" s="5">
        <v>0</v>
      </c>
      <c r="AA569" s="5">
        <v>0.4</v>
      </c>
      <c r="AB569" s="5">
        <v>3.1E-2</v>
      </c>
      <c r="AC569" s="5">
        <v>1.6E-2</v>
      </c>
      <c r="AD569" s="5">
        <v>0.26</v>
      </c>
      <c r="AE569" s="5">
        <v>2.1999999999999999E-2</v>
      </c>
      <c r="AF569" s="5">
        <v>1</v>
      </c>
      <c r="AG569" s="5">
        <v>0</v>
      </c>
      <c r="AH569" s="5">
        <v>0.49</v>
      </c>
      <c r="AI569" s="5">
        <v>1.2</v>
      </c>
      <c r="AJ569" s="5">
        <v>0</v>
      </c>
      <c r="AK569" s="5">
        <v>13</v>
      </c>
      <c r="AL569" s="5">
        <v>12</v>
      </c>
      <c r="AM569" s="5">
        <v>0.43</v>
      </c>
      <c r="AN569" s="5">
        <v>0.48</v>
      </c>
      <c r="AO569" s="5">
        <v>0.04</v>
      </c>
      <c r="AP569" s="5">
        <v>8.8000000000000007</v>
      </c>
      <c r="AQ569" s="5">
        <v>2.6</v>
      </c>
      <c r="AR569" s="5">
        <v>148</v>
      </c>
      <c r="AS569" s="5">
        <v>0.05</v>
      </c>
      <c r="AT569" s="5">
        <v>4.8000000000000001E-2</v>
      </c>
      <c r="AU569" s="5">
        <v>0.1</v>
      </c>
      <c r="AV569" s="5">
        <f>IFERROR(VLOOKUP(IFERROR(VLOOKUP(D569,Mapa_Similitud!$A$2:$B$2000,2,FALSE()),D569),Hoja1!$A$2:$K$1000,2,FALSE()),IFERROR(VLOOKUP(IFERROR(VLOOKUP(D569,Mapa_Similitud!$A$2:$B$2000,2,FALSE()),D569),Omega3_Referencia!$A$2:$E$100,3,FALSE()),0))</f>
        <v>0</v>
      </c>
      <c r="AW569" s="3" t="str">
        <f>IFERROR(VLOOKUP(IFERROR(VLOOKUP(D569,Mapa_Similitud!$A$2:$B$2000,2,FALSE()),D569),Hoja1!$A$2:$K$1000,3,FALSE()),IFERROR(VLOOKUP(IFERROR(VLOOKUP(D569,Mapa_Similitud!$A$2:$B$2000,2,FALSE()),D569),Omega3_Referencia!$A$2:$E$100,4,FALSE()),"N/A"))</f>
        <v>N/A</v>
      </c>
      <c r="AX569" s="5">
        <f>IFERROR(VLOOKUP(IFERROR(VLOOKUP(D569,Mapa_Similitud!$A$2:$B$2000,2,FALSE()),D569),Hoja1!$A$2:$K$1000,5,FALSE()),0)</f>
        <v>0</v>
      </c>
      <c r="AY569" s="5">
        <v>45</v>
      </c>
      <c r="AZ569" s="5">
        <f>IFERROR(VLOOKUP(IFERROR(VLOOKUP(D569,Mapa_Similitud!$A$2:$B$2000,2,FALSE()),D569),Hoja1!$A$2:$K$1000,9,FALSE()),0)</f>
        <v>0</v>
      </c>
      <c r="BA569" s="25">
        <f t="shared" si="232"/>
        <v>3.0837004405286344E-3</v>
      </c>
      <c r="BB569" s="25">
        <f t="shared" si="233"/>
        <v>0</v>
      </c>
      <c r="BC569" s="25">
        <f t="shared" si="234"/>
        <v>0.19089574155653452</v>
      </c>
      <c r="BD569" s="25">
        <f t="shared" si="235"/>
        <v>6.3142437591776806E-3</v>
      </c>
      <c r="BE569" s="25">
        <f t="shared" si="236"/>
        <v>3.8179148311306907E-2</v>
      </c>
      <c r="BF569" s="25">
        <f t="shared" si="237"/>
        <v>0.90322580645161288</v>
      </c>
      <c r="BG569" s="25">
        <f t="shared" si="238"/>
        <v>1.0833333333333333</v>
      </c>
      <c r="BH569" s="25">
        <f t="shared" si="239"/>
        <v>0.31</v>
      </c>
      <c r="BI569" s="25">
        <f t="shared" si="240"/>
        <v>1.7567567567567569E-2</v>
      </c>
      <c r="BJ569" s="25">
        <f t="shared" si="241"/>
        <v>1</v>
      </c>
      <c r="BK569" s="25">
        <f t="shared" si="242"/>
        <v>0</v>
      </c>
      <c r="BL569" s="25">
        <f t="shared" si="243"/>
        <v>1.3215859030837006E-2</v>
      </c>
      <c r="BM569" s="25">
        <f t="shared" si="244"/>
        <v>0.12922173274596185</v>
      </c>
      <c r="BN569" s="18" t="str">
        <f t="shared" si="250"/>
        <v>Baja fuente de proteína</v>
      </c>
      <c r="BO569" s="18" t="str">
        <f t="shared" si="251"/>
        <v>Baja fuente de fibra</v>
      </c>
      <c r="BP569" s="18" t="str">
        <f t="shared" si="252"/>
        <v>Baja fuente de calcio</v>
      </c>
      <c r="BQ569" s="18" t="str">
        <f t="shared" si="253"/>
        <v>Baja fuente de hierro</v>
      </c>
      <c r="BR569" s="18" t="str">
        <f t="shared" si="254"/>
        <v>Bajo en sodio</v>
      </c>
      <c r="BS569" s="6" t="str">
        <f t="shared" si="245"/>
        <v>Neutro</v>
      </c>
      <c r="BT569" s="6" t="str">
        <f t="shared" si="246"/>
        <v>Bajo en grasas</v>
      </c>
      <c r="BU569" s="18" t="str">
        <f t="shared" si="255"/>
        <v>Equilibrio de líquidos ideal</v>
      </c>
      <c r="BV569" s="18" t="str">
        <f t="shared" si="256"/>
        <v>Baja fuente de magnesio</v>
      </c>
      <c r="BW569" s="18" t="str">
        <f t="shared" si="257"/>
        <v>Sin aporte de Omega 3</v>
      </c>
      <c r="BX569" s="18" t="str">
        <f t="shared" si="258"/>
        <v>Libre de grasas trans</v>
      </c>
      <c r="BY569" s="18" t="str">
        <f t="shared" si="259"/>
        <v>Medio poder antioxidante</v>
      </c>
      <c r="BZ569" s="6" t="str">
        <f t="shared" si="247"/>
        <v>Sin probióticos</v>
      </c>
      <c r="CA569" s="18" t="str">
        <f t="shared" si="260"/>
        <v>Poco inflamatorio</v>
      </c>
      <c r="CB569" s="18" t="str">
        <f>IF(ISNUMBER(SEARCH("miel", D569)), "No irritante (Uso condicionado SII)", IF(OR(J569&gt;0, ISNUMBER(SEARCH("cacao", D569)), ISNUMBER(SEARCH("chocolate puro", D569))), "Altamente irritante", IF(OR(AND(O569&gt;15, BI569&gt;1), ISNUMBER(SEARCH("chocolate", D569))), "Moderadamente irritante", "No irritante")))</f>
        <v>No irritante</v>
      </c>
      <c r="CC569" s="6" t="str">
        <f t="shared" si="248"/>
        <v>Sin Omega 3 para evaluar</v>
      </c>
    </row>
    <row r="570" spans="1:81" ht="15" customHeight="1" x14ac:dyDescent="0.3">
      <c r="A570" s="2">
        <f t="shared" si="249"/>
        <v>569</v>
      </c>
      <c r="B570" s="3" t="s">
        <v>686</v>
      </c>
      <c r="C570" s="3" t="s">
        <v>725</v>
      </c>
      <c r="D570" s="3" t="s">
        <v>737</v>
      </c>
      <c r="E570" s="3"/>
      <c r="F570" s="4">
        <v>1.5</v>
      </c>
      <c r="G570" s="5">
        <v>1</v>
      </c>
      <c r="H570" s="5">
        <v>24.2</v>
      </c>
      <c r="I570" s="5">
        <v>93.7</v>
      </c>
      <c r="J570" s="5">
        <v>0</v>
      </c>
      <c r="K570" s="5">
        <v>0.63</v>
      </c>
      <c r="L570" s="5">
        <v>4.8</v>
      </c>
      <c r="M570" s="5">
        <v>0</v>
      </c>
      <c r="N570" s="5">
        <v>4.8</v>
      </c>
      <c r="O570" s="5">
        <v>0</v>
      </c>
      <c r="P570" s="5">
        <v>0.8</v>
      </c>
      <c r="Q570" s="5">
        <v>0.1</v>
      </c>
      <c r="R570" s="5">
        <v>0.02</v>
      </c>
      <c r="S570" s="5">
        <v>4.0000000000000001E-3</v>
      </c>
      <c r="T570" s="5">
        <v>0.05</v>
      </c>
      <c r="U570" s="5">
        <v>0</v>
      </c>
      <c r="V570" s="5">
        <v>437</v>
      </c>
      <c r="W570" s="5">
        <v>0</v>
      </c>
      <c r="X570" s="5">
        <v>2622</v>
      </c>
      <c r="Y570" s="5">
        <v>0</v>
      </c>
      <c r="Z570" s="5">
        <v>0.56000000000000005</v>
      </c>
      <c r="AA570" s="5">
        <v>15.5</v>
      </c>
      <c r="AB570" s="5">
        <v>9.1999999999999998E-2</v>
      </c>
      <c r="AC570" s="5">
        <v>5.5E-2</v>
      </c>
      <c r="AD570" s="5">
        <v>0.4</v>
      </c>
      <c r="AE570" s="5">
        <v>0.2</v>
      </c>
      <c r="AF570" s="5">
        <v>4</v>
      </c>
      <c r="AG570" s="5">
        <v>0</v>
      </c>
      <c r="AH570" s="5">
        <v>0.23</v>
      </c>
      <c r="AI570" s="5">
        <v>0</v>
      </c>
      <c r="AJ570" s="5">
        <v>6</v>
      </c>
      <c r="AK570" s="5">
        <v>27</v>
      </c>
      <c r="AL570" s="5">
        <v>31</v>
      </c>
      <c r="AM570" s="5">
        <v>0.46</v>
      </c>
      <c r="AN570" s="5">
        <v>7</v>
      </c>
      <c r="AO570" s="5">
        <v>0.18</v>
      </c>
      <c r="AP570" s="5">
        <v>14</v>
      </c>
      <c r="AQ570" s="5">
        <v>52</v>
      </c>
      <c r="AR570" s="5">
        <v>219</v>
      </c>
      <c r="AS570" s="5">
        <v>0.13</v>
      </c>
      <c r="AT570" s="5">
        <v>4.5999999999999999E-2</v>
      </c>
      <c r="AU570" s="5">
        <v>0.6</v>
      </c>
      <c r="AV570" s="5">
        <f>IFERROR(VLOOKUP(IFERROR(VLOOKUP(D570,Mapa_Similitud!$A$2:$B$2000,2,FALSE()),D570),Hoja1!$A$2:$K$1000,2,FALSE()),IFERROR(VLOOKUP(IFERROR(VLOOKUP(D570,Mapa_Similitud!$A$2:$B$2000,2,FALSE()),D570),Omega3_Referencia!$A$2:$E$100,3,FALSE()),0))</f>
        <v>0</v>
      </c>
      <c r="AW570" s="3" t="str">
        <f>IFERROR(VLOOKUP(IFERROR(VLOOKUP(D570,Mapa_Similitud!$A$2:$B$2000,2,FALSE()),D570),Hoja1!$A$2:$K$1000,3,FALSE()),IFERROR(VLOOKUP(IFERROR(VLOOKUP(D570,Mapa_Similitud!$A$2:$B$2000,2,FALSE()),D570),Omega3_Referencia!$A$2:$E$100,4,FALSE()),"N/A"))</f>
        <v>N/A</v>
      </c>
      <c r="AX570" s="5">
        <f>IFERROR(VLOOKUP(IFERROR(VLOOKUP(D570,Mapa_Similitud!$A$2:$B$2000,2,FALSE()),D570),Hoja1!$A$2:$K$1000,5,FALSE()),0)</f>
        <v>0</v>
      </c>
      <c r="AY570" s="5">
        <f>IFERROR(VLOOKUP(IFERROR(VLOOKUP(D570,Mapa_Similitud!$A$2:$B$2000,2,FALSE()),D570),Hoja1!$A$2:$K$1000,7,FALSE()),0)</f>
        <v>0</v>
      </c>
      <c r="AZ570" s="5">
        <f>IFERROR(VLOOKUP(IFERROR(VLOOKUP(D570,Mapa_Similitud!$A$2:$B$2000,2,FALSE()),D570),Hoja1!$A$2:$K$1000,9,FALSE()),0)</f>
        <v>0</v>
      </c>
      <c r="BA570" s="25">
        <f t="shared" si="232"/>
        <v>2.6033057851239671E-2</v>
      </c>
      <c r="BB570" s="25">
        <f t="shared" si="233"/>
        <v>3.3057851239669422E-2</v>
      </c>
      <c r="BC570" s="25">
        <f t="shared" si="234"/>
        <v>1.115702479338843</v>
      </c>
      <c r="BD570" s="25">
        <f t="shared" si="235"/>
        <v>1.9008264462809919E-2</v>
      </c>
      <c r="BE570" s="25">
        <f t="shared" si="236"/>
        <v>2.1487603305785123</v>
      </c>
      <c r="BF570" s="25">
        <f t="shared" si="237"/>
        <v>2.5</v>
      </c>
      <c r="BG570" s="25">
        <f t="shared" si="238"/>
        <v>0.87096774193548387</v>
      </c>
      <c r="BH570" s="25">
        <f t="shared" si="239"/>
        <v>0.19999999999999998</v>
      </c>
      <c r="BI570" s="25">
        <f t="shared" si="240"/>
        <v>0.23744292237442921</v>
      </c>
      <c r="BJ570" s="25">
        <f t="shared" si="241"/>
        <v>1</v>
      </c>
      <c r="BK570" s="25">
        <f t="shared" si="242"/>
        <v>0.16666666666666669</v>
      </c>
      <c r="BL570" s="25">
        <f t="shared" si="243"/>
        <v>3.71900826446281E-2</v>
      </c>
      <c r="BM570" s="25">
        <f t="shared" si="244"/>
        <v>0.57851239669421495</v>
      </c>
      <c r="BN570" s="18" t="str">
        <f t="shared" si="250"/>
        <v>Baja fuente de proteína</v>
      </c>
      <c r="BO570" s="18" t="str">
        <f t="shared" si="251"/>
        <v>Alta fuente de fibra</v>
      </c>
      <c r="BP570" s="18" t="str">
        <f t="shared" si="252"/>
        <v>Media fuente de calcio</v>
      </c>
      <c r="BQ570" s="18" t="str">
        <f t="shared" si="253"/>
        <v>Alta fuente de hierro</v>
      </c>
      <c r="BR570" s="18" t="str">
        <f t="shared" si="254"/>
        <v>Muy alto en sodio</v>
      </c>
      <c r="BS570" s="6" t="str">
        <f t="shared" si="245"/>
        <v>Altamente antiinflamatorio</v>
      </c>
      <c r="BT570" s="6" t="str">
        <f t="shared" si="246"/>
        <v>Bajo en grasas</v>
      </c>
      <c r="BU570" s="18" t="str">
        <f t="shared" si="255"/>
        <v>Equilibrio de líquidos ideal</v>
      </c>
      <c r="BV570" s="18" t="str">
        <f t="shared" si="256"/>
        <v>Alta fuente de magnesio</v>
      </c>
      <c r="BW570" s="18" t="str">
        <f t="shared" si="257"/>
        <v>Sin aporte de Omega 3</v>
      </c>
      <c r="BX570" s="18" t="str">
        <f t="shared" si="258"/>
        <v>Libre de grasas trans</v>
      </c>
      <c r="BY570" s="18" t="str">
        <f t="shared" si="259"/>
        <v>Bajo poder antioxidante</v>
      </c>
      <c r="BZ570" s="6" t="str">
        <f t="shared" si="247"/>
        <v>Sin probióticos</v>
      </c>
      <c r="CA570" s="18" t="str">
        <f t="shared" si="260"/>
        <v>Poco inflamatorio</v>
      </c>
      <c r="CB570" s="18" t="str">
        <f>IF(ISNUMBER(SEARCH("miel", D570)), "No irritante (Uso condicionado SII)", IF(OR(J570&gt;0, ISNUMBER(SEARCH("cacao", D570)), ISNUMBER(SEARCH("chocolate puro", D570))), "Altamente irritante", IF(OR(AND(O570&gt;15, BI570&gt;1), ISNUMBER(SEARCH("chocolate", D570))), "Moderadamente irritante", "No irritante")))</f>
        <v>No irritante</v>
      </c>
      <c r="CC570" s="6" t="str">
        <f t="shared" si="248"/>
        <v>Sin Omega 3 para evaluar</v>
      </c>
    </row>
    <row r="571" spans="1:81" ht="15" customHeight="1" x14ac:dyDescent="0.3">
      <c r="A571" s="2">
        <f t="shared" si="249"/>
        <v>570</v>
      </c>
      <c r="B571" s="3" t="s">
        <v>686</v>
      </c>
      <c r="C571" s="3" t="s">
        <v>725</v>
      </c>
      <c r="D571" s="3" t="s">
        <v>738</v>
      </c>
      <c r="E571" s="3"/>
      <c r="F571" s="4">
        <v>1.5</v>
      </c>
      <c r="G571" s="5">
        <v>1</v>
      </c>
      <c r="H571" s="5">
        <v>52.8</v>
      </c>
      <c r="I571" s="5">
        <v>87</v>
      </c>
      <c r="J571" s="5">
        <v>0</v>
      </c>
      <c r="K571" s="5">
        <v>0.6</v>
      </c>
      <c r="L571" s="5">
        <v>12</v>
      </c>
      <c r="M571" s="5">
        <v>0</v>
      </c>
      <c r="N571" s="5">
        <v>12</v>
      </c>
      <c r="O571" s="5">
        <v>0</v>
      </c>
      <c r="P571" s="5">
        <v>0.15</v>
      </c>
      <c r="Q571" s="5">
        <v>0.23</v>
      </c>
      <c r="R571" s="5">
        <v>0.03</v>
      </c>
      <c r="S571" s="5">
        <v>5.7000000000000002E-2</v>
      </c>
      <c r="T571" s="5">
        <v>0.14000000000000001</v>
      </c>
      <c r="U571" s="5">
        <v>0</v>
      </c>
      <c r="V571" s="5">
        <v>3.6</v>
      </c>
      <c r="W571" s="5">
        <v>0</v>
      </c>
      <c r="X571" s="5">
        <v>21.5</v>
      </c>
      <c r="Y571" s="5">
        <v>0</v>
      </c>
      <c r="Z571" s="5">
        <v>0.19</v>
      </c>
      <c r="AA571" s="5">
        <v>1.1000000000000001</v>
      </c>
      <c r="AB571" s="5">
        <v>0.03</v>
      </c>
      <c r="AC571" s="5">
        <v>2.5000000000000001E-2</v>
      </c>
      <c r="AD571" s="5">
        <v>0.17</v>
      </c>
      <c r="AE571" s="5">
        <v>2.5000000000000001E-2</v>
      </c>
      <c r="AF571" s="5">
        <v>2.2000000000000002</v>
      </c>
      <c r="AG571" s="5">
        <v>0</v>
      </c>
      <c r="AH571" s="5">
        <v>0.27</v>
      </c>
      <c r="AI571" s="5">
        <v>0</v>
      </c>
      <c r="AJ571" s="5">
        <v>4.5</v>
      </c>
      <c r="AK571" s="5">
        <v>10.8</v>
      </c>
      <c r="AL571" s="5">
        <v>145</v>
      </c>
      <c r="AM571" s="5">
        <v>0.43</v>
      </c>
      <c r="AN571" s="5">
        <v>0.24</v>
      </c>
      <c r="AO571" s="5">
        <v>0.04</v>
      </c>
      <c r="AP571" s="5">
        <v>7.5</v>
      </c>
      <c r="AQ571" s="5">
        <v>5.3</v>
      </c>
      <c r="AR571" s="5">
        <v>191</v>
      </c>
      <c r="AS571" s="5">
        <v>0.05</v>
      </c>
      <c r="AT571" s="5">
        <v>0.05</v>
      </c>
      <c r="AU571" s="5">
        <v>0.2</v>
      </c>
      <c r="AV571" s="5">
        <f>IFERROR(VLOOKUP(IFERROR(VLOOKUP(D571,Mapa_Similitud!$A$2:$B$2000,2,FALSE()),D571),Hoja1!$A$2:$K$1000,2,FALSE()),IFERROR(VLOOKUP(IFERROR(VLOOKUP(D571,Mapa_Similitud!$A$2:$B$2000,2,FALSE()),D571),Omega3_Referencia!$A$2:$E$100,3,FALSE()),0))</f>
        <v>0</v>
      </c>
      <c r="AW571" s="3" t="str">
        <f>IFERROR(VLOOKUP(IFERROR(VLOOKUP(D571,Mapa_Similitud!$A$2:$B$2000,2,FALSE()),D571),Hoja1!$A$2:$K$1000,3,FALSE()),IFERROR(VLOOKUP(IFERROR(VLOOKUP(D571,Mapa_Similitud!$A$2:$B$2000,2,FALSE()),D571),Omega3_Referencia!$A$2:$E$100,4,FALSE()),"N/A"))</f>
        <v>N/A</v>
      </c>
      <c r="AX571" s="5">
        <f>IFERROR(VLOOKUP(IFERROR(VLOOKUP(D571,Mapa_Similitud!$A$2:$B$2000,2,FALSE()),D571),Hoja1!$A$2:$K$1000,5,FALSE()),0)</f>
        <v>0</v>
      </c>
      <c r="AY571" s="5">
        <f>IFERROR(VLOOKUP(IFERROR(VLOOKUP(D571,Mapa_Similitud!$A$2:$B$2000,2,FALSE()),D571),Hoja1!$A$2:$K$1000,7,FALSE()),0)</f>
        <v>0</v>
      </c>
      <c r="AZ571" s="5">
        <f>IFERROR(VLOOKUP(IFERROR(VLOOKUP(D571,Mapa_Similitud!$A$2:$B$2000,2,FALSE()),D571),Hoja1!$A$2:$K$1000,9,FALSE()),0)</f>
        <v>0</v>
      </c>
      <c r="BA571" s="25">
        <f t="shared" si="232"/>
        <v>1.1363636363636364E-2</v>
      </c>
      <c r="BB571" s="25">
        <f t="shared" si="233"/>
        <v>2.840909090909091E-3</v>
      </c>
      <c r="BC571" s="25">
        <f t="shared" si="234"/>
        <v>0.20454545454545456</v>
      </c>
      <c r="BD571" s="25">
        <f t="shared" si="235"/>
        <v>8.1439393939393943E-3</v>
      </c>
      <c r="BE571" s="25">
        <f t="shared" si="236"/>
        <v>0.10037878787878789</v>
      </c>
      <c r="BF571" s="25">
        <f t="shared" si="237"/>
        <v>4.666666666666667</v>
      </c>
      <c r="BG571" s="25">
        <f t="shared" si="238"/>
        <v>7.4482758620689662E-2</v>
      </c>
      <c r="BH571" s="25">
        <f t="shared" si="239"/>
        <v>0.13043478260869565</v>
      </c>
      <c r="BI571" s="25">
        <f t="shared" si="240"/>
        <v>2.774869109947644E-2</v>
      </c>
      <c r="BJ571" s="25">
        <f t="shared" si="241"/>
        <v>1</v>
      </c>
      <c r="BK571" s="25">
        <f t="shared" si="242"/>
        <v>1.2499999999999999E-2</v>
      </c>
      <c r="BL571" s="25">
        <f t="shared" si="243"/>
        <v>3.9204545454545464E-2</v>
      </c>
      <c r="BM571" s="25">
        <f t="shared" si="244"/>
        <v>0.14204545454545456</v>
      </c>
      <c r="BN571" s="18" t="str">
        <f t="shared" si="250"/>
        <v>Baja fuente de proteína</v>
      </c>
      <c r="BO571" s="18" t="str">
        <f t="shared" si="251"/>
        <v>Baja fuente de fibra</v>
      </c>
      <c r="BP571" s="18" t="str">
        <f t="shared" si="252"/>
        <v>Baja fuente de calcio</v>
      </c>
      <c r="BQ571" s="18" t="str">
        <f t="shared" si="253"/>
        <v>Media fuente de hierro</v>
      </c>
      <c r="BR571" s="18" t="str">
        <f t="shared" si="254"/>
        <v>Bajo en sodio</v>
      </c>
      <c r="BS571" s="6" t="str">
        <f t="shared" si="245"/>
        <v>Altamente antiinflamatorio</v>
      </c>
      <c r="BT571" s="6" t="str">
        <f t="shared" si="246"/>
        <v>Bajo en grasas</v>
      </c>
      <c r="BU571" s="18" t="str">
        <f t="shared" si="255"/>
        <v>Equilibrio de líquidos ideal</v>
      </c>
      <c r="BV571" s="18" t="str">
        <f t="shared" si="256"/>
        <v>Baja fuente de magnesio</v>
      </c>
      <c r="BW571" s="18" t="str">
        <f t="shared" si="257"/>
        <v>Sin aporte de Omega 3</v>
      </c>
      <c r="BX571" s="18" t="str">
        <f t="shared" si="258"/>
        <v>Libre de grasas trans</v>
      </c>
      <c r="BY571" s="18" t="str">
        <f t="shared" si="259"/>
        <v>Bajo poder antioxidante</v>
      </c>
      <c r="BZ571" s="6" t="str">
        <f t="shared" si="247"/>
        <v>Sin probióticos</v>
      </c>
      <c r="CA571" s="18" t="str">
        <f t="shared" si="260"/>
        <v>Poco inflamatorio</v>
      </c>
      <c r="CB571" s="18" t="str">
        <f>IF(ISNUMBER(SEARCH("miel", D571)), "No irritante (Uso condicionado SII)", IF(OR(J571&gt;0, ISNUMBER(SEARCH("cacao", D571)), ISNUMBER(SEARCH("chocolate puro", D571))), "Altamente irritante", IF(OR(AND(O571&gt;15, BI571&gt;1), ISNUMBER(SEARCH("chocolate", D571))), "Moderadamente irritante", "No irritante")))</f>
        <v>No irritante</v>
      </c>
      <c r="CC571" s="6" t="str">
        <f t="shared" si="248"/>
        <v>Sin Omega 3 para evaluar</v>
      </c>
    </row>
  </sheetData>
  <autoFilter ref="A1:CC57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0"/>
  <sheetViews>
    <sheetView zoomScaleNormal="100" workbookViewId="0"/>
  </sheetViews>
  <sheetFormatPr baseColWidth="10" defaultColWidth="8.6640625" defaultRowHeight="15" customHeight="1" x14ac:dyDescent="0.3"/>
  <cols>
    <col min="1" max="1" width="20.88671875" customWidth="1"/>
    <col min="5" max="5" width="19.109375" customWidth="1"/>
    <col min="6" max="6" width="26.33203125" customWidth="1"/>
    <col min="11" max="11" width="25" customWidth="1"/>
  </cols>
  <sheetData>
    <row r="1" spans="1:11" ht="15" customHeight="1" x14ac:dyDescent="0.3">
      <c r="A1" t="s">
        <v>739</v>
      </c>
      <c r="B1" t="s">
        <v>48</v>
      </c>
      <c r="C1" t="s">
        <v>49</v>
      </c>
      <c r="D1" t="s">
        <v>75</v>
      </c>
      <c r="E1" t="s">
        <v>50</v>
      </c>
      <c r="F1" t="s">
        <v>76</v>
      </c>
      <c r="G1" t="s">
        <v>51</v>
      </c>
      <c r="H1" t="s">
        <v>77</v>
      </c>
      <c r="I1" t="s">
        <v>52</v>
      </c>
      <c r="J1" t="s">
        <v>78</v>
      </c>
      <c r="K1" t="s">
        <v>79</v>
      </c>
    </row>
    <row r="2" spans="1:11" ht="15" customHeight="1" x14ac:dyDescent="0.3">
      <c r="A2" t="s">
        <v>84</v>
      </c>
      <c r="B2">
        <v>0.01</v>
      </c>
      <c r="C2" t="s">
        <v>740</v>
      </c>
      <c r="D2" t="s">
        <v>741</v>
      </c>
      <c r="E2">
        <v>0</v>
      </c>
      <c r="F2" t="s">
        <v>742</v>
      </c>
      <c r="G2">
        <v>1</v>
      </c>
      <c r="H2" t="s">
        <v>741</v>
      </c>
      <c r="I2">
        <v>0</v>
      </c>
      <c r="J2" t="s">
        <v>743</v>
      </c>
      <c r="K2" t="s">
        <v>744</v>
      </c>
    </row>
    <row r="3" spans="1:11" ht="15" customHeight="1" x14ac:dyDescent="0.3">
      <c r="A3" t="s">
        <v>85</v>
      </c>
      <c r="B3">
        <v>0</v>
      </c>
      <c r="C3" t="s">
        <v>745</v>
      </c>
      <c r="D3" t="s">
        <v>743</v>
      </c>
      <c r="E3">
        <v>0</v>
      </c>
      <c r="F3" t="s">
        <v>742</v>
      </c>
      <c r="G3">
        <v>0</v>
      </c>
      <c r="H3" t="s">
        <v>743</v>
      </c>
      <c r="I3">
        <v>0</v>
      </c>
      <c r="J3" t="s">
        <v>743</v>
      </c>
      <c r="K3" t="s">
        <v>746</v>
      </c>
    </row>
    <row r="4" spans="1:11" ht="15" customHeight="1" x14ac:dyDescent="0.3">
      <c r="A4" t="s">
        <v>87</v>
      </c>
      <c r="B4">
        <v>0.04</v>
      </c>
      <c r="C4" t="s">
        <v>740</v>
      </c>
      <c r="D4" t="s">
        <v>741</v>
      </c>
      <c r="E4">
        <v>0</v>
      </c>
      <c r="F4" t="s">
        <v>742</v>
      </c>
      <c r="G4">
        <v>25</v>
      </c>
      <c r="H4" t="s">
        <v>747</v>
      </c>
      <c r="I4">
        <v>0</v>
      </c>
      <c r="J4" t="s">
        <v>743</v>
      </c>
      <c r="K4" t="s">
        <v>748</v>
      </c>
    </row>
    <row r="5" spans="1:11" ht="15" customHeight="1" x14ac:dyDescent="0.3">
      <c r="A5" t="s">
        <v>88</v>
      </c>
      <c r="B5">
        <v>0.11</v>
      </c>
      <c r="C5" t="s">
        <v>740</v>
      </c>
      <c r="D5" t="s">
        <v>747</v>
      </c>
      <c r="E5">
        <v>0</v>
      </c>
      <c r="F5" t="s">
        <v>742</v>
      </c>
      <c r="G5">
        <v>80</v>
      </c>
      <c r="H5" t="s">
        <v>747</v>
      </c>
      <c r="I5">
        <v>0</v>
      </c>
      <c r="J5" t="s">
        <v>743</v>
      </c>
      <c r="K5" t="s">
        <v>748</v>
      </c>
    </row>
    <row r="6" spans="1:11" ht="15" customHeight="1" x14ac:dyDescent="0.3">
      <c r="A6" t="s">
        <v>89</v>
      </c>
      <c r="B6">
        <v>0.08</v>
      </c>
      <c r="C6" t="s">
        <v>740</v>
      </c>
      <c r="D6" t="s">
        <v>741</v>
      </c>
      <c r="E6">
        <v>0</v>
      </c>
      <c r="F6" t="s">
        <v>742</v>
      </c>
      <c r="G6">
        <v>72.900000000000006</v>
      </c>
      <c r="H6" t="s">
        <v>747</v>
      </c>
      <c r="I6">
        <v>0</v>
      </c>
      <c r="J6" t="s">
        <v>743</v>
      </c>
      <c r="K6" t="s">
        <v>748</v>
      </c>
    </row>
    <row r="7" spans="1:11" ht="15" customHeight="1" x14ac:dyDescent="0.3">
      <c r="A7" t="s">
        <v>90</v>
      </c>
      <c r="B7">
        <v>0.06</v>
      </c>
      <c r="C7" t="s">
        <v>740</v>
      </c>
      <c r="D7" t="s">
        <v>741</v>
      </c>
      <c r="E7">
        <v>0</v>
      </c>
      <c r="F7" t="s">
        <v>742</v>
      </c>
      <c r="G7">
        <v>65</v>
      </c>
      <c r="H7" t="s">
        <v>747</v>
      </c>
      <c r="I7">
        <v>0</v>
      </c>
      <c r="J7" t="s">
        <v>743</v>
      </c>
      <c r="K7" t="s">
        <v>748</v>
      </c>
    </row>
    <row r="8" spans="1:11" ht="15" customHeight="1" x14ac:dyDescent="0.3">
      <c r="A8" t="s">
        <v>91</v>
      </c>
      <c r="B8">
        <v>0</v>
      </c>
      <c r="C8" t="s">
        <v>745</v>
      </c>
      <c r="D8" t="s">
        <v>743</v>
      </c>
      <c r="E8">
        <v>0</v>
      </c>
      <c r="F8" t="s">
        <v>742</v>
      </c>
      <c r="G8">
        <v>0</v>
      </c>
      <c r="H8" t="s">
        <v>743</v>
      </c>
      <c r="I8">
        <v>0</v>
      </c>
      <c r="J8" t="s">
        <v>743</v>
      </c>
      <c r="K8" t="s">
        <v>746</v>
      </c>
    </row>
    <row r="9" spans="1:11" ht="15" customHeight="1" x14ac:dyDescent="0.3">
      <c r="A9" t="s">
        <v>98</v>
      </c>
      <c r="B9">
        <v>0.05</v>
      </c>
      <c r="C9" t="s">
        <v>740</v>
      </c>
      <c r="D9" t="s">
        <v>741</v>
      </c>
      <c r="E9">
        <v>0</v>
      </c>
      <c r="F9" t="s">
        <v>742</v>
      </c>
      <c r="G9">
        <v>50</v>
      </c>
      <c r="H9" t="s">
        <v>747</v>
      </c>
      <c r="I9">
        <v>0</v>
      </c>
      <c r="J9" t="s">
        <v>743</v>
      </c>
      <c r="K9" t="s">
        <v>744</v>
      </c>
    </row>
    <row r="10" spans="1:11" ht="15" customHeight="1" x14ac:dyDescent="0.3">
      <c r="A10" t="s">
        <v>93</v>
      </c>
      <c r="B10">
        <v>0.01</v>
      </c>
      <c r="C10" t="s">
        <v>740</v>
      </c>
      <c r="D10" t="s">
        <v>741</v>
      </c>
      <c r="E10">
        <v>0</v>
      </c>
      <c r="F10" t="s">
        <v>742</v>
      </c>
      <c r="G10">
        <v>1</v>
      </c>
      <c r="H10" t="s">
        <v>741</v>
      </c>
      <c r="I10">
        <v>0</v>
      </c>
      <c r="J10" t="s">
        <v>743</v>
      </c>
      <c r="K10" t="s">
        <v>744</v>
      </c>
    </row>
    <row r="11" spans="1:11" ht="15" customHeight="1" x14ac:dyDescent="0.3">
      <c r="A11" t="s">
        <v>94</v>
      </c>
      <c r="B11">
        <v>0.04</v>
      </c>
      <c r="C11" t="s">
        <v>740</v>
      </c>
      <c r="D11" t="s">
        <v>741</v>
      </c>
      <c r="E11">
        <v>0</v>
      </c>
      <c r="F11" t="s">
        <v>742</v>
      </c>
      <c r="G11">
        <v>45</v>
      </c>
      <c r="H11" t="s">
        <v>747</v>
      </c>
      <c r="I11">
        <v>0</v>
      </c>
      <c r="J11" t="s">
        <v>743</v>
      </c>
      <c r="K11" t="s">
        <v>744</v>
      </c>
    </row>
    <row r="12" spans="1:11" ht="15" customHeight="1" x14ac:dyDescent="0.3">
      <c r="A12" t="s">
        <v>95</v>
      </c>
      <c r="B12">
        <v>0.03</v>
      </c>
      <c r="C12" t="s">
        <v>740</v>
      </c>
      <c r="D12" t="s">
        <v>741</v>
      </c>
      <c r="E12">
        <v>0</v>
      </c>
      <c r="F12" t="s">
        <v>742</v>
      </c>
      <c r="G12">
        <v>10</v>
      </c>
      <c r="H12" t="s">
        <v>741</v>
      </c>
      <c r="I12">
        <v>0</v>
      </c>
      <c r="J12" t="s">
        <v>743</v>
      </c>
      <c r="K12" t="s">
        <v>744</v>
      </c>
    </row>
    <row r="13" spans="1:11" ht="15" customHeight="1" x14ac:dyDescent="0.3">
      <c r="A13" t="s">
        <v>96</v>
      </c>
      <c r="B13">
        <v>0.02</v>
      </c>
      <c r="C13" t="s">
        <v>740</v>
      </c>
      <c r="D13" t="s">
        <v>741</v>
      </c>
      <c r="E13">
        <v>0</v>
      </c>
      <c r="F13" t="s">
        <v>742</v>
      </c>
      <c r="G13">
        <v>68.3</v>
      </c>
      <c r="H13" t="s">
        <v>747</v>
      </c>
      <c r="I13">
        <v>0</v>
      </c>
      <c r="J13" t="s">
        <v>743</v>
      </c>
      <c r="K13" t="s">
        <v>746</v>
      </c>
    </row>
    <row r="14" spans="1:11" ht="15" customHeight="1" x14ac:dyDescent="0.3">
      <c r="A14" t="s">
        <v>97</v>
      </c>
      <c r="B14">
        <v>7.0000000000000007E-2</v>
      </c>
      <c r="C14" t="s">
        <v>740</v>
      </c>
      <c r="D14" t="s">
        <v>747</v>
      </c>
      <c r="E14">
        <v>0</v>
      </c>
      <c r="F14" t="s">
        <v>742</v>
      </c>
      <c r="G14">
        <v>90.5</v>
      </c>
      <c r="H14" t="s">
        <v>749</v>
      </c>
      <c r="I14">
        <v>0</v>
      </c>
      <c r="J14" t="s">
        <v>743</v>
      </c>
      <c r="K14" t="s">
        <v>748</v>
      </c>
    </row>
    <row r="15" spans="1:11" ht="15" customHeight="1" x14ac:dyDescent="0.3">
      <c r="A15" t="s">
        <v>100</v>
      </c>
      <c r="B15">
        <v>0.02</v>
      </c>
      <c r="C15" t="s">
        <v>740</v>
      </c>
      <c r="D15" t="s">
        <v>741</v>
      </c>
      <c r="E15">
        <v>0</v>
      </c>
      <c r="F15" t="s">
        <v>742</v>
      </c>
      <c r="G15">
        <v>15</v>
      </c>
      <c r="H15" t="s">
        <v>741</v>
      </c>
      <c r="I15">
        <v>0</v>
      </c>
      <c r="J15" t="s">
        <v>743</v>
      </c>
      <c r="K15" t="s">
        <v>744</v>
      </c>
    </row>
    <row r="16" spans="1:11" ht="15" customHeight="1" x14ac:dyDescent="0.3">
      <c r="A16" t="s">
        <v>101</v>
      </c>
      <c r="B16">
        <v>0.02</v>
      </c>
      <c r="C16" t="s">
        <v>740</v>
      </c>
      <c r="D16" t="s">
        <v>741</v>
      </c>
      <c r="E16">
        <v>0</v>
      </c>
      <c r="F16" t="s">
        <v>742</v>
      </c>
      <c r="G16">
        <v>20</v>
      </c>
      <c r="H16" t="s">
        <v>741</v>
      </c>
      <c r="I16">
        <v>0</v>
      </c>
      <c r="J16" t="s">
        <v>743</v>
      </c>
      <c r="K16" t="s">
        <v>744</v>
      </c>
    </row>
    <row r="17" spans="1:11" ht="15" customHeight="1" x14ac:dyDescent="0.3">
      <c r="A17" t="s">
        <v>102</v>
      </c>
      <c r="B17">
        <v>0.02</v>
      </c>
      <c r="C17" t="s">
        <v>740</v>
      </c>
      <c r="D17" t="s">
        <v>741</v>
      </c>
      <c r="E17">
        <v>0</v>
      </c>
      <c r="F17" t="s">
        <v>742</v>
      </c>
      <c r="G17">
        <v>18</v>
      </c>
      <c r="H17" t="s">
        <v>741</v>
      </c>
      <c r="I17">
        <v>0</v>
      </c>
      <c r="J17" t="s">
        <v>743</v>
      </c>
      <c r="K17" t="s">
        <v>744</v>
      </c>
    </row>
    <row r="18" spans="1:11" ht="15" customHeight="1" x14ac:dyDescent="0.3">
      <c r="A18" t="s">
        <v>103</v>
      </c>
      <c r="B18">
        <v>0.26</v>
      </c>
      <c r="C18" t="s">
        <v>740</v>
      </c>
      <c r="D18" t="s">
        <v>749</v>
      </c>
      <c r="E18">
        <v>0</v>
      </c>
      <c r="F18" t="s">
        <v>742</v>
      </c>
      <c r="G18">
        <v>45</v>
      </c>
      <c r="H18" t="s">
        <v>747</v>
      </c>
      <c r="I18">
        <v>0</v>
      </c>
      <c r="J18" t="s">
        <v>743</v>
      </c>
      <c r="K18" t="s">
        <v>748</v>
      </c>
    </row>
    <row r="19" spans="1:11" ht="15" customHeight="1" x14ac:dyDescent="0.3">
      <c r="A19" t="s">
        <v>104</v>
      </c>
      <c r="B19">
        <v>0.02</v>
      </c>
      <c r="C19" t="s">
        <v>740</v>
      </c>
      <c r="D19" t="s">
        <v>741</v>
      </c>
      <c r="E19">
        <v>0</v>
      </c>
      <c r="F19" t="s">
        <v>742</v>
      </c>
      <c r="G19">
        <v>12</v>
      </c>
      <c r="H19" t="s">
        <v>741</v>
      </c>
      <c r="I19">
        <v>0</v>
      </c>
      <c r="J19" t="s">
        <v>743</v>
      </c>
      <c r="K19" t="s">
        <v>744</v>
      </c>
    </row>
    <row r="20" spans="1:11" ht="15" customHeight="1" x14ac:dyDescent="0.3">
      <c r="A20" t="s">
        <v>82</v>
      </c>
      <c r="B20">
        <v>0.03</v>
      </c>
      <c r="C20" t="s">
        <v>740</v>
      </c>
      <c r="D20" t="s">
        <v>741</v>
      </c>
      <c r="E20">
        <v>0</v>
      </c>
      <c r="F20" t="s">
        <v>742</v>
      </c>
      <c r="G20">
        <v>40</v>
      </c>
      <c r="H20" t="s">
        <v>747</v>
      </c>
      <c r="I20">
        <v>0</v>
      </c>
      <c r="J20" t="s">
        <v>743</v>
      </c>
      <c r="K20" t="s">
        <v>744</v>
      </c>
    </row>
    <row r="21" spans="1:11" ht="15" customHeight="1" x14ac:dyDescent="0.3">
      <c r="A21" t="s">
        <v>106</v>
      </c>
      <c r="B21">
        <v>0.05</v>
      </c>
      <c r="C21" t="s">
        <v>740</v>
      </c>
      <c r="D21" t="s">
        <v>741</v>
      </c>
      <c r="E21">
        <v>2.8</v>
      </c>
      <c r="F21" t="s">
        <v>750</v>
      </c>
      <c r="G21">
        <v>5</v>
      </c>
      <c r="H21" t="s">
        <v>741</v>
      </c>
      <c r="I21">
        <v>0</v>
      </c>
      <c r="J21" t="s">
        <v>743</v>
      </c>
      <c r="K21" t="s">
        <v>746</v>
      </c>
    </row>
    <row r="22" spans="1:11" ht="15" customHeight="1" x14ac:dyDescent="0.3">
      <c r="A22" t="s">
        <v>107</v>
      </c>
      <c r="B22">
        <v>0.05</v>
      </c>
      <c r="C22" t="s">
        <v>740</v>
      </c>
      <c r="D22" t="s">
        <v>741</v>
      </c>
      <c r="E22">
        <v>1.9</v>
      </c>
      <c r="F22" t="s">
        <v>750</v>
      </c>
      <c r="G22">
        <v>4</v>
      </c>
      <c r="H22" t="s">
        <v>741</v>
      </c>
      <c r="I22">
        <v>0</v>
      </c>
      <c r="J22" t="s">
        <v>743</v>
      </c>
      <c r="K22" t="s">
        <v>746</v>
      </c>
    </row>
    <row r="23" spans="1:11" ht="15" customHeight="1" x14ac:dyDescent="0.3">
      <c r="A23" t="s">
        <v>108</v>
      </c>
      <c r="B23">
        <v>0.04</v>
      </c>
      <c r="C23" t="s">
        <v>740</v>
      </c>
      <c r="D23" t="s">
        <v>741</v>
      </c>
      <c r="E23">
        <v>0.1</v>
      </c>
      <c r="F23" t="s">
        <v>751</v>
      </c>
      <c r="G23">
        <v>20</v>
      </c>
      <c r="H23" t="s">
        <v>741</v>
      </c>
      <c r="I23">
        <v>0</v>
      </c>
      <c r="J23" t="s">
        <v>743</v>
      </c>
      <c r="K23" t="s">
        <v>746</v>
      </c>
    </row>
    <row r="24" spans="1:11" ht="15" customHeight="1" x14ac:dyDescent="0.3">
      <c r="A24" t="s">
        <v>109</v>
      </c>
      <c r="B24">
        <v>0.04</v>
      </c>
      <c r="C24" t="s">
        <v>740</v>
      </c>
      <c r="D24" t="s">
        <v>741</v>
      </c>
      <c r="E24">
        <v>0.1</v>
      </c>
      <c r="F24" t="s">
        <v>751</v>
      </c>
      <c r="G24">
        <v>20</v>
      </c>
      <c r="H24" t="s">
        <v>741</v>
      </c>
      <c r="I24">
        <v>0</v>
      </c>
      <c r="J24" t="s">
        <v>743</v>
      </c>
      <c r="K24" t="s">
        <v>746</v>
      </c>
    </row>
    <row r="25" spans="1:11" ht="15" customHeight="1" x14ac:dyDescent="0.3">
      <c r="A25" t="s">
        <v>110</v>
      </c>
      <c r="B25">
        <v>0.04</v>
      </c>
      <c r="C25" t="s">
        <v>740</v>
      </c>
      <c r="D25" t="s">
        <v>741</v>
      </c>
      <c r="E25">
        <v>0.1</v>
      </c>
      <c r="F25" t="s">
        <v>751</v>
      </c>
      <c r="G25">
        <v>20</v>
      </c>
      <c r="H25" t="s">
        <v>741</v>
      </c>
      <c r="I25">
        <v>0</v>
      </c>
      <c r="J25" t="s">
        <v>743</v>
      </c>
      <c r="K25" t="s">
        <v>746</v>
      </c>
    </row>
    <row r="26" spans="1:11" ht="15" customHeight="1" x14ac:dyDescent="0.3">
      <c r="A26" t="s">
        <v>111</v>
      </c>
      <c r="B26">
        <v>0.04</v>
      </c>
      <c r="C26" t="s">
        <v>740</v>
      </c>
      <c r="D26" t="s">
        <v>741</v>
      </c>
      <c r="E26">
        <v>0.1</v>
      </c>
      <c r="F26" t="s">
        <v>751</v>
      </c>
      <c r="G26">
        <v>18</v>
      </c>
      <c r="H26" t="s">
        <v>741</v>
      </c>
      <c r="I26">
        <v>0</v>
      </c>
      <c r="J26" t="s">
        <v>743</v>
      </c>
      <c r="K26" t="s">
        <v>746</v>
      </c>
    </row>
    <row r="27" spans="1:11" ht="15" customHeight="1" x14ac:dyDescent="0.3">
      <c r="A27" t="s">
        <v>112</v>
      </c>
      <c r="B27">
        <v>0.04</v>
      </c>
      <c r="C27" t="s">
        <v>740</v>
      </c>
      <c r="D27" t="s">
        <v>741</v>
      </c>
      <c r="E27">
        <v>0.1</v>
      </c>
      <c r="F27" t="s">
        <v>751</v>
      </c>
      <c r="G27">
        <v>18</v>
      </c>
      <c r="H27" t="s">
        <v>741</v>
      </c>
      <c r="I27">
        <v>0</v>
      </c>
      <c r="J27" t="s">
        <v>743</v>
      </c>
      <c r="K27" t="s">
        <v>746</v>
      </c>
    </row>
    <row r="28" spans="1:11" ht="15" customHeight="1" x14ac:dyDescent="0.3">
      <c r="A28" t="s">
        <v>113</v>
      </c>
      <c r="B28">
        <v>0.08</v>
      </c>
      <c r="C28" t="s">
        <v>740</v>
      </c>
      <c r="D28" t="s">
        <v>747</v>
      </c>
      <c r="E28">
        <v>0</v>
      </c>
      <c r="F28" t="s">
        <v>742</v>
      </c>
      <c r="G28">
        <v>45</v>
      </c>
      <c r="H28" t="s">
        <v>747</v>
      </c>
      <c r="I28">
        <v>0</v>
      </c>
      <c r="J28" t="s">
        <v>743</v>
      </c>
      <c r="K28" t="s">
        <v>744</v>
      </c>
    </row>
    <row r="29" spans="1:11" ht="15" customHeight="1" x14ac:dyDescent="0.3">
      <c r="A29" t="s">
        <v>114</v>
      </c>
      <c r="B29">
        <v>0.06</v>
      </c>
      <c r="C29" t="s">
        <v>740</v>
      </c>
      <c r="D29" t="s">
        <v>741</v>
      </c>
      <c r="E29">
        <v>0</v>
      </c>
      <c r="F29" t="s">
        <v>742</v>
      </c>
      <c r="G29">
        <v>40</v>
      </c>
      <c r="H29" t="s">
        <v>747</v>
      </c>
      <c r="I29">
        <v>0</v>
      </c>
      <c r="J29" t="s">
        <v>743</v>
      </c>
      <c r="K29" t="s">
        <v>744</v>
      </c>
    </row>
    <row r="30" spans="1:11" ht="15" customHeight="1" x14ac:dyDescent="0.3">
      <c r="A30" t="s">
        <v>115</v>
      </c>
      <c r="B30">
        <v>0.05</v>
      </c>
      <c r="C30" t="s">
        <v>740</v>
      </c>
      <c r="D30" t="s">
        <v>741</v>
      </c>
      <c r="E30">
        <v>0</v>
      </c>
      <c r="F30" t="s">
        <v>742</v>
      </c>
      <c r="G30">
        <v>50</v>
      </c>
      <c r="H30" t="s">
        <v>747</v>
      </c>
      <c r="I30">
        <v>0</v>
      </c>
      <c r="J30" t="s">
        <v>743</v>
      </c>
      <c r="K30" t="s">
        <v>744</v>
      </c>
    </row>
    <row r="31" spans="1:11" ht="15" customHeight="1" x14ac:dyDescent="0.3">
      <c r="A31" t="s">
        <v>116</v>
      </c>
      <c r="B31">
        <v>0.03</v>
      </c>
      <c r="C31" t="s">
        <v>740</v>
      </c>
      <c r="D31" t="s">
        <v>741</v>
      </c>
      <c r="E31">
        <v>0</v>
      </c>
      <c r="F31" t="s">
        <v>742</v>
      </c>
      <c r="G31">
        <v>15</v>
      </c>
      <c r="H31" t="s">
        <v>741</v>
      </c>
      <c r="I31">
        <v>0</v>
      </c>
      <c r="J31" t="s">
        <v>743</v>
      </c>
      <c r="K31" t="s">
        <v>744</v>
      </c>
    </row>
    <row r="32" spans="1:11" ht="15" customHeight="1" x14ac:dyDescent="0.3">
      <c r="A32" t="s">
        <v>117</v>
      </c>
      <c r="B32">
        <v>0.06</v>
      </c>
      <c r="C32" t="s">
        <v>740</v>
      </c>
      <c r="D32" t="s">
        <v>741</v>
      </c>
      <c r="E32">
        <v>0</v>
      </c>
      <c r="F32" t="s">
        <v>742</v>
      </c>
      <c r="G32">
        <v>60</v>
      </c>
      <c r="H32" t="s">
        <v>747</v>
      </c>
      <c r="I32">
        <v>0</v>
      </c>
      <c r="J32" t="s">
        <v>743</v>
      </c>
      <c r="K32" t="s">
        <v>744</v>
      </c>
    </row>
    <row r="33" spans="1:11" ht="15" customHeight="1" x14ac:dyDescent="0.3">
      <c r="A33" t="s">
        <v>118</v>
      </c>
      <c r="B33">
        <v>0.1</v>
      </c>
      <c r="C33" t="s">
        <v>740</v>
      </c>
      <c r="D33" t="s">
        <v>747</v>
      </c>
      <c r="E33">
        <v>0</v>
      </c>
      <c r="F33" t="s">
        <v>742</v>
      </c>
      <c r="G33">
        <v>215.7</v>
      </c>
      <c r="H33" t="s">
        <v>749</v>
      </c>
      <c r="I33">
        <v>0</v>
      </c>
      <c r="J33" t="s">
        <v>743</v>
      </c>
      <c r="K33" t="s">
        <v>748</v>
      </c>
    </row>
    <row r="34" spans="1:11" ht="15" customHeight="1" x14ac:dyDescent="0.3">
      <c r="A34" t="s">
        <v>119</v>
      </c>
      <c r="B34">
        <v>0.1</v>
      </c>
      <c r="C34" t="s">
        <v>740</v>
      </c>
      <c r="D34" t="s">
        <v>747</v>
      </c>
      <c r="E34">
        <v>0</v>
      </c>
      <c r="F34" t="s">
        <v>742</v>
      </c>
      <c r="G34">
        <v>195</v>
      </c>
      <c r="H34" t="s">
        <v>749</v>
      </c>
      <c r="I34">
        <v>0</v>
      </c>
      <c r="J34" t="s">
        <v>743</v>
      </c>
      <c r="K34" t="s">
        <v>748</v>
      </c>
    </row>
    <row r="35" spans="1:11" ht="15" customHeight="1" x14ac:dyDescent="0.3">
      <c r="A35" t="s">
        <v>120</v>
      </c>
      <c r="B35">
        <v>0.02</v>
      </c>
      <c r="C35" t="s">
        <v>740</v>
      </c>
      <c r="D35" t="s">
        <v>741</v>
      </c>
      <c r="E35">
        <v>0</v>
      </c>
      <c r="F35" t="s">
        <v>742</v>
      </c>
      <c r="G35">
        <v>10</v>
      </c>
      <c r="H35" t="s">
        <v>741</v>
      </c>
      <c r="I35">
        <v>0</v>
      </c>
      <c r="J35" t="s">
        <v>743</v>
      </c>
      <c r="K35" t="s">
        <v>744</v>
      </c>
    </row>
    <row r="36" spans="1:11" ht="15" customHeight="1" x14ac:dyDescent="0.3">
      <c r="A36" t="s">
        <v>121</v>
      </c>
      <c r="B36">
        <v>0.03</v>
      </c>
      <c r="C36" t="s">
        <v>740</v>
      </c>
      <c r="D36" t="s">
        <v>741</v>
      </c>
      <c r="E36">
        <v>0.8</v>
      </c>
      <c r="F36" t="s">
        <v>750</v>
      </c>
      <c r="G36">
        <v>15</v>
      </c>
      <c r="H36" t="s">
        <v>741</v>
      </c>
      <c r="I36">
        <v>0</v>
      </c>
      <c r="J36" t="s">
        <v>743</v>
      </c>
      <c r="K36" t="s">
        <v>746</v>
      </c>
    </row>
    <row r="37" spans="1:11" ht="15" customHeight="1" x14ac:dyDescent="0.3">
      <c r="A37" t="s">
        <v>122</v>
      </c>
      <c r="B37">
        <v>0.5</v>
      </c>
      <c r="C37" t="s">
        <v>740</v>
      </c>
      <c r="D37" t="s">
        <v>749</v>
      </c>
      <c r="E37">
        <v>0</v>
      </c>
      <c r="F37" t="s">
        <v>742</v>
      </c>
      <c r="G37">
        <v>20</v>
      </c>
      <c r="H37" t="s">
        <v>741</v>
      </c>
      <c r="I37">
        <v>0</v>
      </c>
      <c r="J37" t="s">
        <v>743</v>
      </c>
      <c r="K37" t="s">
        <v>748</v>
      </c>
    </row>
    <row r="38" spans="1:11" ht="15" customHeight="1" x14ac:dyDescent="0.3">
      <c r="A38" t="s">
        <v>123</v>
      </c>
      <c r="B38">
        <v>0.06</v>
      </c>
      <c r="C38" t="s">
        <v>740</v>
      </c>
      <c r="D38" t="s">
        <v>747</v>
      </c>
      <c r="E38">
        <v>0</v>
      </c>
      <c r="F38" t="s">
        <v>742</v>
      </c>
      <c r="G38">
        <v>35</v>
      </c>
      <c r="H38" t="s">
        <v>747</v>
      </c>
      <c r="I38">
        <v>0</v>
      </c>
      <c r="J38" t="s">
        <v>743</v>
      </c>
      <c r="K38" t="s">
        <v>748</v>
      </c>
    </row>
    <row r="39" spans="1:11" ht="15" customHeight="1" x14ac:dyDescent="0.3">
      <c r="A39" t="s">
        <v>124</v>
      </c>
      <c r="B39">
        <v>0.03</v>
      </c>
      <c r="C39" t="s">
        <v>740</v>
      </c>
      <c r="D39" t="s">
        <v>741</v>
      </c>
      <c r="E39">
        <v>0.2</v>
      </c>
      <c r="F39" t="s">
        <v>751</v>
      </c>
      <c r="G39">
        <v>15</v>
      </c>
      <c r="H39" t="s">
        <v>741</v>
      </c>
      <c r="I39">
        <v>0</v>
      </c>
      <c r="J39" t="s">
        <v>743</v>
      </c>
      <c r="K39" t="s">
        <v>746</v>
      </c>
    </row>
    <row r="40" spans="1:11" ht="15" customHeight="1" x14ac:dyDescent="0.3">
      <c r="A40" t="s">
        <v>126</v>
      </c>
      <c r="B40">
        <v>0.02</v>
      </c>
      <c r="C40" t="s">
        <v>740</v>
      </c>
      <c r="D40" t="s">
        <v>741</v>
      </c>
      <c r="E40">
        <v>0</v>
      </c>
      <c r="F40" t="s">
        <v>742</v>
      </c>
      <c r="G40">
        <v>10</v>
      </c>
      <c r="H40" t="s">
        <v>741</v>
      </c>
      <c r="I40">
        <v>0</v>
      </c>
      <c r="J40" t="s">
        <v>743</v>
      </c>
      <c r="K40" t="s">
        <v>744</v>
      </c>
    </row>
    <row r="41" spans="1:11" ht="15" customHeight="1" x14ac:dyDescent="0.3">
      <c r="A41" t="s">
        <v>127</v>
      </c>
      <c r="B41">
        <v>0.02</v>
      </c>
      <c r="C41" t="s">
        <v>740</v>
      </c>
      <c r="D41" t="s">
        <v>741</v>
      </c>
      <c r="E41">
        <v>0</v>
      </c>
      <c r="F41" t="s">
        <v>742</v>
      </c>
      <c r="G41">
        <v>12</v>
      </c>
      <c r="H41" t="s">
        <v>741</v>
      </c>
      <c r="I41">
        <v>0</v>
      </c>
      <c r="J41" t="s">
        <v>743</v>
      </c>
      <c r="K41" t="s">
        <v>744</v>
      </c>
    </row>
    <row r="42" spans="1:11" ht="15" customHeight="1" x14ac:dyDescent="0.3">
      <c r="A42" t="s">
        <v>128</v>
      </c>
      <c r="B42">
        <v>0.05</v>
      </c>
      <c r="C42" t="s">
        <v>752</v>
      </c>
      <c r="D42" t="s">
        <v>747</v>
      </c>
      <c r="E42">
        <v>0</v>
      </c>
      <c r="F42" t="s">
        <v>742</v>
      </c>
      <c r="G42">
        <v>15</v>
      </c>
      <c r="H42" t="s">
        <v>741</v>
      </c>
      <c r="I42">
        <v>0</v>
      </c>
      <c r="J42" t="s">
        <v>743</v>
      </c>
      <c r="K42" t="s">
        <v>744</v>
      </c>
    </row>
    <row r="43" spans="1:11" ht="15" customHeight="1" x14ac:dyDescent="0.3">
      <c r="A43" t="s">
        <v>129</v>
      </c>
      <c r="B43">
        <v>0.03</v>
      </c>
      <c r="C43" t="s">
        <v>740</v>
      </c>
      <c r="D43" t="s">
        <v>741</v>
      </c>
      <c r="E43">
        <v>0</v>
      </c>
      <c r="F43" t="s">
        <v>742</v>
      </c>
      <c r="G43">
        <v>25</v>
      </c>
      <c r="H43" t="s">
        <v>741</v>
      </c>
      <c r="I43">
        <v>0</v>
      </c>
      <c r="J43" t="s">
        <v>743</v>
      </c>
      <c r="K43" t="s">
        <v>744</v>
      </c>
    </row>
    <row r="44" spans="1:11" ht="15" customHeight="1" x14ac:dyDescent="0.3">
      <c r="A44" t="s">
        <v>130</v>
      </c>
      <c r="B44">
        <v>0.02</v>
      </c>
      <c r="C44" t="s">
        <v>740</v>
      </c>
      <c r="D44" t="s">
        <v>741</v>
      </c>
      <c r="E44">
        <v>0</v>
      </c>
      <c r="F44" t="s">
        <v>742</v>
      </c>
      <c r="G44">
        <v>10</v>
      </c>
      <c r="H44" t="s">
        <v>741</v>
      </c>
      <c r="I44">
        <v>0</v>
      </c>
      <c r="J44" t="s">
        <v>743</v>
      </c>
      <c r="K44" t="s">
        <v>744</v>
      </c>
    </row>
    <row r="45" spans="1:11" ht="15" customHeight="1" x14ac:dyDescent="0.3">
      <c r="A45" t="s">
        <v>131</v>
      </c>
      <c r="B45">
        <v>0.08</v>
      </c>
      <c r="C45" t="s">
        <v>740</v>
      </c>
      <c r="D45" t="s">
        <v>747</v>
      </c>
      <c r="E45">
        <v>0</v>
      </c>
      <c r="F45" t="s">
        <v>742</v>
      </c>
      <c r="G45">
        <v>85</v>
      </c>
      <c r="H45" t="s">
        <v>749</v>
      </c>
      <c r="I45">
        <v>0</v>
      </c>
      <c r="J45" t="s">
        <v>743</v>
      </c>
      <c r="K45" t="s">
        <v>748</v>
      </c>
    </row>
    <row r="46" spans="1:11" ht="15" customHeight="1" x14ac:dyDescent="0.3">
      <c r="A46" t="s">
        <v>132</v>
      </c>
      <c r="B46">
        <v>0.04</v>
      </c>
      <c r="C46" t="s">
        <v>740</v>
      </c>
      <c r="D46" t="s">
        <v>741</v>
      </c>
      <c r="E46">
        <v>0.1</v>
      </c>
      <c r="F46" t="s">
        <v>751</v>
      </c>
      <c r="G46">
        <v>15</v>
      </c>
      <c r="H46" t="s">
        <v>741</v>
      </c>
      <c r="I46">
        <v>0</v>
      </c>
      <c r="J46" t="s">
        <v>743</v>
      </c>
      <c r="K46" t="s">
        <v>746</v>
      </c>
    </row>
    <row r="47" spans="1:11" ht="15" customHeight="1" x14ac:dyDescent="0.3">
      <c r="A47" t="s">
        <v>133</v>
      </c>
      <c r="B47">
        <v>0.03</v>
      </c>
      <c r="C47" t="s">
        <v>740</v>
      </c>
      <c r="D47" t="s">
        <v>741</v>
      </c>
      <c r="E47">
        <v>0.1</v>
      </c>
      <c r="F47" t="s">
        <v>751</v>
      </c>
      <c r="G47">
        <v>12</v>
      </c>
      <c r="H47" t="s">
        <v>741</v>
      </c>
      <c r="I47">
        <v>0</v>
      </c>
      <c r="J47" t="s">
        <v>743</v>
      </c>
      <c r="K47" t="s">
        <v>744</v>
      </c>
    </row>
    <row r="48" spans="1:11" ht="15" customHeight="1" x14ac:dyDescent="0.3">
      <c r="A48" t="s">
        <v>167</v>
      </c>
      <c r="B48">
        <v>0.01</v>
      </c>
      <c r="C48" t="s">
        <v>740</v>
      </c>
      <c r="D48" t="s">
        <v>741</v>
      </c>
      <c r="E48">
        <v>0</v>
      </c>
      <c r="F48" t="s">
        <v>742</v>
      </c>
      <c r="G48">
        <v>440</v>
      </c>
      <c r="H48" t="s">
        <v>753</v>
      </c>
      <c r="I48">
        <v>0</v>
      </c>
      <c r="J48" t="s">
        <v>743</v>
      </c>
      <c r="K48" t="s">
        <v>748</v>
      </c>
    </row>
    <row r="49" spans="1:11" ht="15" customHeight="1" x14ac:dyDescent="0.3">
      <c r="A49" t="s">
        <v>168</v>
      </c>
      <c r="B49">
        <v>0</v>
      </c>
      <c r="C49" t="s">
        <v>745</v>
      </c>
      <c r="D49" t="s">
        <v>743</v>
      </c>
      <c r="E49">
        <v>0</v>
      </c>
      <c r="F49" t="s">
        <v>742</v>
      </c>
      <c r="G49">
        <v>0</v>
      </c>
      <c r="H49" t="s">
        <v>743</v>
      </c>
      <c r="I49">
        <v>0</v>
      </c>
      <c r="J49" t="s">
        <v>743</v>
      </c>
      <c r="K49" t="s">
        <v>744</v>
      </c>
    </row>
    <row r="50" spans="1:11" ht="15" customHeight="1" x14ac:dyDescent="0.3">
      <c r="A50" t="s">
        <v>170</v>
      </c>
      <c r="B50">
        <v>0</v>
      </c>
      <c r="C50" t="s">
        <v>745</v>
      </c>
      <c r="D50" t="s">
        <v>743</v>
      </c>
      <c r="E50">
        <v>0</v>
      </c>
      <c r="F50" t="s">
        <v>742</v>
      </c>
      <c r="G50">
        <v>0</v>
      </c>
      <c r="H50" t="s">
        <v>743</v>
      </c>
      <c r="I50">
        <v>0</v>
      </c>
      <c r="J50" t="s">
        <v>743</v>
      </c>
      <c r="K50" t="s">
        <v>744</v>
      </c>
    </row>
    <row r="51" spans="1:11" ht="15" customHeight="1" x14ac:dyDescent="0.3">
      <c r="A51" t="s">
        <v>171</v>
      </c>
      <c r="B51">
        <v>0.01</v>
      </c>
      <c r="C51" t="s">
        <v>740</v>
      </c>
      <c r="D51" t="s">
        <v>741</v>
      </c>
      <c r="E51">
        <v>0</v>
      </c>
      <c r="F51" t="s">
        <v>742</v>
      </c>
      <c r="G51">
        <v>45</v>
      </c>
      <c r="H51" t="s">
        <v>747</v>
      </c>
      <c r="I51">
        <v>0</v>
      </c>
      <c r="J51" t="s">
        <v>743</v>
      </c>
      <c r="K51" t="s">
        <v>748</v>
      </c>
    </row>
    <row r="52" spans="1:11" ht="15" customHeight="1" x14ac:dyDescent="0.3">
      <c r="A52" t="s">
        <v>172</v>
      </c>
      <c r="B52">
        <v>0.01</v>
      </c>
      <c r="C52" t="s">
        <v>740</v>
      </c>
      <c r="D52" t="s">
        <v>741</v>
      </c>
      <c r="E52">
        <v>0</v>
      </c>
      <c r="F52" t="s">
        <v>742</v>
      </c>
      <c r="G52">
        <v>25</v>
      </c>
      <c r="H52" t="s">
        <v>741</v>
      </c>
      <c r="I52">
        <v>0</v>
      </c>
      <c r="J52" t="s">
        <v>743</v>
      </c>
      <c r="K52" t="s">
        <v>744</v>
      </c>
    </row>
    <row r="53" spans="1:11" ht="15" customHeight="1" x14ac:dyDescent="0.3">
      <c r="A53" t="s">
        <v>173</v>
      </c>
      <c r="B53">
        <v>0.01</v>
      </c>
      <c r="C53" t="s">
        <v>740</v>
      </c>
      <c r="D53" t="s">
        <v>741</v>
      </c>
      <c r="E53">
        <v>0</v>
      </c>
      <c r="F53" t="s">
        <v>742</v>
      </c>
      <c r="G53">
        <v>35</v>
      </c>
      <c r="H53" t="s">
        <v>747</v>
      </c>
      <c r="I53">
        <v>0</v>
      </c>
      <c r="J53" t="s">
        <v>743</v>
      </c>
      <c r="K53" t="s">
        <v>748</v>
      </c>
    </row>
    <row r="54" spans="1:11" ht="15" customHeight="1" x14ac:dyDescent="0.3">
      <c r="A54" t="s">
        <v>174</v>
      </c>
      <c r="B54">
        <v>0.02</v>
      </c>
      <c r="C54" t="s">
        <v>740</v>
      </c>
      <c r="D54" t="s">
        <v>741</v>
      </c>
      <c r="E54">
        <v>0</v>
      </c>
      <c r="F54" t="s">
        <v>742</v>
      </c>
      <c r="G54">
        <v>150</v>
      </c>
      <c r="H54" t="s">
        <v>749</v>
      </c>
      <c r="I54">
        <v>0</v>
      </c>
      <c r="J54" t="s">
        <v>743</v>
      </c>
      <c r="K54" t="s">
        <v>748</v>
      </c>
    </row>
    <row r="55" spans="1:11" ht="15" customHeight="1" x14ac:dyDescent="0.3">
      <c r="A55" t="s">
        <v>175</v>
      </c>
      <c r="B55">
        <v>0</v>
      </c>
      <c r="C55" t="s">
        <v>745</v>
      </c>
      <c r="D55" t="s">
        <v>743</v>
      </c>
      <c r="E55">
        <v>0</v>
      </c>
      <c r="F55" t="s">
        <v>742</v>
      </c>
      <c r="G55">
        <v>0</v>
      </c>
      <c r="H55" t="s">
        <v>743</v>
      </c>
      <c r="I55">
        <v>0</v>
      </c>
      <c r="J55" t="s">
        <v>743</v>
      </c>
      <c r="K55" t="s">
        <v>744</v>
      </c>
    </row>
    <row r="56" spans="1:11" ht="15" customHeight="1" x14ac:dyDescent="0.3">
      <c r="A56" t="s">
        <v>176</v>
      </c>
      <c r="B56">
        <v>0.01</v>
      </c>
      <c r="C56" t="s">
        <v>740</v>
      </c>
      <c r="D56" t="s">
        <v>741</v>
      </c>
      <c r="E56">
        <v>0</v>
      </c>
      <c r="F56" t="s">
        <v>742</v>
      </c>
      <c r="G56">
        <v>15</v>
      </c>
      <c r="H56" t="s">
        <v>741</v>
      </c>
      <c r="I56">
        <v>0</v>
      </c>
      <c r="J56" t="s">
        <v>743</v>
      </c>
      <c r="K56" t="s">
        <v>744</v>
      </c>
    </row>
    <row r="57" spans="1:11" ht="15" customHeight="1" x14ac:dyDescent="0.3">
      <c r="A57" t="s">
        <v>178</v>
      </c>
      <c r="B57">
        <v>0</v>
      </c>
      <c r="C57" t="s">
        <v>745</v>
      </c>
      <c r="D57" t="s">
        <v>743</v>
      </c>
      <c r="E57">
        <v>0</v>
      </c>
      <c r="F57" t="s">
        <v>742</v>
      </c>
      <c r="G57">
        <v>45</v>
      </c>
      <c r="H57" t="s">
        <v>747</v>
      </c>
      <c r="I57">
        <v>0</v>
      </c>
      <c r="J57" t="s">
        <v>743</v>
      </c>
      <c r="K57" t="s">
        <v>748</v>
      </c>
    </row>
    <row r="58" spans="1:11" ht="15" customHeight="1" x14ac:dyDescent="0.3">
      <c r="A58" t="s">
        <v>153</v>
      </c>
      <c r="B58">
        <v>0.15</v>
      </c>
      <c r="C58" t="s">
        <v>740</v>
      </c>
      <c r="D58" t="s">
        <v>747</v>
      </c>
      <c r="E58">
        <v>0</v>
      </c>
      <c r="F58" t="s">
        <v>742</v>
      </c>
      <c r="G58">
        <v>60</v>
      </c>
      <c r="H58" t="s">
        <v>747</v>
      </c>
      <c r="I58">
        <v>0</v>
      </c>
      <c r="J58" t="s">
        <v>743</v>
      </c>
      <c r="K58" t="s">
        <v>748</v>
      </c>
    </row>
    <row r="59" spans="1:11" ht="15" customHeight="1" x14ac:dyDescent="0.3">
      <c r="A59" t="s">
        <v>154</v>
      </c>
      <c r="B59">
        <v>0.04</v>
      </c>
      <c r="C59" t="s">
        <v>740</v>
      </c>
      <c r="D59" t="s">
        <v>741</v>
      </c>
      <c r="E59">
        <v>0</v>
      </c>
      <c r="F59" t="s">
        <v>742</v>
      </c>
      <c r="G59">
        <v>70</v>
      </c>
      <c r="H59" t="s">
        <v>747</v>
      </c>
      <c r="I59">
        <v>0</v>
      </c>
      <c r="J59" t="s">
        <v>743</v>
      </c>
      <c r="K59" t="s">
        <v>748</v>
      </c>
    </row>
    <row r="60" spans="1:11" ht="15" customHeight="1" x14ac:dyDescent="0.3">
      <c r="A60" t="s">
        <v>155</v>
      </c>
      <c r="B60">
        <v>0.03</v>
      </c>
      <c r="C60" t="s">
        <v>740</v>
      </c>
      <c r="D60" t="s">
        <v>741</v>
      </c>
      <c r="E60">
        <v>0</v>
      </c>
      <c r="F60" t="s">
        <v>742</v>
      </c>
      <c r="G60">
        <v>50</v>
      </c>
      <c r="H60" t="s">
        <v>747</v>
      </c>
      <c r="I60">
        <v>0</v>
      </c>
      <c r="J60" t="s">
        <v>743</v>
      </c>
      <c r="K60" t="s">
        <v>748</v>
      </c>
    </row>
    <row r="61" spans="1:11" ht="15" customHeight="1" x14ac:dyDescent="0.3">
      <c r="A61" t="s">
        <v>156</v>
      </c>
      <c r="B61">
        <v>0</v>
      </c>
      <c r="C61" t="s">
        <v>745</v>
      </c>
      <c r="D61" t="s">
        <v>743</v>
      </c>
      <c r="E61">
        <v>0</v>
      </c>
      <c r="F61" t="s">
        <v>742</v>
      </c>
      <c r="G61">
        <v>400</v>
      </c>
      <c r="H61" t="s">
        <v>753</v>
      </c>
      <c r="I61">
        <v>0</v>
      </c>
      <c r="J61" t="s">
        <v>743</v>
      </c>
      <c r="K61" t="s">
        <v>748</v>
      </c>
    </row>
    <row r="62" spans="1:11" ht="15" customHeight="1" x14ac:dyDescent="0.3">
      <c r="A62" t="s">
        <v>157</v>
      </c>
      <c r="B62">
        <v>0.18</v>
      </c>
      <c r="C62" t="s">
        <v>740</v>
      </c>
      <c r="D62" t="s">
        <v>747</v>
      </c>
      <c r="E62">
        <v>0</v>
      </c>
      <c r="F62" t="s">
        <v>742</v>
      </c>
      <c r="G62">
        <v>105.5</v>
      </c>
      <c r="H62" t="s">
        <v>749</v>
      </c>
      <c r="I62">
        <v>0</v>
      </c>
      <c r="J62" t="s">
        <v>743</v>
      </c>
      <c r="K62" t="s">
        <v>748</v>
      </c>
    </row>
    <row r="63" spans="1:11" ht="15" customHeight="1" x14ac:dyDescent="0.3">
      <c r="A63" t="s">
        <v>158</v>
      </c>
      <c r="B63">
        <v>0.15</v>
      </c>
      <c r="C63" t="s">
        <v>740</v>
      </c>
      <c r="D63" t="s">
        <v>747</v>
      </c>
      <c r="E63">
        <v>0</v>
      </c>
      <c r="F63" t="s">
        <v>742</v>
      </c>
      <c r="G63">
        <v>325.3</v>
      </c>
      <c r="H63" t="s">
        <v>753</v>
      </c>
      <c r="I63">
        <v>0</v>
      </c>
      <c r="J63" t="s">
        <v>743</v>
      </c>
      <c r="K63" t="s">
        <v>748</v>
      </c>
    </row>
    <row r="64" spans="1:11" ht="15" customHeight="1" x14ac:dyDescent="0.3">
      <c r="A64" t="s">
        <v>159</v>
      </c>
      <c r="B64">
        <v>0.11</v>
      </c>
      <c r="C64" t="s">
        <v>740</v>
      </c>
      <c r="D64" t="s">
        <v>747</v>
      </c>
      <c r="E64">
        <v>0</v>
      </c>
      <c r="F64" t="s">
        <v>742</v>
      </c>
      <c r="G64">
        <v>120</v>
      </c>
      <c r="H64" t="s">
        <v>749</v>
      </c>
      <c r="I64">
        <v>0</v>
      </c>
      <c r="J64" t="s">
        <v>743</v>
      </c>
      <c r="K64" t="s">
        <v>748</v>
      </c>
    </row>
    <row r="65" spans="1:11" ht="15" customHeight="1" x14ac:dyDescent="0.3">
      <c r="A65" t="s">
        <v>160</v>
      </c>
      <c r="B65">
        <v>1.33</v>
      </c>
      <c r="C65" t="s">
        <v>740</v>
      </c>
      <c r="D65" t="s">
        <v>753</v>
      </c>
      <c r="E65">
        <v>0</v>
      </c>
      <c r="F65" t="s">
        <v>742</v>
      </c>
      <c r="G65">
        <v>150</v>
      </c>
      <c r="H65" t="s">
        <v>749</v>
      </c>
      <c r="I65">
        <v>0</v>
      </c>
      <c r="J65" t="s">
        <v>743</v>
      </c>
      <c r="K65" t="s">
        <v>748</v>
      </c>
    </row>
    <row r="66" spans="1:11" ht="15" customHeight="1" x14ac:dyDescent="0.3">
      <c r="A66" t="s">
        <v>148</v>
      </c>
      <c r="B66">
        <v>0.03</v>
      </c>
      <c r="C66" t="s">
        <v>740</v>
      </c>
      <c r="D66" t="s">
        <v>741</v>
      </c>
      <c r="E66">
        <v>0</v>
      </c>
      <c r="F66" t="s">
        <v>742</v>
      </c>
      <c r="G66">
        <v>40</v>
      </c>
      <c r="H66" t="s">
        <v>747</v>
      </c>
      <c r="I66">
        <v>0</v>
      </c>
      <c r="J66" t="s">
        <v>743</v>
      </c>
      <c r="K66" t="s">
        <v>744</v>
      </c>
    </row>
    <row r="67" spans="1:11" ht="15" customHeight="1" x14ac:dyDescent="0.3">
      <c r="A67" t="s">
        <v>149</v>
      </c>
      <c r="B67">
        <v>0.1</v>
      </c>
      <c r="C67" t="s">
        <v>740</v>
      </c>
      <c r="D67" t="s">
        <v>747</v>
      </c>
      <c r="E67">
        <v>0</v>
      </c>
      <c r="F67" t="s">
        <v>742</v>
      </c>
      <c r="G67">
        <v>65</v>
      </c>
      <c r="H67" t="s">
        <v>747</v>
      </c>
      <c r="I67">
        <v>0</v>
      </c>
      <c r="J67" t="s">
        <v>743</v>
      </c>
      <c r="K67" t="s">
        <v>748</v>
      </c>
    </row>
    <row r="68" spans="1:11" ht="15" customHeight="1" x14ac:dyDescent="0.3">
      <c r="A68" t="s">
        <v>150</v>
      </c>
      <c r="B68">
        <v>0.09</v>
      </c>
      <c r="C68" t="s">
        <v>740</v>
      </c>
      <c r="D68" t="s">
        <v>747</v>
      </c>
      <c r="E68">
        <v>0</v>
      </c>
      <c r="F68" t="s">
        <v>742</v>
      </c>
      <c r="G68">
        <v>180</v>
      </c>
      <c r="H68" t="s">
        <v>749</v>
      </c>
      <c r="I68">
        <v>0</v>
      </c>
      <c r="J68" t="s">
        <v>743</v>
      </c>
      <c r="K68" t="s">
        <v>748</v>
      </c>
    </row>
    <row r="69" spans="1:11" ht="15" customHeight="1" x14ac:dyDescent="0.3">
      <c r="A69" t="s">
        <v>151</v>
      </c>
      <c r="B69">
        <v>0.08</v>
      </c>
      <c r="C69" t="s">
        <v>740</v>
      </c>
      <c r="D69" t="s">
        <v>741</v>
      </c>
      <c r="E69">
        <v>0</v>
      </c>
      <c r="F69" t="s">
        <v>742</v>
      </c>
      <c r="G69">
        <v>80</v>
      </c>
      <c r="H69" t="s">
        <v>747</v>
      </c>
      <c r="I69">
        <v>0</v>
      </c>
      <c r="J69" t="s">
        <v>743</v>
      </c>
      <c r="K69" t="s">
        <v>748</v>
      </c>
    </row>
    <row r="70" spans="1:11" ht="15" customHeight="1" x14ac:dyDescent="0.3">
      <c r="A70" t="s">
        <v>136</v>
      </c>
      <c r="B70">
        <v>0.2</v>
      </c>
      <c r="C70" t="s">
        <v>740</v>
      </c>
      <c r="D70" t="s">
        <v>749</v>
      </c>
      <c r="E70">
        <v>0</v>
      </c>
      <c r="F70" t="s">
        <v>742</v>
      </c>
      <c r="G70">
        <v>60</v>
      </c>
      <c r="H70" t="s">
        <v>747</v>
      </c>
      <c r="I70">
        <v>2</v>
      </c>
      <c r="J70" t="s">
        <v>747</v>
      </c>
      <c r="K70" t="s">
        <v>748</v>
      </c>
    </row>
    <row r="71" spans="1:11" ht="15" customHeight="1" x14ac:dyDescent="0.3">
      <c r="A71" t="s">
        <v>137</v>
      </c>
      <c r="B71">
        <v>0.31</v>
      </c>
      <c r="C71" t="s">
        <v>740</v>
      </c>
      <c r="D71" t="s">
        <v>749</v>
      </c>
      <c r="E71">
        <v>0</v>
      </c>
      <c r="F71" t="s">
        <v>742</v>
      </c>
      <c r="G71">
        <v>40</v>
      </c>
      <c r="H71" t="s">
        <v>747</v>
      </c>
      <c r="I71">
        <v>0</v>
      </c>
      <c r="J71" t="s">
        <v>743</v>
      </c>
      <c r="K71" t="s">
        <v>748</v>
      </c>
    </row>
    <row r="72" spans="1:11" ht="15" customHeight="1" x14ac:dyDescent="0.3">
      <c r="A72" t="s">
        <v>138</v>
      </c>
      <c r="B72">
        <v>0.04</v>
      </c>
      <c r="C72" t="s">
        <v>740</v>
      </c>
      <c r="D72" t="s">
        <v>741</v>
      </c>
      <c r="E72">
        <v>0</v>
      </c>
      <c r="F72" t="s">
        <v>742</v>
      </c>
      <c r="G72">
        <v>30</v>
      </c>
      <c r="H72" t="s">
        <v>741</v>
      </c>
      <c r="I72">
        <v>0</v>
      </c>
      <c r="J72" t="s">
        <v>743</v>
      </c>
      <c r="K72" t="s">
        <v>744</v>
      </c>
    </row>
    <row r="73" spans="1:11" ht="15" customHeight="1" x14ac:dyDescent="0.3">
      <c r="A73" t="s">
        <v>139</v>
      </c>
      <c r="B73">
        <v>0.01</v>
      </c>
      <c r="C73" t="s">
        <v>740</v>
      </c>
      <c r="D73" t="s">
        <v>741</v>
      </c>
      <c r="E73">
        <v>0</v>
      </c>
      <c r="F73" t="s">
        <v>742</v>
      </c>
      <c r="G73">
        <v>15</v>
      </c>
      <c r="H73" t="s">
        <v>741</v>
      </c>
      <c r="I73">
        <v>0</v>
      </c>
      <c r="J73" t="s">
        <v>743</v>
      </c>
      <c r="K73" t="s">
        <v>744</v>
      </c>
    </row>
    <row r="74" spans="1:11" ht="15" customHeight="1" x14ac:dyDescent="0.3">
      <c r="A74" t="s">
        <v>140</v>
      </c>
      <c r="B74">
        <v>0.1</v>
      </c>
      <c r="C74" t="s">
        <v>740</v>
      </c>
      <c r="D74" t="s">
        <v>747</v>
      </c>
      <c r="E74">
        <v>0.2</v>
      </c>
      <c r="F74" t="s">
        <v>751</v>
      </c>
      <c r="G74">
        <v>40</v>
      </c>
      <c r="H74" t="s">
        <v>747</v>
      </c>
      <c r="I74">
        <v>0</v>
      </c>
      <c r="J74" t="s">
        <v>743</v>
      </c>
      <c r="K74" t="s">
        <v>744</v>
      </c>
    </row>
    <row r="75" spans="1:11" ht="15" customHeight="1" x14ac:dyDescent="0.3">
      <c r="A75" t="s">
        <v>141</v>
      </c>
      <c r="B75">
        <v>1.05</v>
      </c>
      <c r="C75" t="s">
        <v>740</v>
      </c>
      <c r="D75" t="s">
        <v>753</v>
      </c>
      <c r="E75">
        <v>0</v>
      </c>
      <c r="F75" t="s">
        <v>742</v>
      </c>
      <c r="G75">
        <v>120</v>
      </c>
      <c r="H75" t="s">
        <v>749</v>
      </c>
      <c r="I75">
        <v>0</v>
      </c>
      <c r="J75" t="s">
        <v>743</v>
      </c>
      <c r="K75" t="s">
        <v>748</v>
      </c>
    </row>
    <row r="76" spans="1:11" ht="15" customHeight="1" x14ac:dyDescent="0.3">
      <c r="A76" t="s">
        <v>142</v>
      </c>
      <c r="B76">
        <v>0</v>
      </c>
      <c r="C76" t="s">
        <v>745</v>
      </c>
      <c r="D76" t="s">
        <v>743</v>
      </c>
      <c r="E76">
        <v>0</v>
      </c>
      <c r="F76" t="s">
        <v>742</v>
      </c>
      <c r="G76">
        <v>0</v>
      </c>
      <c r="H76" t="s">
        <v>743</v>
      </c>
      <c r="I76">
        <v>0</v>
      </c>
      <c r="J76" t="s">
        <v>743</v>
      </c>
      <c r="K76" t="s">
        <v>744</v>
      </c>
    </row>
    <row r="77" spans="1:11" ht="15" customHeight="1" x14ac:dyDescent="0.3">
      <c r="A77" t="s">
        <v>754</v>
      </c>
      <c r="B77">
        <v>0.04</v>
      </c>
      <c r="C77" t="s">
        <v>740</v>
      </c>
      <c r="D77" t="s">
        <v>741</v>
      </c>
      <c r="E77">
        <v>0</v>
      </c>
      <c r="F77" t="s">
        <v>742</v>
      </c>
      <c r="G77">
        <v>50</v>
      </c>
      <c r="H77" t="s">
        <v>747</v>
      </c>
      <c r="I77">
        <v>0</v>
      </c>
      <c r="J77" t="s">
        <v>743</v>
      </c>
      <c r="K77" t="s">
        <v>748</v>
      </c>
    </row>
    <row r="78" spans="1:11" ht="15" customHeight="1" x14ac:dyDescent="0.3">
      <c r="A78" t="s">
        <v>145</v>
      </c>
      <c r="B78">
        <v>0.05</v>
      </c>
      <c r="C78" t="s">
        <v>740</v>
      </c>
      <c r="D78" t="s">
        <v>741</v>
      </c>
      <c r="E78">
        <v>0.3</v>
      </c>
      <c r="F78" t="s">
        <v>751</v>
      </c>
      <c r="G78">
        <v>20</v>
      </c>
      <c r="H78" t="s">
        <v>741</v>
      </c>
      <c r="I78">
        <v>0</v>
      </c>
      <c r="J78" t="s">
        <v>743</v>
      </c>
      <c r="K78" t="s">
        <v>746</v>
      </c>
    </row>
    <row r="79" spans="1:11" ht="15" customHeight="1" x14ac:dyDescent="0.3">
      <c r="A79" t="s">
        <v>146</v>
      </c>
      <c r="B79">
        <v>0.35</v>
      </c>
      <c r="C79" t="s">
        <v>740</v>
      </c>
      <c r="D79" t="s">
        <v>749</v>
      </c>
      <c r="E79">
        <v>0</v>
      </c>
      <c r="F79" t="s">
        <v>742</v>
      </c>
      <c r="G79">
        <v>110</v>
      </c>
      <c r="H79" t="s">
        <v>749</v>
      </c>
      <c r="I79">
        <v>1</v>
      </c>
      <c r="J79" t="s">
        <v>741</v>
      </c>
      <c r="K79" t="s">
        <v>748</v>
      </c>
    </row>
    <row r="80" spans="1:11" ht="15" customHeight="1" x14ac:dyDescent="0.3">
      <c r="A80" t="s">
        <v>195</v>
      </c>
      <c r="B80">
        <v>0.01</v>
      </c>
      <c r="C80" t="s">
        <v>740</v>
      </c>
      <c r="D80" t="s">
        <v>741</v>
      </c>
      <c r="E80">
        <v>0</v>
      </c>
      <c r="F80" t="s">
        <v>742</v>
      </c>
      <c r="G80">
        <v>33.5</v>
      </c>
      <c r="H80" t="s">
        <v>747</v>
      </c>
      <c r="I80">
        <v>0</v>
      </c>
      <c r="J80" t="s">
        <v>743</v>
      </c>
      <c r="K80" t="s">
        <v>748</v>
      </c>
    </row>
    <row r="81" spans="1:11" ht="15" customHeight="1" x14ac:dyDescent="0.3">
      <c r="A81" t="s">
        <v>196</v>
      </c>
      <c r="B81">
        <v>0.02</v>
      </c>
      <c r="C81" t="s">
        <v>740</v>
      </c>
      <c r="D81" t="s">
        <v>741</v>
      </c>
      <c r="E81">
        <v>0</v>
      </c>
      <c r="F81" t="s">
        <v>742</v>
      </c>
      <c r="G81">
        <v>143</v>
      </c>
      <c r="H81" t="s">
        <v>749</v>
      </c>
      <c r="I81">
        <v>0</v>
      </c>
      <c r="J81" t="s">
        <v>743</v>
      </c>
      <c r="K81" t="s">
        <v>748</v>
      </c>
    </row>
    <row r="82" spans="1:11" ht="15" customHeight="1" x14ac:dyDescent="0.3">
      <c r="A82" t="s">
        <v>197</v>
      </c>
      <c r="B82">
        <v>0.01</v>
      </c>
      <c r="C82" t="s">
        <v>740</v>
      </c>
      <c r="D82" t="s">
        <v>741</v>
      </c>
      <c r="E82">
        <v>0</v>
      </c>
      <c r="F82" t="s">
        <v>742</v>
      </c>
      <c r="G82">
        <v>320</v>
      </c>
      <c r="H82" t="s">
        <v>753</v>
      </c>
      <c r="I82">
        <v>0</v>
      </c>
      <c r="J82" t="s">
        <v>743</v>
      </c>
      <c r="K82" t="s">
        <v>748</v>
      </c>
    </row>
    <row r="83" spans="1:11" ht="15" customHeight="1" x14ac:dyDescent="0.3">
      <c r="A83" t="s">
        <v>198</v>
      </c>
      <c r="B83">
        <v>0.01</v>
      </c>
      <c r="C83" t="s">
        <v>740</v>
      </c>
      <c r="D83" t="s">
        <v>741</v>
      </c>
      <c r="E83">
        <v>0</v>
      </c>
      <c r="F83" t="s">
        <v>742</v>
      </c>
      <c r="G83">
        <v>50</v>
      </c>
      <c r="H83" t="s">
        <v>747</v>
      </c>
      <c r="I83">
        <v>0</v>
      </c>
      <c r="J83" t="s">
        <v>743</v>
      </c>
      <c r="K83" t="s">
        <v>748</v>
      </c>
    </row>
    <row r="84" spans="1:11" ht="15" customHeight="1" x14ac:dyDescent="0.3">
      <c r="A84" t="s">
        <v>199</v>
      </c>
      <c r="B84">
        <v>0.01</v>
      </c>
      <c r="C84" t="s">
        <v>740</v>
      </c>
      <c r="D84" t="s">
        <v>741</v>
      </c>
      <c r="E84">
        <v>0</v>
      </c>
      <c r="F84" t="s">
        <v>742</v>
      </c>
      <c r="G84">
        <v>65</v>
      </c>
      <c r="H84" t="s">
        <v>747</v>
      </c>
      <c r="I84">
        <v>0</v>
      </c>
      <c r="J84" t="s">
        <v>743</v>
      </c>
      <c r="K84" t="s">
        <v>748</v>
      </c>
    </row>
    <row r="85" spans="1:11" ht="15" customHeight="1" x14ac:dyDescent="0.3">
      <c r="A85" t="s">
        <v>200</v>
      </c>
      <c r="B85">
        <v>0.01</v>
      </c>
      <c r="C85" t="s">
        <v>740</v>
      </c>
      <c r="D85" t="s">
        <v>741</v>
      </c>
      <c r="E85">
        <v>0</v>
      </c>
      <c r="F85" t="s">
        <v>742</v>
      </c>
      <c r="G85">
        <v>45</v>
      </c>
      <c r="H85" t="s">
        <v>747</v>
      </c>
      <c r="I85">
        <v>0</v>
      </c>
      <c r="J85" t="s">
        <v>743</v>
      </c>
      <c r="K85" t="s">
        <v>748</v>
      </c>
    </row>
    <row r="86" spans="1:11" ht="15" customHeight="1" x14ac:dyDescent="0.3">
      <c r="A86" t="s">
        <v>201</v>
      </c>
      <c r="B86">
        <v>0.02</v>
      </c>
      <c r="C86" t="s">
        <v>740</v>
      </c>
      <c r="D86" t="s">
        <v>741</v>
      </c>
      <c r="E86">
        <v>0</v>
      </c>
      <c r="F86" t="s">
        <v>742</v>
      </c>
      <c r="G86">
        <v>35</v>
      </c>
      <c r="H86" t="s">
        <v>747</v>
      </c>
      <c r="I86">
        <v>0</v>
      </c>
      <c r="J86" t="s">
        <v>743</v>
      </c>
      <c r="K86" t="s">
        <v>748</v>
      </c>
    </row>
    <row r="87" spans="1:11" ht="15" customHeight="1" x14ac:dyDescent="0.3">
      <c r="A87" t="s">
        <v>202</v>
      </c>
      <c r="B87">
        <v>0.02</v>
      </c>
      <c r="C87" t="s">
        <v>740</v>
      </c>
      <c r="D87" t="s">
        <v>741</v>
      </c>
      <c r="E87">
        <v>0</v>
      </c>
      <c r="F87" t="s">
        <v>742</v>
      </c>
      <c r="G87">
        <v>95</v>
      </c>
      <c r="H87" t="s">
        <v>749</v>
      </c>
      <c r="I87">
        <v>0</v>
      </c>
      <c r="J87" t="s">
        <v>743</v>
      </c>
      <c r="K87" t="s">
        <v>748</v>
      </c>
    </row>
    <row r="88" spans="1:11" ht="15" customHeight="1" x14ac:dyDescent="0.3">
      <c r="A88" t="s">
        <v>204</v>
      </c>
      <c r="B88">
        <v>0.01</v>
      </c>
      <c r="C88" t="s">
        <v>740</v>
      </c>
      <c r="D88" t="s">
        <v>741</v>
      </c>
      <c r="E88">
        <v>0</v>
      </c>
      <c r="F88" t="s">
        <v>742</v>
      </c>
      <c r="G88">
        <v>30</v>
      </c>
      <c r="H88" t="s">
        <v>741</v>
      </c>
      <c r="I88">
        <v>0</v>
      </c>
      <c r="J88" t="s">
        <v>743</v>
      </c>
      <c r="K88" t="s">
        <v>748</v>
      </c>
    </row>
    <row r="89" spans="1:11" ht="15" customHeight="1" x14ac:dyDescent="0.3">
      <c r="A89" t="s">
        <v>205</v>
      </c>
      <c r="B89">
        <v>0.01</v>
      </c>
      <c r="C89" t="s">
        <v>740</v>
      </c>
      <c r="D89" t="s">
        <v>741</v>
      </c>
      <c r="E89">
        <v>0</v>
      </c>
      <c r="F89" t="s">
        <v>742</v>
      </c>
      <c r="G89">
        <v>40</v>
      </c>
      <c r="H89" t="s">
        <v>747</v>
      </c>
      <c r="I89">
        <v>0</v>
      </c>
      <c r="J89" t="s">
        <v>743</v>
      </c>
      <c r="K89" t="s">
        <v>748</v>
      </c>
    </row>
    <row r="90" spans="1:11" ht="15" customHeight="1" x14ac:dyDescent="0.3">
      <c r="A90" t="s">
        <v>206</v>
      </c>
      <c r="B90">
        <v>0.01</v>
      </c>
      <c r="C90" t="s">
        <v>740</v>
      </c>
      <c r="D90" t="s">
        <v>741</v>
      </c>
      <c r="E90">
        <v>0</v>
      </c>
      <c r="F90" t="s">
        <v>742</v>
      </c>
      <c r="G90">
        <v>75</v>
      </c>
      <c r="H90" t="s">
        <v>747</v>
      </c>
      <c r="I90">
        <v>0</v>
      </c>
      <c r="J90" t="s">
        <v>743</v>
      </c>
      <c r="K90" t="s">
        <v>748</v>
      </c>
    </row>
    <row r="91" spans="1:11" ht="15" customHeight="1" x14ac:dyDescent="0.3">
      <c r="A91" t="s">
        <v>207</v>
      </c>
      <c r="B91">
        <v>0.02</v>
      </c>
      <c r="C91" t="s">
        <v>740</v>
      </c>
      <c r="D91" t="s">
        <v>741</v>
      </c>
      <c r="E91">
        <v>0</v>
      </c>
      <c r="F91" t="s">
        <v>742</v>
      </c>
      <c r="G91">
        <v>115</v>
      </c>
      <c r="H91" t="s">
        <v>749</v>
      </c>
      <c r="I91">
        <v>0</v>
      </c>
      <c r="J91" t="s">
        <v>743</v>
      </c>
      <c r="K91" t="s">
        <v>748</v>
      </c>
    </row>
    <row r="92" spans="1:11" ht="15" customHeight="1" x14ac:dyDescent="0.3">
      <c r="A92" t="s">
        <v>208</v>
      </c>
      <c r="B92">
        <v>0.02</v>
      </c>
      <c r="C92" t="s">
        <v>740</v>
      </c>
      <c r="D92" t="s">
        <v>741</v>
      </c>
      <c r="E92">
        <v>0</v>
      </c>
      <c r="F92" t="s">
        <v>742</v>
      </c>
      <c r="G92">
        <v>110</v>
      </c>
      <c r="H92" t="s">
        <v>749</v>
      </c>
      <c r="I92">
        <v>0</v>
      </c>
      <c r="J92" t="s">
        <v>743</v>
      </c>
      <c r="K92" t="s">
        <v>748</v>
      </c>
    </row>
    <row r="93" spans="1:11" ht="15" customHeight="1" x14ac:dyDescent="0.3">
      <c r="A93" t="s">
        <v>209</v>
      </c>
      <c r="B93">
        <v>0.01</v>
      </c>
      <c r="C93" t="s">
        <v>740</v>
      </c>
      <c r="D93" t="s">
        <v>741</v>
      </c>
      <c r="E93">
        <v>0</v>
      </c>
      <c r="F93" t="s">
        <v>742</v>
      </c>
      <c r="G93">
        <v>25</v>
      </c>
      <c r="H93" t="s">
        <v>741</v>
      </c>
      <c r="I93">
        <v>0</v>
      </c>
      <c r="J93" t="s">
        <v>743</v>
      </c>
      <c r="K93" t="s">
        <v>744</v>
      </c>
    </row>
    <row r="94" spans="1:11" ht="15" customHeight="1" x14ac:dyDescent="0.3">
      <c r="A94" t="s">
        <v>210</v>
      </c>
      <c r="B94">
        <v>0.03</v>
      </c>
      <c r="C94" t="s">
        <v>740</v>
      </c>
      <c r="D94" t="s">
        <v>741</v>
      </c>
      <c r="E94">
        <v>0</v>
      </c>
      <c r="F94" t="s">
        <v>742</v>
      </c>
      <c r="G94">
        <v>60</v>
      </c>
      <c r="H94" t="s">
        <v>747</v>
      </c>
      <c r="I94">
        <v>0</v>
      </c>
      <c r="J94" t="s">
        <v>743</v>
      </c>
      <c r="K94" t="s">
        <v>748</v>
      </c>
    </row>
    <row r="95" spans="1:11" ht="15" customHeight="1" x14ac:dyDescent="0.3">
      <c r="A95" t="s">
        <v>211</v>
      </c>
      <c r="B95">
        <v>0.09</v>
      </c>
      <c r="C95" t="s">
        <v>740</v>
      </c>
      <c r="D95" t="s">
        <v>747</v>
      </c>
      <c r="E95">
        <v>0</v>
      </c>
      <c r="F95" t="s">
        <v>742</v>
      </c>
      <c r="G95">
        <v>110</v>
      </c>
      <c r="H95" t="s">
        <v>749</v>
      </c>
      <c r="I95">
        <v>0</v>
      </c>
      <c r="J95" t="s">
        <v>743</v>
      </c>
      <c r="K95" t="s">
        <v>748</v>
      </c>
    </row>
    <row r="96" spans="1:11" ht="15" customHeight="1" x14ac:dyDescent="0.3">
      <c r="A96" t="s">
        <v>212</v>
      </c>
      <c r="B96">
        <v>0.18</v>
      </c>
      <c r="C96" t="s">
        <v>740</v>
      </c>
      <c r="D96" t="s">
        <v>747</v>
      </c>
      <c r="E96">
        <v>0</v>
      </c>
      <c r="F96" t="s">
        <v>742</v>
      </c>
      <c r="G96">
        <v>250</v>
      </c>
      <c r="H96" t="s">
        <v>753</v>
      </c>
      <c r="I96">
        <v>0</v>
      </c>
      <c r="J96" t="s">
        <v>743</v>
      </c>
      <c r="K96" t="s">
        <v>748</v>
      </c>
    </row>
    <row r="97" spans="1:11" ht="15" customHeight="1" x14ac:dyDescent="0.3">
      <c r="A97" t="s">
        <v>213</v>
      </c>
      <c r="B97">
        <v>0.04</v>
      </c>
      <c r="C97" t="s">
        <v>740</v>
      </c>
      <c r="D97" t="s">
        <v>741</v>
      </c>
      <c r="E97">
        <v>0</v>
      </c>
      <c r="F97" t="s">
        <v>742</v>
      </c>
      <c r="G97">
        <v>45</v>
      </c>
      <c r="H97" t="s">
        <v>747</v>
      </c>
      <c r="I97">
        <v>0</v>
      </c>
      <c r="J97" t="s">
        <v>743</v>
      </c>
      <c r="K97" t="s">
        <v>748</v>
      </c>
    </row>
    <row r="98" spans="1:11" ht="15" customHeight="1" x14ac:dyDescent="0.3">
      <c r="A98" t="s">
        <v>214</v>
      </c>
      <c r="B98">
        <v>0.01</v>
      </c>
      <c r="C98" t="s">
        <v>740</v>
      </c>
      <c r="D98" t="s">
        <v>741</v>
      </c>
      <c r="E98">
        <v>0</v>
      </c>
      <c r="F98" t="s">
        <v>742</v>
      </c>
      <c r="G98">
        <v>55</v>
      </c>
      <c r="H98" t="s">
        <v>747</v>
      </c>
      <c r="I98">
        <v>0</v>
      </c>
      <c r="J98" t="s">
        <v>743</v>
      </c>
      <c r="K98" t="s">
        <v>748</v>
      </c>
    </row>
    <row r="99" spans="1:11" ht="15" customHeight="1" x14ac:dyDescent="0.3">
      <c r="A99" t="s">
        <v>215</v>
      </c>
      <c r="B99">
        <v>0.14000000000000001</v>
      </c>
      <c r="C99" t="s">
        <v>740</v>
      </c>
      <c r="D99" t="s">
        <v>747</v>
      </c>
      <c r="E99">
        <v>0</v>
      </c>
      <c r="F99" t="s">
        <v>742</v>
      </c>
      <c r="G99">
        <v>120</v>
      </c>
      <c r="H99" t="s">
        <v>749</v>
      </c>
      <c r="I99">
        <v>0</v>
      </c>
      <c r="J99" t="s">
        <v>743</v>
      </c>
      <c r="K99" t="s">
        <v>748</v>
      </c>
    </row>
    <row r="100" spans="1:11" ht="15" customHeight="1" x14ac:dyDescent="0.3">
      <c r="A100" t="s">
        <v>216</v>
      </c>
      <c r="B100">
        <v>0.04</v>
      </c>
      <c r="C100" t="s">
        <v>740</v>
      </c>
      <c r="D100" t="s">
        <v>741</v>
      </c>
      <c r="E100">
        <v>0</v>
      </c>
      <c r="F100" t="s">
        <v>742</v>
      </c>
      <c r="G100">
        <v>40</v>
      </c>
      <c r="H100" t="s">
        <v>747</v>
      </c>
      <c r="I100">
        <v>0</v>
      </c>
      <c r="J100" t="s">
        <v>743</v>
      </c>
      <c r="K100" t="s">
        <v>748</v>
      </c>
    </row>
    <row r="101" spans="1:11" ht="15" customHeight="1" x14ac:dyDescent="0.3">
      <c r="A101" t="s">
        <v>217</v>
      </c>
      <c r="B101">
        <v>0.02</v>
      </c>
      <c r="C101" t="s">
        <v>740</v>
      </c>
      <c r="D101" t="s">
        <v>741</v>
      </c>
      <c r="E101">
        <v>0</v>
      </c>
      <c r="F101" t="s">
        <v>742</v>
      </c>
      <c r="G101">
        <v>50</v>
      </c>
      <c r="H101" t="s">
        <v>747</v>
      </c>
      <c r="I101">
        <v>0</v>
      </c>
      <c r="J101" t="s">
        <v>743</v>
      </c>
      <c r="K101" t="s">
        <v>748</v>
      </c>
    </row>
    <row r="102" spans="1:11" ht="15" customHeight="1" x14ac:dyDescent="0.3">
      <c r="A102" t="s">
        <v>218</v>
      </c>
      <c r="B102">
        <v>0.04</v>
      </c>
      <c r="C102" t="s">
        <v>740</v>
      </c>
      <c r="D102" t="s">
        <v>741</v>
      </c>
      <c r="E102">
        <v>0</v>
      </c>
      <c r="F102" t="s">
        <v>742</v>
      </c>
      <c r="G102">
        <v>45</v>
      </c>
      <c r="H102" t="s">
        <v>747</v>
      </c>
      <c r="I102">
        <v>0</v>
      </c>
      <c r="J102" t="s">
        <v>743</v>
      </c>
      <c r="K102" t="s">
        <v>748</v>
      </c>
    </row>
    <row r="103" spans="1:11" ht="15" customHeight="1" x14ac:dyDescent="0.3">
      <c r="A103" t="s">
        <v>219</v>
      </c>
      <c r="B103">
        <v>0.01</v>
      </c>
      <c r="C103" t="s">
        <v>740</v>
      </c>
      <c r="D103" t="s">
        <v>741</v>
      </c>
      <c r="E103">
        <v>0</v>
      </c>
      <c r="F103" t="s">
        <v>742</v>
      </c>
      <c r="G103">
        <v>25</v>
      </c>
      <c r="H103" t="s">
        <v>741</v>
      </c>
      <c r="I103">
        <v>0</v>
      </c>
      <c r="J103" t="s">
        <v>743</v>
      </c>
      <c r="K103" t="s">
        <v>748</v>
      </c>
    </row>
    <row r="104" spans="1:11" ht="15" customHeight="1" x14ac:dyDescent="0.3">
      <c r="A104" t="s">
        <v>220</v>
      </c>
      <c r="B104">
        <v>0.03</v>
      </c>
      <c r="C104" t="s">
        <v>740</v>
      </c>
      <c r="D104" t="s">
        <v>741</v>
      </c>
      <c r="E104">
        <v>0</v>
      </c>
      <c r="F104" t="s">
        <v>742</v>
      </c>
      <c r="G104">
        <v>180</v>
      </c>
      <c r="H104" t="s">
        <v>749</v>
      </c>
      <c r="I104">
        <v>0</v>
      </c>
      <c r="J104" t="s">
        <v>743</v>
      </c>
      <c r="K104" t="s">
        <v>748</v>
      </c>
    </row>
    <row r="105" spans="1:11" ht="15" customHeight="1" x14ac:dyDescent="0.3">
      <c r="A105" t="s">
        <v>222</v>
      </c>
      <c r="B105">
        <v>0.01</v>
      </c>
      <c r="C105" t="s">
        <v>740</v>
      </c>
      <c r="D105" t="s">
        <v>741</v>
      </c>
      <c r="E105">
        <v>0</v>
      </c>
      <c r="F105" t="s">
        <v>742</v>
      </c>
      <c r="G105">
        <v>218.8</v>
      </c>
      <c r="H105" t="s">
        <v>749</v>
      </c>
      <c r="I105">
        <v>0</v>
      </c>
      <c r="J105" t="s">
        <v>743</v>
      </c>
      <c r="K105" t="s">
        <v>748</v>
      </c>
    </row>
    <row r="106" spans="1:11" ht="15" customHeight="1" x14ac:dyDescent="0.3">
      <c r="A106" t="s">
        <v>223</v>
      </c>
      <c r="B106">
        <v>0.01</v>
      </c>
      <c r="C106" t="s">
        <v>740</v>
      </c>
      <c r="D106" t="s">
        <v>741</v>
      </c>
      <c r="E106">
        <v>0</v>
      </c>
      <c r="F106" t="s">
        <v>742</v>
      </c>
      <c r="G106">
        <v>20</v>
      </c>
      <c r="H106" t="s">
        <v>741</v>
      </c>
      <c r="I106">
        <v>0</v>
      </c>
      <c r="J106" t="s">
        <v>743</v>
      </c>
      <c r="K106" t="s">
        <v>744</v>
      </c>
    </row>
    <row r="107" spans="1:11" ht="15" customHeight="1" x14ac:dyDescent="0.3">
      <c r="A107" t="s">
        <v>224</v>
      </c>
      <c r="B107">
        <v>0.01</v>
      </c>
      <c r="C107" t="s">
        <v>740</v>
      </c>
      <c r="D107" t="s">
        <v>741</v>
      </c>
      <c r="E107">
        <v>0</v>
      </c>
      <c r="F107" t="s">
        <v>742</v>
      </c>
      <c r="G107">
        <v>85</v>
      </c>
      <c r="H107" t="s">
        <v>749</v>
      </c>
      <c r="I107">
        <v>0</v>
      </c>
      <c r="J107" t="s">
        <v>743</v>
      </c>
      <c r="K107" t="s">
        <v>748</v>
      </c>
    </row>
    <row r="108" spans="1:11" ht="15" customHeight="1" x14ac:dyDescent="0.3">
      <c r="A108" t="s">
        <v>225</v>
      </c>
      <c r="B108">
        <v>0.01</v>
      </c>
      <c r="C108" t="s">
        <v>740</v>
      </c>
      <c r="D108" t="s">
        <v>741</v>
      </c>
      <c r="E108">
        <v>0</v>
      </c>
      <c r="F108" t="s">
        <v>742</v>
      </c>
      <c r="G108">
        <v>70</v>
      </c>
      <c r="H108" t="s">
        <v>747</v>
      </c>
      <c r="I108">
        <v>0</v>
      </c>
      <c r="J108" t="s">
        <v>743</v>
      </c>
      <c r="K108" t="s">
        <v>748</v>
      </c>
    </row>
    <row r="109" spans="1:11" ht="15" customHeight="1" x14ac:dyDescent="0.3">
      <c r="A109" t="s">
        <v>226</v>
      </c>
      <c r="B109">
        <v>0.02</v>
      </c>
      <c r="C109" t="s">
        <v>740</v>
      </c>
      <c r="D109" t="s">
        <v>741</v>
      </c>
      <c r="E109">
        <v>0</v>
      </c>
      <c r="F109" t="s">
        <v>742</v>
      </c>
      <c r="G109">
        <v>45</v>
      </c>
      <c r="H109" t="s">
        <v>747</v>
      </c>
      <c r="I109">
        <v>0</v>
      </c>
      <c r="J109" t="s">
        <v>743</v>
      </c>
      <c r="K109" t="s">
        <v>748</v>
      </c>
    </row>
    <row r="110" spans="1:11" ht="15" customHeight="1" x14ac:dyDescent="0.3">
      <c r="A110" t="s">
        <v>227</v>
      </c>
      <c r="B110">
        <v>0.03</v>
      </c>
      <c r="C110" t="s">
        <v>740</v>
      </c>
      <c r="D110" t="s">
        <v>741</v>
      </c>
      <c r="E110">
        <v>0</v>
      </c>
      <c r="F110" t="s">
        <v>742</v>
      </c>
      <c r="G110">
        <v>55</v>
      </c>
      <c r="H110" t="s">
        <v>747</v>
      </c>
      <c r="I110">
        <v>0</v>
      </c>
      <c r="J110" t="s">
        <v>743</v>
      </c>
      <c r="K110" t="s">
        <v>748</v>
      </c>
    </row>
    <row r="111" spans="1:11" ht="15" customHeight="1" x14ac:dyDescent="0.3">
      <c r="A111" t="s">
        <v>228</v>
      </c>
      <c r="B111">
        <v>0.01</v>
      </c>
      <c r="C111" t="s">
        <v>740</v>
      </c>
      <c r="D111" t="s">
        <v>741</v>
      </c>
      <c r="E111">
        <v>0</v>
      </c>
      <c r="F111" t="s">
        <v>742</v>
      </c>
      <c r="G111">
        <v>60</v>
      </c>
      <c r="H111" t="s">
        <v>747</v>
      </c>
      <c r="I111">
        <v>0</v>
      </c>
      <c r="J111" t="s">
        <v>743</v>
      </c>
      <c r="K111" t="s">
        <v>748</v>
      </c>
    </row>
    <row r="112" spans="1:11" ht="15" customHeight="1" x14ac:dyDescent="0.3">
      <c r="A112" t="s">
        <v>229</v>
      </c>
      <c r="B112">
        <v>0.01</v>
      </c>
      <c r="C112" t="s">
        <v>740</v>
      </c>
      <c r="D112" t="s">
        <v>741</v>
      </c>
      <c r="E112">
        <v>0</v>
      </c>
      <c r="F112" t="s">
        <v>742</v>
      </c>
      <c r="G112">
        <v>65</v>
      </c>
      <c r="H112" t="s">
        <v>747</v>
      </c>
      <c r="I112">
        <v>0</v>
      </c>
      <c r="J112" t="s">
        <v>743</v>
      </c>
      <c r="K112" t="s">
        <v>748</v>
      </c>
    </row>
    <row r="113" spans="1:11" ht="15" customHeight="1" x14ac:dyDescent="0.3">
      <c r="A113" t="s">
        <v>180</v>
      </c>
      <c r="B113">
        <v>0.01</v>
      </c>
      <c r="C113" t="s">
        <v>740</v>
      </c>
      <c r="D113" t="s">
        <v>741</v>
      </c>
      <c r="E113">
        <v>0</v>
      </c>
      <c r="F113" t="s">
        <v>742</v>
      </c>
      <c r="G113">
        <v>250</v>
      </c>
      <c r="H113" t="s">
        <v>749</v>
      </c>
      <c r="I113">
        <v>0</v>
      </c>
      <c r="J113" t="s">
        <v>743</v>
      </c>
      <c r="K113" t="s">
        <v>748</v>
      </c>
    </row>
    <row r="114" spans="1:11" ht="15" customHeight="1" x14ac:dyDescent="0.3">
      <c r="A114" t="s">
        <v>181</v>
      </c>
      <c r="B114">
        <v>0.1</v>
      </c>
      <c r="C114" t="s">
        <v>740</v>
      </c>
      <c r="D114" t="s">
        <v>747</v>
      </c>
      <c r="E114">
        <v>0</v>
      </c>
      <c r="F114" t="s">
        <v>742</v>
      </c>
      <c r="G114">
        <v>90</v>
      </c>
      <c r="H114" t="s">
        <v>749</v>
      </c>
      <c r="I114">
        <v>0</v>
      </c>
      <c r="J114" t="s">
        <v>743</v>
      </c>
      <c r="K114" t="s">
        <v>748</v>
      </c>
    </row>
    <row r="115" spans="1:11" ht="15" customHeight="1" x14ac:dyDescent="0.3">
      <c r="A115" t="s">
        <v>182</v>
      </c>
      <c r="B115">
        <v>0.03</v>
      </c>
      <c r="C115" t="s">
        <v>740</v>
      </c>
      <c r="D115" t="s">
        <v>741</v>
      </c>
      <c r="E115">
        <v>0</v>
      </c>
      <c r="F115" t="s">
        <v>742</v>
      </c>
      <c r="G115">
        <v>30</v>
      </c>
      <c r="H115" t="s">
        <v>747</v>
      </c>
      <c r="I115">
        <v>0</v>
      </c>
      <c r="J115" t="s">
        <v>743</v>
      </c>
      <c r="K115" t="s">
        <v>748</v>
      </c>
    </row>
    <row r="116" spans="1:11" ht="15" customHeight="1" x14ac:dyDescent="0.3">
      <c r="A116" t="s">
        <v>183</v>
      </c>
      <c r="B116">
        <v>0.03</v>
      </c>
      <c r="C116" t="s">
        <v>740</v>
      </c>
      <c r="D116" t="s">
        <v>741</v>
      </c>
      <c r="E116">
        <v>0</v>
      </c>
      <c r="F116" t="s">
        <v>742</v>
      </c>
      <c r="G116">
        <v>35</v>
      </c>
      <c r="H116" t="s">
        <v>747</v>
      </c>
      <c r="I116">
        <v>0</v>
      </c>
      <c r="J116" t="s">
        <v>743</v>
      </c>
      <c r="K116" t="s">
        <v>748</v>
      </c>
    </row>
    <row r="117" spans="1:11" ht="15" customHeight="1" x14ac:dyDescent="0.3">
      <c r="A117" t="s">
        <v>185</v>
      </c>
      <c r="B117">
        <v>0.01</v>
      </c>
      <c r="C117" t="s">
        <v>740</v>
      </c>
      <c r="D117" t="s">
        <v>741</v>
      </c>
      <c r="E117">
        <v>0</v>
      </c>
      <c r="F117" t="s">
        <v>742</v>
      </c>
      <c r="G117">
        <v>25</v>
      </c>
      <c r="H117" t="s">
        <v>741</v>
      </c>
      <c r="I117">
        <v>0</v>
      </c>
      <c r="J117" t="s">
        <v>743</v>
      </c>
      <c r="K117" t="s">
        <v>744</v>
      </c>
    </row>
    <row r="118" spans="1:11" ht="15" customHeight="1" x14ac:dyDescent="0.3">
      <c r="A118" t="s">
        <v>186</v>
      </c>
      <c r="B118">
        <v>0.08</v>
      </c>
      <c r="C118" t="s">
        <v>740</v>
      </c>
      <c r="D118" t="s">
        <v>741</v>
      </c>
      <c r="E118">
        <v>0</v>
      </c>
      <c r="F118" t="s">
        <v>742</v>
      </c>
      <c r="G118">
        <v>70</v>
      </c>
      <c r="H118" t="s">
        <v>747</v>
      </c>
      <c r="I118">
        <v>0</v>
      </c>
      <c r="J118" t="s">
        <v>743</v>
      </c>
      <c r="K118" t="s">
        <v>748</v>
      </c>
    </row>
    <row r="119" spans="1:11" ht="15" customHeight="1" x14ac:dyDescent="0.3">
      <c r="A119" t="s">
        <v>187</v>
      </c>
      <c r="B119">
        <v>0.02</v>
      </c>
      <c r="C119" t="s">
        <v>740</v>
      </c>
      <c r="D119" t="s">
        <v>741</v>
      </c>
      <c r="E119">
        <v>0</v>
      </c>
      <c r="F119" t="s">
        <v>742</v>
      </c>
      <c r="G119">
        <v>20</v>
      </c>
      <c r="H119" t="s">
        <v>741</v>
      </c>
      <c r="I119">
        <v>0</v>
      </c>
      <c r="J119" t="s">
        <v>743</v>
      </c>
      <c r="K119" t="s">
        <v>744</v>
      </c>
    </row>
    <row r="120" spans="1:11" ht="15" customHeight="1" x14ac:dyDescent="0.3">
      <c r="A120" t="s">
        <v>188</v>
      </c>
      <c r="B120">
        <v>0.02</v>
      </c>
      <c r="C120" t="s">
        <v>740</v>
      </c>
      <c r="D120" t="s">
        <v>741</v>
      </c>
      <c r="E120">
        <v>0</v>
      </c>
      <c r="F120" t="s">
        <v>742</v>
      </c>
      <c r="G120">
        <v>25</v>
      </c>
      <c r="H120" t="s">
        <v>741</v>
      </c>
      <c r="I120">
        <v>0</v>
      </c>
      <c r="J120" t="s">
        <v>743</v>
      </c>
      <c r="K120" t="s">
        <v>744</v>
      </c>
    </row>
    <row r="121" spans="1:11" ht="15" customHeight="1" x14ac:dyDescent="0.3">
      <c r="A121" t="s">
        <v>189</v>
      </c>
      <c r="B121">
        <v>0.01</v>
      </c>
      <c r="C121" t="s">
        <v>740</v>
      </c>
      <c r="D121" t="s">
        <v>741</v>
      </c>
      <c r="E121">
        <v>0</v>
      </c>
      <c r="F121" t="s">
        <v>742</v>
      </c>
      <c r="G121">
        <v>15</v>
      </c>
      <c r="H121" t="s">
        <v>741</v>
      </c>
      <c r="I121">
        <v>0</v>
      </c>
      <c r="J121" t="s">
        <v>743</v>
      </c>
      <c r="K121" t="s">
        <v>744</v>
      </c>
    </row>
    <row r="122" spans="1:11" ht="15" customHeight="1" x14ac:dyDescent="0.3">
      <c r="A122" t="s">
        <v>190</v>
      </c>
      <c r="B122">
        <v>0.01</v>
      </c>
      <c r="C122" t="s">
        <v>740</v>
      </c>
      <c r="D122" t="s">
        <v>741</v>
      </c>
      <c r="E122">
        <v>0</v>
      </c>
      <c r="F122" t="s">
        <v>742</v>
      </c>
      <c r="G122">
        <v>50</v>
      </c>
      <c r="H122" t="s">
        <v>747</v>
      </c>
      <c r="I122">
        <v>0</v>
      </c>
      <c r="J122" t="s">
        <v>743</v>
      </c>
      <c r="K122" t="s">
        <v>748</v>
      </c>
    </row>
    <row r="123" spans="1:11" ht="15" customHeight="1" x14ac:dyDescent="0.3">
      <c r="A123" t="s">
        <v>191</v>
      </c>
      <c r="B123">
        <v>0.01</v>
      </c>
      <c r="C123" t="s">
        <v>740</v>
      </c>
      <c r="D123" t="s">
        <v>741</v>
      </c>
      <c r="E123">
        <v>0</v>
      </c>
      <c r="F123" t="s">
        <v>742</v>
      </c>
      <c r="G123">
        <v>45</v>
      </c>
      <c r="H123" t="s">
        <v>747</v>
      </c>
      <c r="I123">
        <v>0</v>
      </c>
      <c r="J123" t="s">
        <v>743</v>
      </c>
      <c r="K123" t="s">
        <v>748</v>
      </c>
    </row>
    <row r="124" spans="1:11" ht="15" customHeight="1" x14ac:dyDescent="0.3">
      <c r="A124" t="s">
        <v>192</v>
      </c>
      <c r="B124">
        <v>0.01</v>
      </c>
      <c r="C124" t="s">
        <v>740</v>
      </c>
      <c r="D124" t="s">
        <v>741</v>
      </c>
      <c r="E124">
        <v>0</v>
      </c>
      <c r="F124" t="s">
        <v>742</v>
      </c>
      <c r="G124">
        <v>60</v>
      </c>
      <c r="H124" t="s">
        <v>747</v>
      </c>
      <c r="I124">
        <v>0</v>
      </c>
      <c r="J124" t="s">
        <v>743</v>
      </c>
      <c r="K124" t="s">
        <v>748</v>
      </c>
    </row>
    <row r="125" spans="1:11" ht="15" customHeight="1" x14ac:dyDescent="0.3">
      <c r="A125" t="s">
        <v>193</v>
      </c>
      <c r="B125">
        <v>0.01</v>
      </c>
      <c r="C125" t="s">
        <v>740</v>
      </c>
      <c r="D125" t="s">
        <v>741</v>
      </c>
      <c r="E125">
        <v>0</v>
      </c>
      <c r="F125" t="s">
        <v>742</v>
      </c>
      <c r="G125">
        <v>30</v>
      </c>
      <c r="H125" t="s">
        <v>741</v>
      </c>
      <c r="I125">
        <v>0</v>
      </c>
      <c r="J125" t="s">
        <v>743</v>
      </c>
      <c r="K125" t="s">
        <v>744</v>
      </c>
    </row>
    <row r="126" spans="1:11" ht="15" customHeight="1" x14ac:dyDescent="0.3">
      <c r="A126" t="s">
        <v>231</v>
      </c>
      <c r="B126">
        <v>0</v>
      </c>
      <c r="C126" t="s">
        <v>745</v>
      </c>
      <c r="D126" t="s">
        <v>743</v>
      </c>
      <c r="E126">
        <v>0</v>
      </c>
      <c r="F126" t="s">
        <v>742</v>
      </c>
      <c r="G126">
        <v>30</v>
      </c>
      <c r="H126" t="s">
        <v>741</v>
      </c>
      <c r="I126">
        <v>0</v>
      </c>
      <c r="J126" t="s">
        <v>743</v>
      </c>
      <c r="K126" t="s">
        <v>748</v>
      </c>
    </row>
    <row r="127" spans="1:11" ht="15" customHeight="1" x14ac:dyDescent="0.3">
      <c r="A127" t="s">
        <v>232</v>
      </c>
      <c r="B127">
        <v>0.01</v>
      </c>
      <c r="C127" t="s">
        <v>740</v>
      </c>
      <c r="D127" t="s">
        <v>741</v>
      </c>
      <c r="E127">
        <v>0</v>
      </c>
      <c r="F127" t="s">
        <v>742</v>
      </c>
      <c r="G127">
        <v>50</v>
      </c>
      <c r="H127" t="s">
        <v>747</v>
      </c>
      <c r="I127">
        <v>0</v>
      </c>
      <c r="J127" t="s">
        <v>743</v>
      </c>
      <c r="K127" t="s">
        <v>748</v>
      </c>
    </row>
    <row r="128" spans="1:11" ht="15" customHeight="1" x14ac:dyDescent="0.3">
      <c r="A128" t="s">
        <v>233</v>
      </c>
      <c r="B128">
        <v>0</v>
      </c>
      <c r="C128" t="s">
        <v>745</v>
      </c>
      <c r="D128" t="s">
        <v>743</v>
      </c>
      <c r="E128">
        <v>0</v>
      </c>
      <c r="F128" t="s">
        <v>742</v>
      </c>
      <c r="G128">
        <v>20</v>
      </c>
      <c r="H128" t="s">
        <v>741</v>
      </c>
      <c r="I128">
        <v>0</v>
      </c>
      <c r="J128" t="s">
        <v>743</v>
      </c>
      <c r="K128" t="s">
        <v>744</v>
      </c>
    </row>
    <row r="129" spans="1:11" ht="15" customHeight="1" x14ac:dyDescent="0.3">
      <c r="A129" t="s">
        <v>165</v>
      </c>
      <c r="B129">
        <v>0</v>
      </c>
      <c r="C129" t="s">
        <v>745</v>
      </c>
      <c r="D129" t="s">
        <v>743</v>
      </c>
      <c r="E129">
        <v>0</v>
      </c>
      <c r="F129" t="s">
        <v>742</v>
      </c>
      <c r="G129">
        <v>15</v>
      </c>
      <c r="H129" t="s">
        <v>741</v>
      </c>
      <c r="I129">
        <v>0</v>
      </c>
      <c r="J129" t="s">
        <v>743</v>
      </c>
      <c r="K129" t="s">
        <v>744</v>
      </c>
    </row>
    <row r="130" spans="1:11" ht="15" customHeight="1" x14ac:dyDescent="0.3">
      <c r="A130" t="s">
        <v>163</v>
      </c>
      <c r="B130">
        <v>0</v>
      </c>
      <c r="C130" t="s">
        <v>745</v>
      </c>
      <c r="D130" t="s">
        <v>743</v>
      </c>
      <c r="E130">
        <v>0</v>
      </c>
      <c r="F130" t="s">
        <v>742</v>
      </c>
      <c r="G130">
        <v>10</v>
      </c>
      <c r="H130" t="s">
        <v>741</v>
      </c>
      <c r="I130">
        <v>0</v>
      </c>
      <c r="J130" t="s">
        <v>743</v>
      </c>
      <c r="K130" t="s">
        <v>744</v>
      </c>
    </row>
    <row r="131" spans="1:11" ht="15" customHeight="1" x14ac:dyDescent="0.3">
      <c r="A131" t="s">
        <v>256</v>
      </c>
      <c r="B131">
        <v>0.11</v>
      </c>
      <c r="C131" t="s">
        <v>740</v>
      </c>
      <c r="D131" t="s">
        <v>747</v>
      </c>
      <c r="E131">
        <v>0</v>
      </c>
      <c r="F131" t="s">
        <v>742</v>
      </c>
      <c r="G131">
        <v>45</v>
      </c>
      <c r="H131" t="s">
        <v>747</v>
      </c>
      <c r="I131">
        <v>0</v>
      </c>
      <c r="J131" t="s">
        <v>743</v>
      </c>
      <c r="K131" t="s">
        <v>748</v>
      </c>
    </row>
    <row r="132" spans="1:11" ht="15" customHeight="1" x14ac:dyDescent="0.3">
      <c r="A132" t="s">
        <v>258</v>
      </c>
      <c r="B132">
        <v>0</v>
      </c>
      <c r="C132" t="s">
        <v>745</v>
      </c>
      <c r="D132" t="s">
        <v>743</v>
      </c>
      <c r="E132">
        <v>0</v>
      </c>
      <c r="F132" t="s">
        <v>742</v>
      </c>
      <c r="G132">
        <v>85</v>
      </c>
      <c r="H132" t="s">
        <v>749</v>
      </c>
      <c r="I132">
        <v>0</v>
      </c>
      <c r="J132" t="s">
        <v>743</v>
      </c>
      <c r="K132" t="s">
        <v>748</v>
      </c>
    </row>
    <row r="133" spans="1:11" ht="15" customHeight="1" x14ac:dyDescent="0.3">
      <c r="A133" t="s">
        <v>259</v>
      </c>
      <c r="B133">
        <v>0.06</v>
      </c>
      <c r="C133" t="s">
        <v>740</v>
      </c>
      <c r="D133" t="s">
        <v>741</v>
      </c>
      <c r="E133">
        <v>0</v>
      </c>
      <c r="F133" t="s">
        <v>742</v>
      </c>
      <c r="G133">
        <v>350</v>
      </c>
      <c r="H133" t="s">
        <v>753</v>
      </c>
      <c r="I133">
        <v>0</v>
      </c>
      <c r="J133" t="s">
        <v>743</v>
      </c>
      <c r="K133" t="s">
        <v>748</v>
      </c>
    </row>
    <row r="134" spans="1:11" ht="15" customHeight="1" x14ac:dyDescent="0.3">
      <c r="A134" t="s">
        <v>260</v>
      </c>
      <c r="B134">
        <v>0</v>
      </c>
      <c r="C134" t="s">
        <v>745</v>
      </c>
      <c r="D134" t="s">
        <v>743</v>
      </c>
      <c r="E134">
        <v>0</v>
      </c>
      <c r="F134" t="s">
        <v>742</v>
      </c>
      <c r="G134">
        <v>60</v>
      </c>
      <c r="H134" t="s">
        <v>747</v>
      </c>
      <c r="I134">
        <v>0</v>
      </c>
      <c r="J134" t="s">
        <v>743</v>
      </c>
      <c r="K134" t="s">
        <v>748</v>
      </c>
    </row>
    <row r="135" spans="1:11" ht="15" customHeight="1" x14ac:dyDescent="0.3">
      <c r="A135" t="s">
        <v>261</v>
      </c>
      <c r="B135">
        <v>0.01</v>
      </c>
      <c r="C135" t="s">
        <v>740</v>
      </c>
      <c r="D135" t="s">
        <v>741</v>
      </c>
      <c r="E135">
        <v>0</v>
      </c>
      <c r="F135" t="s">
        <v>742</v>
      </c>
      <c r="G135">
        <v>130</v>
      </c>
      <c r="H135" t="s">
        <v>749</v>
      </c>
      <c r="I135">
        <v>0</v>
      </c>
      <c r="J135" t="s">
        <v>743</v>
      </c>
      <c r="K135" t="s">
        <v>748</v>
      </c>
    </row>
    <row r="136" spans="1:11" ht="15" customHeight="1" x14ac:dyDescent="0.3">
      <c r="A136" t="s">
        <v>262</v>
      </c>
      <c r="B136">
        <v>0.01</v>
      </c>
      <c r="C136" t="s">
        <v>740</v>
      </c>
      <c r="D136" t="s">
        <v>741</v>
      </c>
      <c r="E136">
        <v>0</v>
      </c>
      <c r="F136" t="s">
        <v>742</v>
      </c>
      <c r="G136">
        <v>150</v>
      </c>
      <c r="H136" t="s">
        <v>749</v>
      </c>
      <c r="I136">
        <v>0</v>
      </c>
      <c r="J136" t="s">
        <v>743</v>
      </c>
      <c r="K136" t="s">
        <v>748</v>
      </c>
    </row>
    <row r="137" spans="1:11" ht="15" customHeight="1" x14ac:dyDescent="0.3">
      <c r="A137" t="s">
        <v>263</v>
      </c>
      <c r="B137">
        <v>0.01</v>
      </c>
      <c r="C137" t="s">
        <v>740</v>
      </c>
      <c r="D137" t="s">
        <v>741</v>
      </c>
      <c r="E137">
        <v>0</v>
      </c>
      <c r="F137" t="s">
        <v>742</v>
      </c>
      <c r="G137">
        <v>45</v>
      </c>
      <c r="H137" t="s">
        <v>747</v>
      </c>
      <c r="I137">
        <v>0</v>
      </c>
      <c r="J137" t="s">
        <v>743</v>
      </c>
      <c r="K137" t="s">
        <v>748</v>
      </c>
    </row>
    <row r="138" spans="1:11" ht="15" customHeight="1" x14ac:dyDescent="0.3">
      <c r="A138" t="s">
        <v>264</v>
      </c>
      <c r="B138">
        <v>0.01</v>
      </c>
      <c r="C138" t="s">
        <v>740</v>
      </c>
      <c r="D138" t="s">
        <v>741</v>
      </c>
      <c r="E138">
        <v>0</v>
      </c>
      <c r="F138" t="s">
        <v>742</v>
      </c>
      <c r="G138">
        <v>125</v>
      </c>
      <c r="H138" t="s">
        <v>749</v>
      </c>
      <c r="I138">
        <v>0</v>
      </c>
      <c r="J138" t="s">
        <v>743</v>
      </c>
      <c r="K138" t="s">
        <v>748</v>
      </c>
    </row>
    <row r="139" spans="1:11" ht="15" customHeight="1" x14ac:dyDescent="0.3">
      <c r="A139" t="s">
        <v>265</v>
      </c>
      <c r="B139">
        <v>0</v>
      </c>
      <c r="C139" t="s">
        <v>745</v>
      </c>
      <c r="D139" t="s">
        <v>743</v>
      </c>
      <c r="E139">
        <v>0</v>
      </c>
      <c r="F139" t="s">
        <v>742</v>
      </c>
      <c r="G139">
        <v>15</v>
      </c>
      <c r="H139" t="s">
        <v>741</v>
      </c>
      <c r="I139">
        <v>0</v>
      </c>
      <c r="J139" t="s">
        <v>743</v>
      </c>
      <c r="K139" t="s">
        <v>744</v>
      </c>
    </row>
    <row r="140" spans="1:11" ht="15" customHeight="1" x14ac:dyDescent="0.3">
      <c r="A140" t="s">
        <v>266</v>
      </c>
      <c r="B140">
        <v>0.12</v>
      </c>
      <c r="C140" t="s">
        <v>740</v>
      </c>
      <c r="D140" t="s">
        <v>747</v>
      </c>
      <c r="E140">
        <v>0</v>
      </c>
      <c r="F140" t="s">
        <v>742</v>
      </c>
      <c r="G140">
        <v>280</v>
      </c>
      <c r="H140" t="s">
        <v>753</v>
      </c>
      <c r="I140">
        <v>0</v>
      </c>
      <c r="J140" t="s">
        <v>743</v>
      </c>
      <c r="K140" t="s">
        <v>748</v>
      </c>
    </row>
    <row r="141" spans="1:11" ht="15" customHeight="1" x14ac:dyDescent="0.3">
      <c r="A141" t="s">
        <v>755</v>
      </c>
      <c r="B141">
        <v>0.02</v>
      </c>
      <c r="C141" t="s">
        <v>740</v>
      </c>
      <c r="D141" t="s">
        <v>741</v>
      </c>
      <c r="E141">
        <v>0</v>
      </c>
      <c r="F141" t="s">
        <v>742</v>
      </c>
      <c r="G141">
        <v>225</v>
      </c>
      <c r="H141" t="s">
        <v>749</v>
      </c>
      <c r="I141">
        <v>0</v>
      </c>
      <c r="J141" t="s">
        <v>743</v>
      </c>
      <c r="K141" t="s">
        <v>748</v>
      </c>
    </row>
    <row r="142" spans="1:11" ht="15" customHeight="1" x14ac:dyDescent="0.3">
      <c r="A142" t="s">
        <v>269</v>
      </c>
      <c r="B142">
        <v>0.01</v>
      </c>
      <c r="C142" t="s">
        <v>740</v>
      </c>
      <c r="D142" t="s">
        <v>741</v>
      </c>
      <c r="E142">
        <v>0</v>
      </c>
      <c r="F142" t="s">
        <v>742</v>
      </c>
      <c r="G142">
        <v>250</v>
      </c>
      <c r="H142" t="s">
        <v>753</v>
      </c>
      <c r="I142">
        <v>0</v>
      </c>
      <c r="J142" t="s">
        <v>743</v>
      </c>
      <c r="K142" t="s">
        <v>748</v>
      </c>
    </row>
    <row r="143" spans="1:11" ht="15" customHeight="1" x14ac:dyDescent="0.3">
      <c r="A143" t="s">
        <v>270</v>
      </c>
      <c r="B143">
        <v>0.04</v>
      </c>
      <c r="C143" t="s">
        <v>740</v>
      </c>
      <c r="D143" t="s">
        <v>741</v>
      </c>
      <c r="E143">
        <v>0</v>
      </c>
      <c r="F143" t="s">
        <v>742</v>
      </c>
      <c r="G143">
        <v>350</v>
      </c>
      <c r="H143" t="s">
        <v>753</v>
      </c>
      <c r="I143">
        <v>0</v>
      </c>
      <c r="J143" t="s">
        <v>743</v>
      </c>
      <c r="K143" t="s">
        <v>748</v>
      </c>
    </row>
    <row r="144" spans="1:11" ht="15" customHeight="1" x14ac:dyDescent="0.3">
      <c r="A144" t="s">
        <v>271</v>
      </c>
      <c r="B144">
        <v>0.04</v>
      </c>
      <c r="C144" t="s">
        <v>740</v>
      </c>
      <c r="D144" t="s">
        <v>741</v>
      </c>
      <c r="E144">
        <v>0</v>
      </c>
      <c r="F144" t="s">
        <v>742</v>
      </c>
      <c r="G144">
        <v>300</v>
      </c>
      <c r="H144" t="s">
        <v>753</v>
      </c>
      <c r="I144">
        <v>0</v>
      </c>
      <c r="J144" t="s">
        <v>743</v>
      </c>
      <c r="K144" t="s">
        <v>748</v>
      </c>
    </row>
    <row r="145" spans="1:11" ht="15" customHeight="1" x14ac:dyDescent="0.3">
      <c r="A145" t="s">
        <v>272</v>
      </c>
      <c r="B145">
        <v>0.11</v>
      </c>
      <c r="C145" t="s">
        <v>740</v>
      </c>
      <c r="D145" t="s">
        <v>747</v>
      </c>
      <c r="E145">
        <v>0</v>
      </c>
      <c r="F145" t="s">
        <v>742</v>
      </c>
      <c r="G145">
        <v>126.4</v>
      </c>
      <c r="H145" t="s">
        <v>749</v>
      </c>
      <c r="I145">
        <v>0</v>
      </c>
      <c r="J145" t="s">
        <v>743</v>
      </c>
      <c r="K145" t="s">
        <v>748</v>
      </c>
    </row>
    <row r="146" spans="1:11" ht="15" customHeight="1" x14ac:dyDescent="0.3">
      <c r="A146" t="s">
        <v>273</v>
      </c>
      <c r="B146">
        <v>0</v>
      </c>
      <c r="C146" t="s">
        <v>745</v>
      </c>
      <c r="D146" t="s">
        <v>743</v>
      </c>
      <c r="E146">
        <v>0</v>
      </c>
      <c r="F146" t="s">
        <v>742</v>
      </c>
      <c r="G146">
        <v>85</v>
      </c>
      <c r="H146" t="s">
        <v>749</v>
      </c>
      <c r="I146">
        <v>0</v>
      </c>
      <c r="J146" t="s">
        <v>743</v>
      </c>
      <c r="K146" t="s">
        <v>748</v>
      </c>
    </row>
    <row r="147" spans="1:11" ht="15" customHeight="1" x14ac:dyDescent="0.3">
      <c r="A147" t="s">
        <v>274</v>
      </c>
      <c r="B147">
        <v>0.04</v>
      </c>
      <c r="C147" t="s">
        <v>740</v>
      </c>
      <c r="D147" t="s">
        <v>741</v>
      </c>
      <c r="E147">
        <v>0</v>
      </c>
      <c r="F147" t="s">
        <v>742</v>
      </c>
      <c r="G147">
        <v>65</v>
      </c>
      <c r="H147" t="s">
        <v>747</v>
      </c>
      <c r="I147">
        <v>0</v>
      </c>
      <c r="J147" t="s">
        <v>743</v>
      </c>
      <c r="K147" t="s">
        <v>748</v>
      </c>
    </row>
    <row r="148" spans="1:11" ht="15" customHeight="1" x14ac:dyDescent="0.3">
      <c r="A148" t="s">
        <v>275</v>
      </c>
      <c r="B148">
        <v>0.01</v>
      </c>
      <c r="C148" t="s">
        <v>740</v>
      </c>
      <c r="D148" t="s">
        <v>741</v>
      </c>
      <c r="E148">
        <v>0</v>
      </c>
      <c r="F148" t="s">
        <v>742</v>
      </c>
      <c r="G148">
        <v>45</v>
      </c>
      <c r="H148" t="s">
        <v>747</v>
      </c>
      <c r="I148">
        <v>0</v>
      </c>
      <c r="J148" t="s">
        <v>743</v>
      </c>
      <c r="K148" t="s">
        <v>748</v>
      </c>
    </row>
    <row r="149" spans="1:11" ht="15" customHeight="1" x14ac:dyDescent="0.3">
      <c r="A149" t="s">
        <v>276</v>
      </c>
      <c r="B149">
        <v>0.01</v>
      </c>
      <c r="C149" t="s">
        <v>740</v>
      </c>
      <c r="D149" t="s">
        <v>741</v>
      </c>
      <c r="E149">
        <v>0</v>
      </c>
      <c r="F149" t="s">
        <v>742</v>
      </c>
      <c r="G149">
        <v>50</v>
      </c>
      <c r="H149" t="s">
        <v>747</v>
      </c>
      <c r="I149">
        <v>0</v>
      </c>
      <c r="J149" t="s">
        <v>743</v>
      </c>
      <c r="K149" t="s">
        <v>748</v>
      </c>
    </row>
    <row r="150" spans="1:11" ht="15" customHeight="1" x14ac:dyDescent="0.3">
      <c r="A150" t="s">
        <v>277</v>
      </c>
      <c r="B150">
        <v>0</v>
      </c>
      <c r="C150" t="s">
        <v>745</v>
      </c>
      <c r="D150" t="s">
        <v>743</v>
      </c>
      <c r="E150">
        <v>0</v>
      </c>
      <c r="F150" t="s">
        <v>742</v>
      </c>
      <c r="G150">
        <v>40</v>
      </c>
      <c r="H150" t="s">
        <v>747</v>
      </c>
      <c r="I150">
        <v>0</v>
      </c>
      <c r="J150" t="s">
        <v>743</v>
      </c>
      <c r="K150" t="s">
        <v>748</v>
      </c>
    </row>
    <row r="151" spans="1:11" ht="15" customHeight="1" x14ac:dyDescent="0.3">
      <c r="A151" t="s">
        <v>279</v>
      </c>
      <c r="B151">
        <v>0.01</v>
      </c>
      <c r="C151" t="s">
        <v>740</v>
      </c>
      <c r="D151" t="s">
        <v>741</v>
      </c>
      <c r="E151">
        <v>0</v>
      </c>
      <c r="F151" t="s">
        <v>742</v>
      </c>
      <c r="G151">
        <v>85</v>
      </c>
      <c r="H151" t="s">
        <v>749</v>
      </c>
      <c r="I151">
        <v>0</v>
      </c>
      <c r="J151" t="s">
        <v>743</v>
      </c>
      <c r="K151" t="s">
        <v>748</v>
      </c>
    </row>
    <row r="152" spans="1:11" ht="15" customHeight="1" x14ac:dyDescent="0.3">
      <c r="A152" t="s">
        <v>280</v>
      </c>
      <c r="B152">
        <v>0.01</v>
      </c>
      <c r="C152" t="s">
        <v>740</v>
      </c>
      <c r="D152" t="s">
        <v>741</v>
      </c>
      <c r="E152">
        <v>0</v>
      </c>
      <c r="F152" t="s">
        <v>742</v>
      </c>
      <c r="G152">
        <v>136</v>
      </c>
      <c r="H152" t="s">
        <v>749</v>
      </c>
      <c r="I152">
        <v>0</v>
      </c>
      <c r="J152" t="s">
        <v>743</v>
      </c>
      <c r="K152" t="s">
        <v>748</v>
      </c>
    </row>
    <row r="153" spans="1:11" ht="15" customHeight="1" x14ac:dyDescent="0.3">
      <c r="A153" t="s">
        <v>281</v>
      </c>
      <c r="B153">
        <v>0.02</v>
      </c>
      <c r="C153" t="s">
        <v>740</v>
      </c>
      <c r="D153" t="s">
        <v>741</v>
      </c>
      <c r="E153">
        <v>0</v>
      </c>
      <c r="F153" t="s">
        <v>742</v>
      </c>
      <c r="G153">
        <v>55</v>
      </c>
      <c r="H153" t="s">
        <v>747</v>
      </c>
      <c r="I153">
        <v>0</v>
      </c>
      <c r="J153" t="s">
        <v>743</v>
      </c>
      <c r="K153" t="s">
        <v>748</v>
      </c>
    </row>
    <row r="154" spans="1:11" ht="15" customHeight="1" x14ac:dyDescent="0.3">
      <c r="A154" t="s">
        <v>282</v>
      </c>
      <c r="B154">
        <v>0</v>
      </c>
      <c r="C154" t="s">
        <v>745</v>
      </c>
      <c r="D154" t="s">
        <v>743</v>
      </c>
      <c r="E154">
        <v>0</v>
      </c>
      <c r="F154" t="s">
        <v>742</v>
      </c>
      <c r="G154">
        <v>70</v>
      </c>
      <c r="H154" t="s">
        <v>747</v>
      </c>
      <c r="I154">
        <v>0</v>
      </c>
      <c r="J154" t="s">
        <v>743</v>
      </c>
      <c r="K154" t="s">
        <v>748</v>
      </c>
    </row>
    <row r="155" spans="1:11" ht="15" customHeight="1" x14ac:dyDescent="0.3">
      <c r="A155" t="s">
        <v>283</v>
      </c>
      <c r="B155">
        <v>0</v>
      </c>
      <c r="C155" t="s">
        <v>745</v>
      </c>
      <c r="D155" t="s">
        <v>743</v>
      </c>
      <c r="E155">
        <v>0</v>
      </c>
      <c r="F155" t="s">
        <v>742</v>
      </c>
      <c r="G155">
        <v>25</v>
      </c>
      <c r="H155" t="s">
        <v>741</v>
      </c>
      <c r="I155">
        <v>0</v>
      </c>
      <c r="J155" t="s">
        <v>743</v>
      </c>
      <c r="K155" t="s">
        <v>744</v>
      </c>
    </row>
    <row r="156" spans="1:11" ht="15" customHeight="1" x14ac:dyDescent="0.3">
      <c r="A156" t="s">
        <v>284</v>
      </c>
      <c r="B156">
        <v>0</v>
      </c>
      <c r="C156" t="s">
        <v>745</v>
      </c>
      <c r="D156" t="s">
        <v>743</v>
      </c>
      <c r="E156">
        <v>0</v>
      </c>
      <c r="F156" t="s">
        <v>742</v>
      </c>
      <c r="G156">
        <v>110</v>
      </c>
      <c r="H156" t="s">
        <v>749</v>
      </c>
      <c r="I156">
        <v>0</v>
      </c>
      <c r="J156" t="s">
        <v>743</v>
      </c>
      <c r="K156" t="s">
        <v>748</v>
      </c>
    </row>
    <row r="157" spans="1:11" ht="15" customHeight="1" x14ac:dyDescent="0.3">
      <c r="A157" t="s">
        <v>285</v>
      </c>
      <c r="B157">
        <v>0.08</v>
      </c>
      <c r="C157" t="s">
        <v>740</v>
      </c>
      <c r="D157" t="s">
        <v>747</v>
      </c>
      <c r="E157">
        <v>0</v>
      </c>
      <c r="F157" t="s">
        <v>742</v>
      </c>
      <c r="G157">
        <v>320</v>
      </c>
      <c r="H157" t="s">
        <v>753</v>
      </c>
      <c r="I157">
        <v>0</v>
      </c>
      <c r="J157" t="s">
        <v>743</v>
      </c>
      <c r="K157" t="s">
        <v>748</v>
      </c>
    </row>
    <row r="158" spans="1:11" ht="15" customHeight="1" x14ac:dyDescent="0.3">
      <c r="A158" t="s">
        <v>286</v>
      </c>
      <c r="B158">
        <v>0.01</v>
      </c>
      <c r="C158" t="s">
        <v>740</v>
      </c>
      <c r="D158" t="s">
        <v>741</v>
      </c>
      <c r="E158">
        <v>0</v>
      </c>
      <c r="F158" t="s">
        <v>742</v>
      </c>
      <c r="G158">
        <v>85</v>
      </c>
      <c r="H158" t="s">
        <v>749</v>
      </c>
      <c r="I158">
        <v>0</v>
      </c>
      <c r="J158" t="s">
        <v>743</v>
      </c>
      <c r="K158" t="s">
        <v>748</v>
      </c>
    </row>
    <row r="159" spans="1:11" ht="15" customHeight="1" x14ac:dyDescent="0.3">
      <c r="A159" t="s">
        <v>287</v>
      </c>
      <c r="B159">
        <v>0</v>
      </c>
      <c r="C159" t="s">
        <v>745</v>
      </c>
      <c r="D159" t="s">
        <v>743</v>
      </c>
      <c r="E159">
        <v>0</v>
      </c>
      <c r="F159" t="s">
        <v>742</v>
      </c>
      <c r="G159">
        <v>65</v>
      </c>
      <c r="H159" t="s">
        <v>747</v>
      </c>
      <c r="I159">
        <v>0</v>
      </c>
      <c r="J159" t="s">
        <v>743</v>
      </c>
      <c r="K159" t="s">
        <v>748</v>
      </c>
    </row>
    <row r="160" spans="1:11" ht="15" customHeight="1" x14ac:dyDescent="0.3">
      <c r="A160" t="s">
        <v>288</v>
      </c>
      <c r="B160">
        <v>0.01</v>
      </c>
      <c r="C160" t="s">
        <v>740</v>
      </c>
      <c r="D160" t="s">
        <v>741</v>
      </c>
      <c r="E160">
        <v>0</v>
      </c>
      <c r="F160" t="s">
        <v>742</v>
      </c>
      <c r="G160">
        <v>50</v>
      </c>
      <c r="H160" t="s">
        <v>747</v>
      </c>
      <c r="I160">
        <v>0</v>
      </c>
      <c r="J160" t="s">
        <v>743</v>
      </c>
      <c r="K160" t="s">
        <v>748</v>
      </c>
    </row>
    <row r="161" spans="1:11" ht="15" customHeight="1" x14ac:dyDescent="0.3">
      <c r="A161" t="s">
        <v>289</v>
      </c>
      <c r="B161">
        <v>0.01</v>
      </c>
      <c r="C161" t="s">
        <v>740</v>
      </c>
      <c r="D161" t="s">
        <v>741</v>
      </c>
      <c r="E161">
        <v>0</v>
      </c>
      <c r="F161" t="s">
        <v>742</v>
      </c>
      <c r="G161">
        <v>45</v>
      </c>
      <c r="H161" t="s">
        <v>747</v>
      </c>
      <c r="I161">
        <v>0</v>
      </c>
      <c r="J161" t="s">
        <v>743</v>
      </c>
      <c r="K161" t="s">
        <v>748</v>
      </c>
    </row>
    <row r="162" spans="1:11" ht="15" customHeight="1" x14ac:dyDescent="0.3">
      <c r="A162" t="s">
        <v>290</v>
      </c>
      <c r="B162">
        <v>0.01</v>
      </c>
      <c r="C162" t="s">
        <v>740</v>
      </c>
      <c r="D162" t="s">
        <v>741</v>
      </c>
      <c r="E162">
        <v>0</v>
      </c>
      <c r="F162" t="s">
        <v>742</v>
      </c>
      <c r="G162">
        <v>65</v>
      </c>
      <c r="H162" t="s">
        <v>747</v>
      </c>
      <c r="I162">
        <v>0</v>
      </c>
      <c r="J162" t="s">
        <v>743</v>
      </c>
      <c r="K162" t="s">
        <v>748</v>
      </c>
    </row>
    <row r="163" spans="1:11" ht="15" customHeight="1" x14ac:dyDescent="0.3">
      <c r="A163" t="s">
        <v>291</v>
      </c>
      <c r="B163">
        <v>0.02</v>
      </c>
      <c r="C163" t="s">
        <v>740</v>
      </c>
      <c r="D163" t="s">
        <v>741</v>
      </c>
      <c r="E163">
        <v>0</v>
      </c>
      <c r="F163" t="s">
        <v>742</v>
      </c>
      <c r="G163">
        <v>45</v>
      </c>
      <c r="H163" t="s">
        <v>747</v>
      </c>
      <c r="I163">
        <v>0</v>
      </c>
      <c r="J163" t="s">
        <v>743</v>
      </c>
      <c r="K163" t="s">
        <v>748</v>
      </c>
    </row>
    <row r="164" spans="1:11" ht="15" customHeight="1" x14ac:dyDescent="0.3">
      <c r="A164" t="s">
        <v>292</v>
      </c>
      <c r="B164">
        <v>0.03</v>
      </c>
      <c r="C164" t="s">
        <v>740</v>
      </c>
      <c r="D164" t="s">
        <v>741</v>
      </c>
      <c r="E164">
        <v>0</v>
      </c>
      <c r="F164" t="s">
        <v>742</v>
      </c>
      <c r="G164">
        <v>20</v>
      </c>
      <c r="H164" t="s">
        <v>741</v>
      </c>
      <c r="I164">
        <v>0</v>
      </c>
      <c r="J164" t="s">
        <v>743</v>
      </c>
      <c r="K164" t="s">
        <v>744</v>
      </c>
    </row>
    <row r="165" spans="1:11" ht="15" customHeight="1" x14ac:dyDescent="0.3">
      <c r="A165" t="s">
        <v>293</v>
      </c>
      <c r="B165">
        <v>0.03</v>
      </c>
      <c r="C165" t="s">
        <v>740</v>
      </c>
      <c r="D165" t="s">
        <v>741</v>
      </c>
      <c r="E165">
        <v>0</v>
      </c>
      <c r="F165" t="s">
        <v>742</v>
      </c>
      <c r="G165">
        <v>25</v>
      </c>
      <c r="H165" t="s">
        <v>741</v>
      </c>
      <c r="I165">
        <v>0</v>
      </c>
      <c r="J165" t="s">
        <v>743</v>
      </c>
      <c r="K165" t="s">
        <v>744</v>
      </c>
    </row>
    <row r="166" spans="1:11" ht="15" customHeight="1" x14ac:dyDescent="0.3">
      <c r="A166" t="s">
        <v>294</v>
      </c>
      <c r="B166">
        <v>0.01</v>
      </c>
      <c r="C166" t="s">
        <v>740</v>
      </c>
      <c r="D166" t="s">
        <v>741</v>
      </c>
      <c r="E166">
        <v>0</v>
      </c>
      <c r="F166" t="s">
        <v>742</v>
      </c>
      <c r="G166">
        <v>70</v>
      </c>
      <c r="H166" t="s">
        <v>747</v>
      </c>
      <c r="I166">
        <v>0</v>
      </c>
      <c r="J166" t="s">
        <v>743</v>
      </c>
      <c r="K166" t="s">
        <v>748</v>
      </c>
    </row>
    <row r="167" spans="1:11" ht="15" customHeight="1" x14ac:dyDescent="0.3">
      <c r="A167" t="s">
        <v>295</v>
      </c>
      <c r="B167">
        <v>0</v>
      </c>
      <c r="C167" t="s">
        <v>745</v>
      </c>
      <c r="D167" t="s">
        <v>743</v>
      </c>
      <c r="E167">
        <v>0</v>
      </c>
      <c r="F167" t="s">
        <v>742</v>
      </c>
      <c r="G167">
        <v>20</v>
      </c>
      <c r="H167" t="s">
        <v>741</v>
      </c>
      <c r="I167">
        <v>0</v>
      </c>
      <c r="J167" t="s">
        <v>743</v>
      </c>
      <c r="K167" t="s">
        <v>744</v>
      </c>
    </row>
    <row r="168" spans="1:11" ht="15" customHeight="1" x14ac:dyDescent="0.3">
      <c r="A168" t="s">
        <v>296</v>
      </c>
      <c r="B168">
        <v>0</v>
      </c>
      <c r="C168" t="s">
        <v>745</v>
      </c>
      <c r="D168" t="s">
        <v>743</v>
      </c>
      <c r="E168">
        <v>0</v>
      </c>
      <c r="F168" t="s">
        <v>742</v>
      </c>
      <c r="G168">
        <v>45</v>
      </c>
      <c r="H168" t="s">
        <v>747</v>
      </c>
      <c r="I168">
        <v>0</v>
      </c>
      <c r="J168" t="s">
        <v>743</v>
      </c>
      <c r="K168" t="s">
        <v>748</v>
      </c>
    </row>
    <row r="169" spans="1:11" ht="15" customHeight="1" x14ac:dyDescent="0.3">
      <c r="A169" t="s">
        <v>298</v>
      </c>
      <c r="B169">
        <v>0.01</v>
      </c>
      <c r="C169" t="s">
        <v>740</v>
      </c>
      <c r="D169" t="s">
        <v>741</v>
      </c>
      <c r="E169">
        <v>0</v>
      </c>
      <c r="F169" t="s">
        <v>742</v>
      </c>
      <c r="G169">
        <v>140</v>
      </c>
      <c r="H169" t="s">
        <v>749</v>
      </c>
      <c r="I169">
        <v>0</v>
      </c>
      <c r="J169" t="s">
        <v>743</v>
      </c>
      <c r="K169" t="s">
        <v>748</v>
      </c>
    </row>
    <row r="170" spans="1:11" ht="15" customHeight="1" x14ac:dyDescent="0.3">
      <c r="A170" t="s">
        <v>299</v>
      </c>
      <c r="B170">
        <v>0.01</v>
      </c>
      <c r="C170" t="s">
        <v>740</v>
      </c>
      <c r="D170" t="s">
        <v>741</v>
      </c>
      <c r="E170">
        <v>0</v>
      </c>
      <c r="F170" t="s">
        <v>742</v>
      </c>
      <c r="G170">
        <v>184.9</v>
      </c>
      <c r="H170" t="s">
        <v>749</v>
      </c>
      <c r="I170">
        <v>0</v>
      </c>
      <c r="J170" t="s">
        <v>743</v>
      </c>
      <c r="K170" t="s">
        <v>748</v>
      </c>
    </row>
    <row r="171" spans="1:11" ht="15" customHeight="1" x14ac:dyDescent="0.3">
      <c r="A171" t="s">
        <v>250</v>
      </c>
      <c r="B171">
        <v>0.01</v>
      </c>
      <c r="C171" t="s">
        <v>740</v>
      </c>
      <c r="D171" t="s">
        <v>741</v>
      </c>
      <c r="E171">
        <v>0</v>
      </c>
      <c r="F171" t="s">
        <v>742</v>
      </c>
      <c r="G171">
        <v>150</v>
      </c>
      <c r="H171" t="s">
        <v>749</v>
      </c>
      <c r="I171">
        <v>0</v>
      </c>
      <c r="J171" t="s">
        <v>743</v>
      </c>
      <c r="K171" t="s">
        <v>748</v>
      </c>
    </row>
    <row r="172" spans="1:11" ht="15" customHeight="1" x14ac:dyDescent="0.3">
      <c r="A172" t="s">
        <v>251</v>
      </c>
      <c r="B172">
        <v>0.01</v>
      </c>
      <c r="C172" t="s">
        <v>740</v>
      </c>
      <c r="D172" t="s">
        <v>741</v>
      </c>
      <c r="E172">
        <v>0</v>
      </c>
      <c r="F172" t="s">
        <v>742</v>
      </c>
      <c r="G172">
        <v>250</v>
      </c>
      <c r="H172" t="s">
        <v>753</v>
      </c>
      <c r="I172">
        <v>0</v>
      </c>
      <c r="J172" t="s">
        <v>743</v>
      </c>
      <c r="K172" t="s">
        <v>748</v>
      </c>
    </row>
    <row r="173" spans="1:11" ht="15" customHeight="1" x14ac:dyDescent="0.3">
      <c r="A173" t="s">
        <v>252</v>
      </c>
      <c r="B173">
        <v>0</v>
      </c>
      <c r="C173" t="s">
        <v>745</v>
      </c>
      <c r="D173" t="s">
        <v>743</v>
      </c>
      <c r="E173">
        <v>0</v>
      </c>
      <c r="F173" t="s">
        <v>742</v>
      </c>
      <c r="G173">
        <v>15</v>
      </c>
      <c r="H173" t="s">
        <v>741</v>
      </c>
      <c r="I173">
        <v>0</v>
      </c>
      <c r="J173" t="s">
        <v>743</v>
      </c>
      <c r="K173" t="s">
        <v>744</v>
      </c>
    </row>
    <row r="174" spans="1:11" ht="15" customHeight="1" x14ac:dyDescent="0.3">
      <c r="A174" t="s">
        <v>253</v>
      </c>
      <c r="B174">
        <v>0.01</v>
      </c>
      <c r="C174" t="s">
        <v>740</v>
      </c>
      <c r="D174" t="s">
        <v>741</v>
      </c>
      <c r="E174">
        <v>0</v>
      </c>
      <c r="F174" t="s">
        <v>742</v>
      </c>
      <c r="G174">
        <v>220</v>
      </c>
      <c r="H174" t="s">
        <v>749</v>
      </c>
      <c r="I174">
        <v>0</v>
      </c>
      <c r="J174" t="s">
        <v>743</v>
      </c>
      <c r="K174" t="s">
        <v>748</v>
      </c>
    </row>
    <row r="175" spans="1:11" ht="15" customHeight="1" x14ac:dyDescent="0.3">
      <c r="A175" t="s">
        <v>254</v>
      </c>
      <c r="B175">
        <v>0.01</v>
      </c>
      <c r="C175" t="s">
        <v>740</v>
      </c>
      <c r="D175" t="s">
        <v>741</v>
      </c>
      <c r="E175">
        <v>0</v>
      </c>
      <c r="F175" t="s">
        <v>742</v>
      </c>
      <c r="G175">
        <v>230</v>
      </c>
      <c r="H175" t="s">
        <v>749</v>
      </c>
      <c r="I175">
        <v>0</v>
      </c>
      <c r="J175" t="s">
        <v>743</v>
      </c>
      <c r="K175" t="s">
        <v>748</v>
      </c>
    </row>
    <row r="176" spans="1:11" ht="15" customHeight="1" x14ac:dyDescent="0.3">
      <c r="A176" t="s">
        <v>301</v>
      </c>
      <c r="B176">
        <v>0.01</v>
      </c>
      <c r="C176" t="s">
        <v>740</v>
      </c>
      <c r="D176" t="s">
        <v>741</v>
      </c>
      <c r="E176">
        <v>0</v>
      </c>
      <c r="F176" t="s">
        <v>742</v>
      </c>
      <c r="G176">
        <v>150</v>
      </c>
      <c r="H176" t="s">
        <v>749</v>
      </c>
      <c r="I176">
        <v>0</v>
      </c>
      <c r="J176" t="s">
        <v>743</v>
      </c>
      <c r="K176" t="s">
        <v>748</v>
      </c>
    </row>
    <row r="177" spans="1:11" ht="15" customHeight="1" x14ac:dyDescent="0.3">
      <c r="A177" t="s">
        <v>302</v>
      </c>
      <c r="B177">
        <v>0.02</v>
      </c>
      <c r="C177" t="s">
        <v>740</v>
      </c>
      <c r="D177" t="s">
        <v>741</v>
      </c>
      <c r="E177">
        <v>0</v>
      </c>
      <c r="F177" t="s">
        <v>742</v>
      </c>
      <c r="G177">
        <v>290</v>
      </c>
      <c r="H177" t="s">
        <v>753</v>
      </c>
      <c r="I177">
        <v>0</v>
      </c>
      <c r="J177" t="s">
        <v>743</v>
      </c>
      <c r="K177" t="s">
        <v>748</v>
      </c>
    </row>
    <row r="178" spans="1:11" ht="15" customHeight="1" x14ac:dyDescent="0.3">
      <c r="A178" t="s">
        <v>303</v>
      </c>
      <c r="B178">
        <v>0.02</v>
      </c>
      <c r="C178" t="s">
        <v>740</v>
      </c>
      <c r="D178" t="s">
        <v>741</v>
      </c>
      <c r="E178">
        <v>0</v>
      </c>
      <c r="F178" t="s">
        <v>742</v>
      </c>
      <c r="G178">
        <v>290</v>
      </c>
      <c r="H178" t="s">
        <v>753</v>
      </c>
      <c r="I178">
        <v>0</v>
      </c>
      <c r="J178" t="s">
        <v>743</v>
      </c>
      <c r="K178" t="s">
        <v>748</v>
      </c>
    </row>
    <row r="179" spans="1:11" ht="15" customHeight="1" x14ac:dyDescent="0.3">
      <c r="A179" t="s">
        <v>304</v>
      </c>
      <c r="B179">
        <v>0</v>
      </c>
      <c r="C179" t="s">
        <v>745</v>
      </c>
      <c r="D179" t="s">
        <v>743</v>
      </c>
      <c r="E179">
        <v>0</v>
      </c>
      <c r="F179" t="s">
        <v>742</v>
      </c>
      <c r="G179">
        <v>60</v>
      </c>
      <c r="H179" t="s">
        <v>747</v>
      </c>
      <c r="I179">
        <v>0</v>
      </c>
      <c r="J179" t="s">
        <v>743</v>
      </c>
      <c r="K179" t="s">
        <v>744</v>
      </c>
    </row>
    <row r="180" spans="1:11" ht="15" customHeight="1" x14ac:dyDescent="0.3">
      <c r="A180" t="s">
        <v>306</v>
      </c>
      <c r="B180">
        <v>0</v>
      </c>
      <c r="C180" t="s">
        <v>745</v>
      </c>
      <c r="D180" t="s">
        <v>743</v>
      </c>
      <c r="E180">
        <v>0</v>
      </c>
      <c r="F180" t="s">
        <v>742</v>
      </c>
      <c r="G180">
        <v>40</v>
      </c>
      <c r="H180" t="s">
        <v>747</v>
      </c>
      <c r="I180">
        <v>0</v>
      </c>
      <c r="J180" t="s">
        <v>743</v>
      </c>
      <c r="K180" t="s">
        <v>746</v>
      </c>
    </row>
    <row r="181" spans="1:11" ht="15" customHeight="1" x14ac:dyDescent="0.3">
      <c r="A181" t="s">
        <v>308</v>
      </c>
      <c r="B181">
        <v>0</v>
      </c>
      <c r="C181" t="s">
        <v>745</v>
      </c>
      <c r="D181" t="s">
        <v>743</v>
      </c>
      <c r="E181">
        <v>0</v>
      </c>
      <c r="F181" t="s">
        <v>742</v>
      </c>
      <c r="G181">
        <v>60</v>
      </c>
      <c r="H181" t="s">
        <v>747</v>
      </c>
      <c r="I181">
        <v>0</v>
      </c>
      <c r="J181" t="s">
        <v>743</v>
      </c>
      <c r="K181" t="s">
        <v>744</v>
      </c>
    </row>
    <row r="182" spans="1:11" ht="15" customHeight="1" x14ac:dyDescent="0.3">
      <c r="A182" t="s">
        <v>310</v>
      </c>
      <c r="B182">
        <v>0.02</v>
      </c>
      <c r="C182" t="s">
        <v>740</v>
      </c>
      <c r="D182" t="s">
        <v>741</v>
      </c>
      <c r="E182">
        <v>0</v>
      </c>
      <c r="F182" t="s">
        <v>742</v>
      </c>
      <c r="G182">
        <v>85</v>
      </c>
      <c r="H182" t="s">
        <v>749</v>
      </c>
      <c r="I182">
        <v>0</v>
      </c>
      <c r="J182" t="s">
        <v>743</v>
      </c>
      <c r="K182" t="s">
        <v>748</v>
      </c>
    </row>
    <row r="183" spans="1:11" ht="15" customHeight="1" x14ac:dyDescent="0.3">
      <c r="A183" t="s">
        <v>311</v>
      </c>
      <c r="B183">
        <v>0.06</v>
      </c>
      <c r="C183" t="s">
        <v>740</v>
      </c>
      <c r="D183" t="s">
        <v>747</v>
      </c>
      <c r="E183">
        <v>0</v>
      </c>
      <c r="F183" t="s">
        <v>742</v>
      </c>
      <c r="G183">
        <v>45</v>
      </c>
      <c r="H183" t="s">
        <v>747</v>
      </c>
      <c r="I183">
        <v>0</v>
      </c>
      <c r="J183" t="s">
        <v>743</v>
      </c>
      <c r="K183" t="s">
        <v>748</v>
      </c>
    </row>
    <row r="184" spans="1:11" ht="15" customHeight="1" x14ac:dyDescent="0.3">
      <c r="A184" t="s">
        <v>312</v>
      </c>
      <c r="B184">
        <v>0.28000000000000003</v>
      </c>
      <c r="C184" t="s">
        <v>740</v>
      </c>
      <c r="D184" t="s">
        <v>749</v>
      </c>
      <c r="E184">
        <v>0</v>
      </c>
      <c r="F184" t="s">
        <v>742</v>
      </c>
      <c r="G184">
        <v>500</v>
      </c>
      <c r="H184" t="s">
        <v>753</v>
      </c>
      <c r="I184">
        <v>0</v>
      </c>
      <c r="J184" t="s">
        <v>743</v>
      </c>
      <c r="K184" t="s">
        <v>748</v>
      </c>
    </row>
    <row r="185" spans="1:11" ht="15" customHeight="1" x14ac:dyDescent="0.3">
      <c r="A185" t="s">
        <v>313</v>
      </c>
      <c r="B185">
        <v>9.08</v>
      </c>
      <c r="C185" t="s">
        <v>740</v>
      </c>
      <c r="D185" t="s">
        <v>753</v>
      </c>
      <c r="E185">
        <v>0</v>
      </c>
      <c r="F185" t="s">
        <v>742</v>
      </c>
      <c r="G185">
        <v>1500</v>
      </c>
      <c r="H185" t="s">
        <v>753</v>
      </c>
      <c r="I185">
        <v>0</v>
      </c>
      <c r="J185" t="s">
        <v>743</v>
      </c>
      <c r="K185" t="s">
        <v>748</v>
      </c>
    </row>
    <row r="186" spans="1:11" ht="15" customHeight="1" x14ac:dyDescent="0.3">
      <c r="A186" t="s">
        <v>314</v>
      </c>
      <c r="B186">
        <v>9.08</v>
      </c>
      <c r="C186" t="s">
        <v>740</v>
      </c>
      <c r="D186" t="s">
        <v>753</v>
      </c>
      <c r="E186">
        <v>0</v>
      </c>
      <c r="F186" t="s">
        <v>742</v>
      </c>
      <c r="G186">
        <v>1500</v>
      </c>
      <c r="H186" t="s">
        <v>753</v>
      </c>
      <c r="I186">
        <v>0</v>
      </c>
      <c r="J186" t="s">
        <v>743</v>
      </c>
      <c r="K186" t="s">
        <v>748</v>
      </c>
    </row>
    <row r="187" spans="1:11" ht="15" customHeight="1" x14ac:dyDescent="0.3">
      <c r="A187" t="s">
        <v>315</v>
      </c>
      <c r="B187">
        <v>0.02</v>
      </c>
      <c r="C187" t="s">
        <v>740</v>
      </c>
      <c r="D187" t="s">
        <v>741</v>
      </c>
      <c r="E187">
        <v>0</v>
      </c>
      <c r="F187" t="s">
        <v>742</v>
      </c>
      <c r="G187">
        <v>80</v>
      </c>
      <c r="H187" t="s">
        <v>749</v>
      </c>
      <c r="I187">
        <v>0</v>
      </c>
      <c r="J187" t="s">
        <v>743</v>
      </c>
      <c r="K187" t="s">
        <v>744</v>
      </c>
    </row>
    <row r="188" spans="1:11" ht="15" customHeight="1" x14ac:dyDescent="0.3">
      <c r="A188" t="s">
        <v>316</v>
      </c>
      <c r="B188">
        <v>0.02</v>
      </c>
      <c r="C188" t="s">
        <v>740</v>
      </c>
      <c r="D188" t="s">
        <v>741</v>
      </c>
      <c r="E188">
        <v>0</v>
      </c>
      <c r="F188" t="s">
        <v>742</v>
      </c>
      <c r="G188">
        <v>95</v>
      </c>
      <c r="H188" t="s">
        <v>749</v>
      </c>
      <c r="I188">
        <v>0</v>
      </c>
      <c r="J188" t="s">
        <v>743</v>
      </c>
      <c r="K188" t="s">
        <v>748</v>
      </c>
    </row>
    <row r="189" spans="1:11" ht="15" customHeight="1" x14ac:dyDescent="0.3">
      <c r="A189" t="s">
        <v>756</v>
      </c>
      <c r="B189">
        <v>0.05</v>
      </c>
      <c r="C189" t="s">
        <v>740</v>
      </c>
      <c r="D189" t="s">
        <v>747</v>
      </c>
      <c r="E189">
        <v>0</v>
      </c>
      <c r="F189" t="s">
        <v>742</v>
      </c>
      <c r="G189">
        <v>65</v>
      </c>
      <c r="H189" t="s">
        <v>747</v>
      </c>
      <c r="I189">
        <v>0</v>
      </c>
      <c r="J189" t="s">
        <v>743</v>
      </c>
      <c r="K189" t="s">
        <v>748</v>
      </c>
    </row>
    <row r="190" spans="1:11" ht="15" customHeight="1" x14ac:dyDescent="0.3">
      <c r="A190" t="s">
        <v>318</v>
      </c>
      <c r="B190">
        <v>0.08</v>
      </c>
      <c r="C190" t="s">
        <v>740</v>
      </c>
      <c r="D190" t="s">
        <v>747</v>
      </c>
      <c r="E190">
        <v>0</v>
      </c>
      <c r="F190" t="s">
        <v>742</v>
      </c>
      <c r="G190">
        <v>145</v>
      </c>
      <c r="H190" t="s">
        <v>749</v>
      </c>
      <c r="I190">
        <v>0</v>
      </c>
      <c r="J190" t="s">
        <v>743</v>
      </c>
      <c r="K190" t="s">
        <v>748</v>
      </c>
    </row>
    <row r="191" spans="1:11" ht="15" customHeight="1" x14ac:dyDescent="0.3">
      <c r="A191" t="s">
        <v>319</v>
      </c>
      <c r="B191">
        <v>0.08</v>
      </c>
      <c r="C191" t="s">
        <v>740</v>
      </c>
      <c r="D191" t="s">
        <v>747</v>
      </c>
      <c r="E191">
        <v>0</v>
      </c>
      <c r="F191" t="s">
        <v>742</v>
      </c>
      <c r="G191">
        <v>120</v>
      </c>
      <c r="H191" t="s">
        <v>749</v>
      </c>
      <c r="I191">
        <v>0</v>
      </c>
      <c r="J191" t="s">
        <v>743</v>
      </c>
      <c r="K191" t="s">
        <v>744</v>
      </c>
    </row>
    <row r="192" spans="1:11" ht="15" customHeight="1" x14ac:dyDescent="0.3">
      <c r="A192" t="s">
        <v>325</v>
      </c>
      <c r="B192">
        <v>0.15</v>
      </c>
      <c r="C192" t="s">
        <v>757</v>
      </c>
      <c r="D192" t="s">
        <v>747</v>
      </c>
      <c r="E192">
        <v>0.4</v>
      </c>
      <c r="F192" t="s">
        <v>751</v>
      </c>
      <c r="G192">
        <v>0</v>
      </c>
      <c r="H192" t="s">
        <v>743</v>
      </c>
      <c r="I192">
        <v>0</v>
      </c>
      <c r="J192" t="s">
        <v>743</v>
      </c>
      <c r="K192" t="s">
        <v>744</v>
      </c>
    </row>
    <row r="193" spans="1:11" ht="15" customHeight="1" x14ac:dyDescent="0.3">
      <c r="A193" t="s">
        <v>326</v>
      </c>
      <c r="B193">
        <v>0.15</v>
      </c>
      <c r="C193" t="s">
        <v>757</v>
      </c>
      <c r="D193" t="s">
        <v>747</v>
      </c>
      <c r="E193">
        <v>0.4</v>
      </c>
      <c r="F193" t="s">
        <v>751</v>
      </c>
      <c r="G193">
        <v>0</v>
      </c>
      <c r="H193" t="s">
        <v>743</v>
      </c>
      <c r="I193">
        <v>0</v>
      </c>
      <c r="J193" t="s">
        <v>743</v>
      </c>
      <c r="K193" t="s">
        <v>746</v>
      </c>
    </row>
    <row r="194" spans="1:11" ht="15" customHeight="1" x14ac:dyDescent="0.3">
      <c r="A194" t="s">
        <v>327</v>
      </c>
      <c r="B194">
        <v>0.05</v>
      </c>
      <c r="C194" t="s">
        <v>757</v>
      </c>
      <c r="D194" t="s">
        <v>741</v>
      </c>
      <c r="E194">
        <v>0.1</v>
      </c>
      <c r="F194" t="s">
        <v>751</v>
      </c>
      <c r="G194">
        <v>0</v>
      </c>
      <c r="H194" t="s">
        <v>743</v>
      </c>
      <c r="I194">
        <v>0</v>
      </c>
      <c r="J194" t="s">
        <v>743</v>
      </c>
      <c r="K194" t="s">
        <v>746</v>
      </c>
    </row>
    <row r="195" spans="1:11" ht="15" customHeight="1" x14ac:dyDescent="0.3">
      <c r="A195" t="s">
        <v>328</v>
      </c>
      <c r="B195">
        <v>0.05</v>
      </c>
      <c r="C195" t="s">
        <v>757</v>
      </c>
      <c r="D195" t="s">
        <v>741</v>
      </c>
      <c r="E195">
        <v>0.1</v>
      </c>
      <c r="F195" t="s">
        <v>751</v>
      </c>
      <c r="G195">
        <v>0</v>
      </c>
      <c r="H195" t="s">
        <v>743</v>
      </c>
      <c r="I195">
        <v>0</v>
      </c>
      <c r="J195" t="s">
        <v>743</v>
      </c>
      <c r="K195" t="s">
        <v>744</v>
      </c>
    </row>
    <row r="196" spans="1:11" ht="15" customHeight="1" x14ac:dyDescent="0.3">
      <c r="A196" t="s">
        <v>329</v>
      </c>
      <c r="B196">
        <v>0.08</v>
      </c>
      <c r="C196" t="s">
        <v>757</v>
      </c>
      <c r="D196" t="s">
        <v>747</v>
      </c>
      <c r="E196">
        <v>0.2</v>
      </c>
      <c r="F196" t="s">
        <v>751</v>
      </c>
      <c r="G196">
        <v>0</v>
      </c>
      <c r="H196" t="s">
        <v>743</v>
      </c>
      <c r="I196">
        <v>0</v>
      </c>
      <c r="J196" t="s">
        <v>743</v>
      </c>
      <c r="K196" t="s">
        <v>744</v>
      </c>
    </row>
    <row r="197" spans="1:11" ht="15" customHeight="1" x14ac:dyDescent="0.3">
      <c r="A197" t="s">
        <v>330</v>
      </c>
      <c r="B197">
        <v>0.01</v>
      </c>
      <c r="C197" t="s">
        <v>757</v>
      </c>
      <c r="D197" t="s">
        <v>741</v>
      </c>
      <c r="E197">
        <v>0</v>
      </c>
      <c r="F197" t="s">
        <v>742</v>
      </c>
      <c r="G197">
        <v>0</v>
      </c>
      <c r="H197" t="s">
        <v>743</v>
      </c>
      <c r="I197">
        <v>0</v>
      </c>
      <c r="J197" t="s">
        <v>743</v>
      </c>
      <c r="K197" t="s">
        <v>744</v>
      </c>
    </row>
    <row r="198" spans="1:11" ht="15" customHeight="1" x14ac:dyDescent="0.3">
      <c r="A198" t="s">
        <v>331</v>
      </c>
      <c r="B198">
        <v>0.04</v>
      </c>
      <c r="C198" t="s">
        <v>757</v>
      </c>
      <c r="D198" t="s">
        <v>741</v>
      </c>
      <c r="E198">
        <v>0.1</v>
      </c>
      <c r="F198" t="s">
        <v>751</v>
      </c>
      <c r="G198">
        <v>0</v>
      </c>
      <c r="H198" t="s">
        <v>743</v>
      </c>
      <c r="I198">
        <v>0</v>
      </c>
      <c r="J198" t="s">
        <v>743</v>
      </c>
      <c r="K198" t="s">
        <v>744</v>
      </c>
    </row>
    <row r="199" spans="1:11" ht="15" customHeight="1" x14ac:dyDescent="0.3">
      <c r="A199" t="s">
        <v>332</v>
      </c>
      <c r="B199">
        <v>0.02</v>
      </c>
      <c r="C199" t="s">
        <v>757</v>
      </c>
      <c r="D199" t="s">
        <v>741</v>
      </c>
      <c r="E199">
        <v>0</v>
      </c>
      <c r="F199" t="s">
        <v>742</v>
      </c>
      <c r="G199">
        <v>0</v>
      </c>
      <c r="H199" t="s">
        <v>743</v>
      </c>
      <c r="I199">
        <v>0</v>
      </c>
      <c r="J199" t="s">
        <v>743</v>
      </c>
      <c r="K199" t="s">
        <v>744</v>
      </c>
    </row>
    <row r="200" spans="1:11" ht="15" customHeight="1" x14ac:dyDescent="0.3">
      <c r="A200" t="s">
        <v>333</v>
      </c>
      <c r="B200">
        <v>0.01</v>
      </c>
      <c r="C200" t="s">
        <v>757</v>
      </c>
      <c r="D200" t="s">
        <v>741</v>
      </c>
      <c r="E200">
        <v>0</v>
      </c>
      <c r="F200" t="s">
        <v>742</v>
      </c>
      <c r="G200">
        <v>0</v>
      </c>
      <c r="H200" t="s">
        <v>743</v>
      </c>
      <c r="I200">
        <v>0</v>
      </c>
      <c r="J200" t="s">
        <v>743</v>
      </c>
      <c r="K200" t="s">
        <v>744</v>
      </c>
    </row>
    <row r="201" spans="1:11" ht="15" customHeight="1" x14ac:dyDescent="0.3">
      <c r="A201" t="s">
        <v>334</v>
      </c>
      <c r="B201">
        <v>0.02</v>
      </c>
      <c r="C201" t="s">
        <v>757</v>
      </c>
      <c r="D201" t="s">
        <v>741</v>
      </c>
      <c r="E201">
        <v>0</v>
      </c>
      <c r="F201" t="s">
        <v>742</v>
      </c>
      <c r="G201">
        <v>0</v>
      </c>
      <c r="H201" t="s">
        <v>743</v>
      </c>
      <c r="I201">
        <v>0</v>
      </c>
      <c r="J201" t="s">
        <v>743</v>
      </c>
      <c r="K201" t="s">
        <v>744</v>
      </c>
    </row>
    <row r="202" spans="1:11" ht="15" customHeight="1" x14ac:dyDescent="0.3">
      <c r="A202" t="s">
        <v>335</v>
      </c>
      <c r="B202">
        <v>0.15</v>
      </c>
      <c r="C202" t="s">
        <v>757</v>
      </c>
      <c r="D202" t="s">
        <v>747</v>
      </c>
      <c r="E202">
        <v>0.4</v>
      </c>
      <c r="F202" t="s">
        <v>751</v>
      </c>
      <c r="G202">
        <v>0</v>
      </c>
      <c r="H202" t="s">
        <v>743</v>
      </c>
      <c r="I202">
        <v>0</v>
      </c>
      <c r="J202" t="s">
        <v>743</v>
      </c>
      <c r="K202" t="s">
        <v>744</v>
      </c>
    </row>
    <row r="203" spans="1:11" ht="15" customHeight="1" x14ac:dyDescent="0.3">
      <c r="A203" t="s">
        <v>336</v>
      </c>
      <c r="B203">
        <v>0.08</v>
      </c>
      <c r="C203" t="s">
        <v>757</v>
      </c>
      <c r="D203" t="s">
        <v>747</v>
      </c>
      <c r="E203">
        <v>0.2</v>
      </c>
      <c r="F203" t="s">
        <v>751</v>
      </c>
      <c r="G203">
        <v>0</v>
      </c>
      <c r="H203" t="s">
        <v>743</v>
      </c>
      <c r="I203">
        <v>0</v>
      </c>
      <c r="J203" t="s">
        <v>743</v>
      </c>
      <c r="K203" t="s">
        <v>744</v>
      </c>
    </row>
    <row r="204" spans="1:11" ht="15" customHeight="1" x14ac:dyDescent="0.3">
      <c r="A204" t="s">
        <v>337</v>
      </c>
      <c r="B204">
        <v>0.04</v>
      </c>
      <c r="C204" t="s">
        <v>757</v>
      </c>
      <c r="D204" t="s">
        <v>741</v>
      </c>
      <c r="E204">
        <v>0.1</v>
      </c>
      <c r="F204" t="s">
        <v>751</v>
      </c>
      <c r="G204">
        <v>0</v>
      </c>
      <c r="H204" t="s">
        <v>743</v>
      </c>
      <c r="I204">
        <v>0</v>
      </c>
      <c r="J204" t="s">
        <v>743</v>
      </c>
      <c r="K204" t="s">
        <v>744</v>
      </c>
    </row>
    <row r="205" spans="1:11" ht="15" customHeight="1" x14ac:dyDescent="0.3">
      <c r="A205" t="s">
        <v>338</v>
      </c>
      <c r="B205">
        <v>0.1</v>
      </c>
      <c r="C205" t="s">
        <v>757</v>
      </c>
      <c r="D205" t="s">
        <v>747</v>
      </c>
      <c r="E205">
        <v>0.3</v>
      </c>
      <c r="F205" t="s">
        <v>751</v>
      </c>
      <c r="G205">
        <v>0</v>
      </c>
      <c r="H205" t="s">
        <v>743</v>
      </c>
      <c r="I205">
        <v>0</v>
      </c>
      <c r="J205" t="s">
        <v>743</v>
      </c>
      <c r="K205" t="s">
        <v>744</v>
      </c>
    </row>
    <row r="206" spans="1:11" ht="15" customHeight="1" x14ac:dyDescent="0.3">
      <c r="A206" t="s">
        <v>339</v>
      </c>
      <c r="B206">
        <v>0.02</v>
      </c>
      <c r="C206" t="s">
        <v>757</v>
      </c>
      <c r="D206" t="s">
        <v>741</v>
      </c>
      <c r="E206">
        <v>0</v>
      </c>
      <c r="F206" t="s">
        <v>742</v>
      </c>
      <c r="G206">
        <v>0</v>
      </c>
      <c r="H206" t="s">
        <v>743</v>
      </c>
      <c r="I206">
        <v>0</v>
      </c>
      <c r="J206" t="s">
        <v>743</v>
      </c>
      <c r="K206" t="s">
        <v>744</v>
      </c>
    </row>
    <row r="207" spans="1:11" ht="15" customHeight="1" x14ac:dyDescent="0.3">
      <c r="A207" t="s">
        <v>367</v>
      </c>
      <c r="B207">
        <v>0.05</v>
      </c>
      <c r="C207" t="s">
        <v>757</v>
      </c>
      <c r="D207" t="s">
        <v>741</v>
      </c>
      <c r="E207">
        <v>0.1</v>
      </c>
      <c r="F207" t="s">
        <v>751</v>
      </c>
      <c r="G207">
        <v>0</v>
      </c>
      <c r="H207" t="s">
        <v>743</v>
      </c>
      <c r="I207">
        <v>4000</v>
      </c>
      <c r="J207" t="s">
        <v>753</v>
      </c>
      <c r="K207" t="s">
        <v>748</v>
      </c>
    </row>
    <row r="208" spans="1:11" ht="15" customHeight="1" x14ac:dyDescent="0.3">
      <c r="A208" t="s">
        <v>368</v>
      </c>
      <c r="B208">
        <v>0.2</v>
      </c>
      <c r="C208" t="s">
        <v>740</v>
      </c>
      <c r="D208" t="s">
        <v>749</v>
      </c>
      <c r="E208">
        <v>0</v>
      </c>
      <c r="F208" t="s">
        <v>742</v>
      </c>
      <c r="G208">
        <v>40</v>
      </c>
      <c r="H208" t="s">
        <v>747</v>
      </c>
      <c r="I208">
        <v>3</v>
      </c>
      <c r="J208" t="s">
        <v>747</v>
      </c>
      <c r="K208" t="s">
        <v>748</v>
      </c>
    </row>
    <row r="209" spans="1:11" ht="15" customHeight="1" x14ac:dyDescent="0.3">
      <c r="A209" t="s">
        <v>369</v>
      </c>
      <c r="B209">
        <v>0.02</v>
      </c>
      <c r="C209" t="s">
        <v>757</v>
      </c>
      <c r="D209" t="s">
        <v>741</v>
      </c>
      <c r="E209">
        <v>0</v>
      </c>
      <c r="F209" t="s">
        <v>742</v>
      </c>
      <c r="G209">
        <v>5</v>
      </c>
      <c r="H209" t="s">
        <v>741</v>
      </c>
      <c r="I209">
        <v>3</v>
      </c>
      <c r="J209" t="s">
        <v>747</v>
      </c>
      <c r="K209" t="s">
        <v>744</v>
      </c>
    </row>
    <row r="210" spans="1:11" ht="15" customHeight="1" x14ac:dyDescent="0.3">
      <c r="A210" t="s">
        <v>370</v>
      </c>
      <c r="B210">
        <v>0.02</v>
      </c>
      <c r="C210" t="s">
        <v>757</v>
      </c>
      <c r="D210" t="s">
        <v>741</v>
      </c>
      <c r="E210">
        <v>0</v>
      </c>
      <c r="F210" t="s">
        <v>742</v>
      </c>
      <c r="G210">
        <v>5</v>
      </c>
      <c r="H210" t="s">
        <v>741</v>
      </c>
      <c r="I210">
        <v>3</v>
      </c>
      <c r="J210" t="s">
        <v>747</v>
      </c>
      <c r="K210" t="s">
        <v>744</v>
      </c>
    </row>
    <row r="211" spans="1:11" ht="15" customHeight="1" x14ac:dyDescent="0.3">
      <c r="A211" t="s">
        <v>371</v>
      </c>
      <c r="B211">
        <v>0.01</v>
      </c>
      <c r="C211" t="s">
        <v>757</v>
      </c>
      <c r="D211" t="s">
        <v>741</v>
      </c>
      <c r="E211">
        <v>0</v>
      </c>
      <c r="F211" t="s">
        <v>742</v>
      </c>
      <c r="G211">
        <v>0</v>
      </c>
      <c r="H211" t="s">
        <v>743</v>
      </c>
      <c r="I211">
        <v>3</v>
      </c>
      <c r="J211" t="s">
        <v>747</v>
      </c>
      <c r="K211" t="s">
        <v>746</v>
      </c>
    </row>
    <row r="212" spans="1:11" ht="15" customHeight="1" x14ac:dyDescent="0.3">
      <c r="A212" t="s">
        <v>372</v>
      </c>
      <c r="B212">
        <v>0.01</v>
      </c>
      <c r="C212" t="s">
        <v>757</v>
      </c>
      <c r="D212" t="s">
        <v>741</v>
      </c>
      <c r="E212">
        <v>0</v>
      </c>
      <c r="F212" t="s">
        <v>742</v>
      </c>
      <c r="G212">
        <v>0</v>
      </c>
      <c r="H212" t="s">
        <v>743</v>
      </c>
      <c r="I212">
        <v>6</v>
      </c>
      <c r="J212" t="s">
        <v>747</v>
      </c>
      <c r="K212" t="s">
        <v>748</v>
      </c>
    </row>
    <row r="213" spans="1:11" ht="15" customHeight="1" x14ac:dyDescent="0.3">
      <c r="A213" t="s">
        <v>373</v>
      </c>
      <c r="B213">
        <v>0.01</v>
      </c>
      <c r="C213" t="s">
        <v>757</v>
      </c>
      <c r="D213" t="s">
        <v>741</v>
      </c>
      <c r="E213">
        <v>0</v>
      </c>
      <c r="F213" t="s">
        <v>742</v>
      </c>
      <c r="G213">
        <v>0</v>
      </c>
      <c r="H213" t="s">
        <v>743</v>
      </c>
      <c r="I213">
        <v>6</v>
      </c>
      <c r="J213" t="s">
        <v>747</v>
      </c>
      <c r="K213" t="s">
        <v>746</v>
      </c>
    </row>
    <row r="214" spans="1:11" ht="15" customHeight="1" x14ac:dyDescent="0.3">
      <c r="A214" t="s">
        <v>374</v>
      </c>
      <c r="B214">
        <v>0.01</v>
      </c>
      <c r="C214" t="s">
        <v>757</v>
      </c>
      <c r="D214" t="s">
        <v>741</v>
      </c>
      <c r="E214">
        <v>0</v>
      </c>
      <c r="F214" t="s">
        <v>742</v>
      </c>
      <c r="G214">
        <v>0</v>
      </c>
      <c r="H214" t="s">
        <v>743</v>
      </c>
      <c r="I214">
        <v>6</v>
      </c>
      <c r="J214" t="s">
        <v>747</v>
      </c>
      <c r="K214" t="s">
        <v>744</v>
      </c>
    </row>
    <row r="215" spans="1:11" ht="15" customHeight="1" x14ac:dyDescent="0.3">
      <c r="A215" t="s">
        <v>375</v>
      </c>
      <c r="B215">
        <v>0.05</v>
      </c>
      <c r="C215" t="s">
        <v>757</v>
      </c>
      <c r="D215" t="s">
        <v>741</v>
      </c>
      <c r="E215">
        <v>0.1</v>
      </c>
      <c r="F215" t="s">
        <v>751</v>
      </c>
      <c r="G215">
        <v>5</v>
      </c>
      <c r="H215" t="s">
        <v>741</v>
      </c>
      <c r="I215">
        <v>3</v>
      </c>
      <c r="J215" t="s">
        <v>747</v>
      </c>
      <c r="K215" t="s">
        <v>744</v>
      </c>
    </row>
    <row r="216" spans="1:11" ht="15" customHeight="1" x14ac:dyDescent="0.3">
      <c r="A216" t="s">
        <v>376</v>
      </c>
      <c r="B216">
        <v>0.05</v>
      </c>
      <c r="C216" t="s">
        <v>757</v>
      </c>
      <c r="D216" t="s">
        <v>741</v>
      </c>
      <c r="E216">
        <v>0.1</v>
      </c>
      <c r="F216" t="s">
        <v>751</v>
      </c>
      <c r="G216">
        <v>5</v>
      </c>
      <c r="H216" t="s">
        <v>741</v>
      </c>
      <c r="I216">
        <v>3</v>
      </c>
      <c r="J216" t="s">
        <v>747</v>
      </c>
      <c r="K216" t="s">
        <v>744</v>
      </c>
    </row>
    <row r="217" spans="1:11" ht="15" customHeight="1" x14ac:dyDescent="0.3">
      <c r="A217" t="s">
        <v>377</v>
      </c>
      <c r="B217">
        <v>0.04</v>
      </c>
      <c r="C217" t="s">
        <v>757</v>
      </c>
      <c r="D217" t="s">
        <v>741</v>
      </c>
      <c r="E217">
        <v>0.1</v>
      </c>
      <c r="F217" t="s">
        <v>751</v>
      </c>
      <c r="G217">
        <v>0</v>
      </c>
      <c r="H217" t="s">
        <v>743</v>
      </c>
      <c r="I217">
        <v>3</v>
      </c>
      <c r="J217" t="s">
        <v>747</v>
      </c>
      <c r="K217" t="s">
        <v>746</v>
      </c>
    </row>
    <row r="218" spans="1:11" ht="15" customHeight="1" x14ac:dyDescent="0.3">
      <c r="A218" t="s">
        <v>378</v>
      </c>
      <c r="B218">
        <v>0.04</v>
      </c>
      <c r="C218" t="s">
        <v>757</v>
      </c>
      <c r="D218" t="s">
        <v>741</v>
      </c>
      <c r="E218">
        <v>0.1</v>
      </c>
      <c r="F218" t="s">
        <v>751</v>
      </c>
      <c r="G218">
        <v>0</v>
      </c>
      <c r="H218" t="s">
        <v>743</v>
      </c>
      <c r="I218">
        <v>6</v>
      </c>
      <c r="J218" t="s">
        <v>747</v>
      </c>
      <c r="K218" t="s">
        <v>746</v>
      </c>
    </row>
    <row r="219" spans="1:11" ht="15" customHeight="1" x14ac:dyDescent="0.3">
      <c r="A219" t="s">
        <v>379</v>
      </c>
      <c r="B219">
        <v>0.03</v>
      </c>
      <c r="C219" t="s">
        <v>757</v>
      </c>
      <c r="D219" t="s">
        <v>741</v>
      </c>
      <c r="E219">
        <v>0</v>
      </c>
      <c r="F219" t="s">
        <v>742</v>
      </c>
      <c r="G219">
        <v>2</v>
      </c>
      <c r="H219" t="s">
        <v>741</v>
      </c>
      <c r="I219">
        <v>2</v>
      </c>
      <c r="J219" t="s">
        <v>741</v>
      </c>
      <c r="K219" t="s">
        <v>744</v>
      </c>
    </row>
    <row r="220" spans="1:11" ht="15" customHeight="1" x14ac:dyDescent="0.3">
      <c r="A220" t="s">
        <v>380</v>
      </c>
      <c r="B220">
        <v>0.02</v>
      </c>
      <c r="C220" t="s">
        <v>757</v>
      </c>
      <c r="D220" t="s">
        <v>741</v>
      </c>
      <c r="E220">
        <v>0</v>
      </c>
      <c r="F220" t="s">
        <v>742</v>
      </c>
      <c r="G220">
        <v>0</v>
      </c>
      <c r="H220" t="s">
        <v>743</v>
      </c>
      <c r="I220">
        <v>2</v>
      </c>
      <c r="J220" t="s">
        <v>741</v>
      </c>
      <c r="K220" t="s">
        <v>746</v>
      </c>
    </row>
    <row r="221" spans="1:11" ht="15" customHeight="1" x14ac:dyDescent="0.3">
      <c r="A221" t="s">
        <v>381</v>
      </c>
      <c r="B221">
        <v>0.03</v>
      </c>
      <c r="C221" t="s">
        <v>757</v>
      </c>
      <c r="D221" t="s">
        <v>741</v>
      </c>
      <c r="E221">
        <v>0</v>
      </c>
      <c r="F221" t="s">
        <v>742</v>
      </c>
      <c r="G221">
        <v>0</v>
      </c>
      <c r="H221" t="s">
        <v>743</v>
      </c>
      <c r="I221">
        <v>2</v>
      </c>
      <c r="J221" t="s">
        <v>741</v>
      </c>
      <c r="K221" t="s">
        <v>746</v>
      </c>
    </row>
    <row r="222" spans="1:11" ht="15" customHeight="1" x14ac:dyDescent="0.3">
      <c r="A222" t="s">
        <v>382</v>
      </c>
      <c r="B222">
        <v>0.04</v>
      </c>
      <c r="C222" t="s">
        <v>757</v>
      </c>
      <c r="D222" t="s">
        <v>741</v>
      </c>
      <c r="E222">
        <v>0.1</v>
      </c>
      <c r="F222" t="s">
        <v>751</v>
      </c>
      <c r="G222">
        <v>0</v>
      </c>
      <c r="H222" t="s">
        <v>743</v>
      </c>
      <c r="I222">
        <v>6</v>
      </c>
      <c r="J222" t="s">
        <v>747</v>
      </c>
      <c r="K222" t="s">
        <v>748</v>
      </c>
    </row>
    <row r="223" spans="1:11" ht="15" customHeight="1" x14ac:dyDescent="0.3">
      <c r="A223" t="s">
        <v>383</v>
      </c>
      <c r="B223">
        <v>0.04</v>
      </c>
      <c r="C223" t="s">
        <v>757</v>
      </c>
      <c r="D223" t="s">
        <v>741</v>
      </c>
      <c r="E223">
        <v>0.1</v>
      </c>
      <c r="F223" t="s">
        <v>751</v>
      </c>
      <c r="G223">
        <v>0</v>
      </c>
      <c r="H223" t="s">
        <v>743</v>
      </c>
      <c r="I223">
        <v>6</v>
      </c>
      <c r="J223" t="s">
        <v>747</v>
      </c>
      <c r="K223" t="s">
        <v>746</v>
      </c>
    </row>
    <row r="224" spans="1:11" ht="15" customHeight="1" x14ac:dyDescent="0.3">
      <c r="A224" t="s">
        <v>384</v>
      </c>
      <c r="B224">
        <v>0.06</v>
      </c>
      <c r="C224" t="s">
        <v>757</v>
      </c>
      <c r="D224" t="s">
        <v>747</v>
      </c>
      <c r="E224">
        <v>0.2</v>
      </c>
      <c r="F224" t="s">
        <v>751</v>
      </c>
      <c r="G224">
        <v>0</v>
      </c>
      <c r="H224" t="s">
        <v>743</v>
      </c>
      <c r="I224">
        <v>6</v>
      </c>
      <c r="J224" t="s">
        <v>747</v>
      </c>
      <c r="K224" t="s">
        <v>748</v>
      </c>
    </row>
    <row r="225" spans="1:11" ht="15" customHeight="1" x14ac:dyDescent="0.3">
      <c r="A225" t="s">
        <v>345</v>
      </c>
      <c r="B225">
        <v>0.1</v>
      </c>
      <c r="C225" t="s">
        <v>757</v>
      </c>
      <c r="D225" t="s">
        <v>747</v>
      </c>
      <c r="E225">
        <v>0.3</v>
      </c>
      <c r="F225" t="s">
        <v>751</v>
      </c>
      <c r="G225">
        <v>0</v>
      </c>
      <c r="H225" t="s">
        <v>743</v>
      </c>
      <c r="I225">
        <v>0</v>
      </c>
      <c r="J225" t="s">
        <v>743</v>
      </c>
      <c r="K225" t="s">
        <v>744</v>
      </c>
    </row>
    <row r="226" spans="1:11" ht="15" customHeight="1" x14ac:dyDescent="0.3">
      <c r="A226" t="s">
        <v>346</v>
      </c>
      <c r="B226">
        <v>0.1</v>
      </c>
      <c r="C226" t="s">
        <v>757</v>
      </c>
      <c r="D226" t="s">
        <v>747</v>
      </c>
      <c r="E226">
        <v>0.3</v>
      </c>
      <c r="F226" t="s">
        <v>751</v>
      </c>
      <c r="G226">
        <v>0</v>
      </c>
      <c r="H226" t="s">
        <v>743</v>
      </c>
      <c r="I226">
        <v>0</v>
      </c>
      <c r="J226" t="s">
        <v>743</v>
      </c>
      <c r="K226" t="s">
        <v>744</v>
      </c>
    </row>
    <row r="227" spans="1:11" ht="15" customHeight="1" x14ac:dyDescent="0.3">
      <c r="A227" t="s">
        <v>349</v>
      </c>
      <c r="B227">
        <v>0.12</v>
      </c>
      <c r="C227" t="s">
        <v>757</v>
      </c>
      <c r="D227" t="s">
        <v>747</v>
      </c>
      <c r="E227">
        <v>0.3</v>
      </c>
      <c r="F227" t="s">
        <v>751</v>
      </c>
      <c r="G227">
        <v>0</v>
      </c>
      <c r="H227" t="s">
        <v>743</v>
      </c>
      <c r="I227">
        <v>0.1</v>
      </c>
      <c r="J227" t="s">
        <v>741</v>
      </c>
      <c r="K227" t="s">
        <v>744</v>
      </c>
    </row>
    <row r="228" spans="1:11" ht="15" customHeight="1" x14ac:dyDescent="0.3">
      <c r="A228" t="s">
        <v>350</v>
      </c>
      <c r="B228">
        <v>0.1</v>
      </c>
      <c r="C228" t="s">
        <v>757</v>
      </c>
      <c r="D228" t="s">
        <v>747</v>
      </c>
      <c r="E228">
        <v>0.2</v>
      </c>
      <c r="F228" t="s">
        <v>751</v>
      </c>
      <c r="G228">
        <v>0</v>
      </c>
      <c r="H228" t="s">
        <v>743</v>
      </c>
      <c r="I228">
        <v>0</v>
      </c>
      <c r="J228" t="s">
        <v>743</v>
      </c>
      <c r="K228" t="s">
        <v>744</v>
      </c>
    </row>
    <row r="229" spans="1:11" ht="15" customHeight="1" x14ac:dyDescent="0.3">
      <c r="A229" t="s">
        <v>351</v>
      </c>
      <c r="B229">
        <v>0.08</v>
      </c>
      <c r="C229" t="s">
        <v>757</v>
      </c>
      <c r="D229" t="s">
        <v>747</v>
      </c>
      <c r="E229">
        <v>0.2</v>
      </c>
      <c r="F229" t="s">
        <v>751</v>
      </c>
      <c r="G229">
        <v>0</v>
      </c>
      <c r="H229" t="s">
        <v>743</v>
      </c>
      <c r="I229">
        <v>0</v>
      </c>
      <c r="J229" t="s">
        <v>743</v>
      </c>
      <c r="K229" t="s">
        <v>744</v>
      </c>
    </row>
    <row r="230" spans="1:11" ht="15" customHeight="1" x14ac:dyDescent="0.3">
      <c r="A230" t="s">
        <v>352</v>
      </c>
      <c r="B230">
        <v>0.08</v>
      </c>
      <c r="C230" t="s">
        <v>757</v>
      </c>
      <c r="D230" t="s">
        <v>747</v>
      </c>
      <c r="E230">
        <v>0.2</v>
      </c>
      <c r="F230" t="s">
        <v>751</v>
      </c>
      <c r="G230">
        <v>0</v>
      </c>
      <c r="H230" t="s">
        <v>743</v>
      </c>
      <c r="I230">
        <v>0</v>
      </c>
      <c r="J230" t="s">
        <v>743</v>
      </c>
      <c r="K230" t="s">
        <v>744</v>
      </c>
    </row>
    <row r="231" spans="1:11" ht="15" customHeight="1" x14ac:dyDescent="0.3">
      <c r="A231" t="s">
        <v>359</v>
      </c>
      <c r="B231">
        <v>0.05</v>
      </c>
      <c r="C231" t="s">
        <v>757</v>
      </c>
      <c r="D231" t="s">
        <v>741</v>
      </c>
      <c r="E231">
        <v>0.1</v>
      </c>
      <c r="F231" t="s">
        <v>751</v>
      </c>
      <c r="G231">
        <v>0</v>
      </c>
      <c r="H231" t="s">
        <v>743</v>
      </c>
      <c r="I231">
        <v>0</v>
      </c>
      <c r="J231" t="s">
        <v>743</v>
      </c>
      <c r="K231" t="s">
        <v>744</v>
      </c>
    </row>
    <row r="232" spans="1:11" ht="15" customHeight="1" x14ac:dyDescent="0.3">
      <c r="A232" t="s">
        <v>364</v>
      </c>
      <c r="B232">
        <v>0.12</v>
      </c>
      <c r="C232" t="s">
        <v>757</v>
      </c>
      <c r="D232" t="s">
        <v>747</v>
      </c>
      <c r="E232">
        <v>0.3</v>
      </c>
      <c r="F232" t="s">
        <v>751</v>
      </c>
      <c r="G232">
        <v>0</v>
      </c>
      <c r="H232" t="s">
        <v>743</v>
      </c>
      <c r="I232">
        <v>0.1</v>
      </c>
      <c r="J232" t="s">
        <v>741</v>
      </c>
      <c r="K232" t="s">
        <v>744</v>
      </c>
    </row>
    <row r="233" spans="1:11" ht="15" customHeight="1" x14ac:dyDescent="0.3">
      <c r="A233" t="s">
        <v>365</v>
      </c>
      <c r="B233">
        <v>0.01</v>
      </c>
      <c r="C233" t="s">
        <v>757</v>
      </c>
      <c r="D233" t="s">
        <v>741</v>
      </c>
      <c r="E233">
        <v>0</v>
      </c>
      <c r="F233" t="s">
        <v>742</v>
      </c>
      <c r="G233">
        <v>0</v>
      </c>
      <c r="H233" t="s">
        <v>743</v>
      </c>
      <c r="I233">
        <v>0.1</v>
      </c>
      <c r="J233" t="s">
        <v>741</v>
      </c>
      <c r="K233" t="s">
        <v>744</v>
      </c>
    </row>
    <row r="234" spans="1:11" ht="15" customHeight="1" x14ac:dyDescent="0.3">
      <c r="A234" t="s">
        <v>341</v>
      </c>
      <c r="B234">
        <v>0.1</v>
      </c>
      <c r="C234" t="s">
        <v>757</v>
      </c>
      <c r="D234" t="s">
        <v>747</v>
      </c>
      <c r="E234">
        <v>0.3</v>
      </c>
      <c r="F234" t="s">
        <v>751</v>
      </c>
      <c r="G234">
        <v>0</v>
      </c>
      <c r="H234" t="s">
        <v>743</v>
      </c>
      <c r="I234">
        <v>0</v>
      </c>
      <c r="J234" t="s">
        <v>743</v>
      </c>
      <c r="K234" t="s">
        <v>746</v>
      </c>
    </row>
    <row r="235" spans="1:11" ht="15" customHeight="1" x14ac:dyDescent="0.3">
      <c r="A235" t="s">
        <v>353</v>
      </c>
      <c r="B235">
        <v>0.06</v>
      </c>
      <c r="C235" t="s">
        <v>757</v>
      </c>
      <c r="D235" t="s">
        <v>741</v>
      </c>
      <c r="E235">
        <v>0.1</v>
      </c>
      <c r="F235" t="s">
        <v>751</v>
      </c>
      <c r="G235">
        <v>0</v>
      </c>
      <c r="H235" t="s">
        <v>743</v>
      </c>
      <c r="I235">
        <v>0</v>
      </c>
      <c r="J235" t="s">
        <v>743</v>
      </c>
      <c r="K235" t="s">
        <v>744</v>
      </c>
    </row>
    <row r="236" spans="1:11" ht="15" customHeight="1" x14ac:dyDescent="0.3">
      <c r="A236" t="s">
        <v>355</v>
      </c>
      <c r="B236">
        <v>0.05</v>
      </c>
      <c r="C236" t="s">
        <v>757</v>
      </c>
      <c r="D236" t="s">
        <v>741</v>
      </c>
      <c r="E236">
        <v>0.1</v>
      </c>
      <c r="F236" t="s">
        <v>751</v>
      </c>
      <c r="G236">
        <v>0</v>
      </c>
      <c r="H236" t="s">
        <v>743</v>
      </c>
      <c r="I236">
        <v>0</v>
      </c>
      <c r="J236" t="s">
        <v>743</v>
      </c>
      <c r="K236" t="s">
        <v>744</v>
      </c>
    </row>
    <row r="237" spans="1:11" ht="15" customHeight="1" x14ac:dyDescent="0.3">
      <c r="A237" t="s">
        <v>362</v>
      </c>
      <c r="B237">
        <v>0.05</v>
      </c>
      <c r="C237" t="s">
        <v>757</v>
      </c>
      <c r="D237" t="s">
        <v>741</v>
      </c>
      <c r="E237">
        <v>0.1</v>
      </c>
      <c r="F237" t="s">
        <v>751</v>
      </c>
      <c r="G237">
        <v>0</v>
      </c>
      <c r="H237" t="s">
        <v>743</v>
      </c>
      <c r="I237">
        <v>0</v>
      </c>
      <c r="J237" t="s">
        <v>743</v>
      </c>
      <c r="K237" t="s">
        <v>744</v>
      </c>
    </row>
    <row r="238" spans="1:11" ht="15" customHeight="1" x14ac:dyDescent="0.3">
      <c r="A238" t="s">
        <v>360</v>
      </c>
      <c r="B238">
        <v>0.05</v>
      </c>
      <c r="C238" t="s">
        <v>757</v>
      </c>
      <c r="D238" t="s">
        <v>741</v>
      </c>
      <c r="E238">
        <v>0.1</v>
      </c>
      <c r="F238" t="s">
        <v>751</v>
      </c>
      <c r="G238">
        <v>0</v>
      </c>
      <c r="H238" t="s">
        <v>743</v>
      </c>
      <c r="I238">
        <v>0</v>
      </c>
      <c r="J238" t="s">
        <v>743</v>
      </c>
      <c r="K238" t="s">
        <v>744</v>
      </c>
    </row>
    <row r="239" spans="1:11" ht="15" customHeight="1" x14ac:dyDescent="0.3">
      <c r="A239" t="s">
        <v>343</v>
      </c>
      <c r="B239">
        <v>0.06</v>
      </c>
      <c r="C239" t="s">
        <v>757</v>
      </c>
      <c r="D239" t="s">
        <v>741</v>
      </c>
      <c r="E239">
        <v>0.1</v>
      </c>
      <c r="F239" t="s">
        <v>751</v>
      </c>
      <c r="G239">
        <v>0</v>
      </c>
      <c r="H239" t="s">
        <v>743</v>
      </c>
      <c r="I239">
        <v>0</v>
      </c>
      <c r="J239" t="s">
        <v>743</v>
      </c>
      <c r="K239" t="s">
        <v>744</v>
      </c>
    </row>
    <row r="240" spans="1:11" ht="15" customHeight="1" x14ac:dyDescent="0.3">
      <c r="A240" t="s">
        <v>357</v>
      </c>
      <c r="B240">
        <v>7.0000000000000007E-2</v>
      </c>
      <c r="C240" t="s">
        <v>757</v>
      </c>
      <c r="D240" t="s">
        <v>741</v>
      </c>
      <c r="E240">
        <v>0.2</v>
      </c>
      <c r="F240" t="s">
        <v>751</v>
      </c>
      <c r="G240">
        <v>0</v>
      </c>
      <c r="H240" t="s">
        <v>743</v>
      </c>
      <c r="I240">
        <v>0</v>
      </c>
      <c r="J240" t="s">
        <v>743</v>
      </c>
      <c r="K240" t="s">
        <v>744</v>
      </c>
    </row>
    <row r="241" spans="1:11" ht="15" customHeight="1" x14ac:dyDescent="0.3">
      <c r="A241" t="s">
        <v>347</v>
      </c>
      <c r="B241">
        <v>0.06</v>
      </c>
      <c r="C241" t="s">
        <v>757</v>
      </c>
      <c r="D241" t="s">
        <v>741</v>
      </c>
      <c r="E241">
        <v>0.2</v>
      </c>
      <c r="F241" t="s">
        <v>751</v>
      </c>
      <c r="G241">
        <v>0</v>
      </c>
      <c r="H241" t="s">
        <v>743</v>
      </c>
      <c r="I241">
        <v>0</v>
      </c>
      <c r="J241" t="s">
        <v>743</v>
      </c>
      <c r="K241" t="s">
        <v>744</v>
      </c>
    </row>
    <row r="242" spans="1:11" ht="15" customHeight="1" x14ac:dyDescent="0.3">
      <c r="A242" t="s">
        <v>451</v>
      </c>
      <c r="B242">
        <v>0.04</v>
      </c>
      <c r="C242" t="s">
        <v>740</v>
      </c>
      <c r="D242" t="s">
        <v>741</v>
      </c>
      <c r="E242">
        <v>0.2</v>
      </c>
      <c r="F242" t="s">
        <v>751</v>
      </c>
      <c r="G242">
        <v>0</v>
      </c>
      <c r="H242" t="s">
        <v>743</v>
      </c>
      <c r="I242">
        <v>0</v>
      </c>
      <c r="J242" t="s">
        <v>743</v>
      </c>
      <c r="K242" t="s">
        <v>746</v>
      </c>
    </row>
    <row r="243" spans="1:11" ht="15" customHeight="1" x14ac:dyDescent="0.3">
      <c r="A243" t="s">
        <v>452</v>
      </c>
      <c r="B243">
        <v>0.05</v>
      </c>
      <c r="C243" t="s">
        <v>740</v>
      </c>
      <c r="D243" t="s">
        <v>741</v>
      </c>
      <c r="E243">
        <v>0.3</v>
      </c>
      <c r="F243" t="s">
        <v>751</v>
      </c>
      <c r="G243">
        <v>0</v>
      </c>
      <c r="H243" t="s">
        <v>743</v>
      </c>
      <c r="I243">
        <v>0</v>
      </c>
      <c r="J243" t="s">
        <v>743</v>
      </c>
      <c r="K243" t="s">
        <v>746</v>
      </c>
    </row>
    <row r="244" spans="1:11" ht="15" customHeight="1" x14ac:dyDescent="0.3">
      <c r="A244" t="s">
        <v>453</v>
      </c>
      <c r="B244">
        <v>0.06</v>
      </c>
      <c r="C244" t="s">
        <v>740</v>
      </c>
      <c r="D244" t="s">
        <v>741</v>
      </c>
      <c r="E244">
        <v>0.4</v>
      </c>
      <c r="F244" t="s">
        <v>751</v>
      </c>
      <c r="G244">
        <v>0</v>
      </c>
      <c r="H244" t="s">
        <v>743</v>
      </c>
      <c r="I244">
        <v>0</v>
      </c>
      <c r="J244" t="s">
        <v>743</v>
      </c>
      <c r="K244" t="s">
        <v>746</v>
      </c>
    </row>
    <row r="245" spans="1:11" ht="15" customHeight="1" x14ac:dyDescent="0.3">
      <c r="A245" t="s">
        <v>454</v>
      </c>
      <c r="B245">
        <v>0.04</v>
      </c>
      <c r="C245" t="s">
        <v>740</v>
      </c>
      <c r="D245" t="s">
        <v>741</v>
      </c>
      <c r="E245">
        <v>0.2</v>
      </c>
      <c r="F245" t="s">
        <v>751</v>
      </c>
      <c r="G245">
        <v>0</v>
      </c>
      <c r="H245" t="s">
        <v>743</v>
      </c>
      <c r="I245">
        <v>0</v>
      </c>
      <c r="J245" t="s">
        <v>743</v>
      </c>
      <c r="K245" t="s">
        <v>746</v>
      </c>
    </row>
    <row r="246" spans="1:11" ht="15" customHeight="1" x14ac:dyDescent="0.3">
      <c r="A246" t="s">
        <v>455</v>
      </c>
      <c r="B246">
        <v>0.05</v>
      </c>
      <c r="C246" t="s">
        <v>740</v>
      </c>
      <c r="D246" t="s">
        <v>741</v>
      </c>
      <c r="E246">
        <v>0.3</v>
      </c>
      <c r="F246" t="s">
        <v>751</v>
      </c>
      <c r="G246">
        <v>0</v>
      </c>
      <c r="H246" t="s">
        <v>743</v>
      </c>
      <c r="I246">
        <v>0</v>
      </c>
      <c r="J246" t="s">
        <v>743</v>
      </c>
      <c r="K246" t="s">
        <v>746</v>
      </c>
    </row>
    <row r="247" spans="1:11" ht="15" customHeight="1" x14ac:dyDescent="0.3">
      <c r="A247" t="s">
        <v>456</v>
      </c>
      <c r="B247">
        <v>0.04</v>
      </c>
      <c r="C247" t="s">
        <v>740</v>
      </c>
      <c r="D247" t="s">
        <v>741</v>
      </c>
      <c r="E247">
        <v>0.2</v>
      </c>
      <c r="F247" t="s">
        <v>751</v>
      </c>
      <c r="G247">
        <v>0</v>
      </c>
      <c r="H247" t="s">
        <v>743</v>
      </c>
      <c r="I247">
        <v>0</v>
      </c>
      <c r="J247" t="s">
        <v>743</v>
      </c>
      <c r="K247" t="s">
        <v>746</v>
      </c>
    </row>
    <row r="248" spans="1:11" ht="15" customHeight="1" x14ac:dyDescent="0.3">
      <c r="A248" t="s">
        <v>457</v>
      </c>
      <c r="B248">
        <v>0.03</v>
      </c>
      <c r="C248" t="s">
        <v>740</v>
      </c>
      <c r="D248" t="s">
        <v>741</v>
      </c>
      <c r="E248">
        <v>0.1</v>
      </c>
      <c r="F248" t="s">
        <v>751</v>
      </c>
      <c r="G248">
        <v>0</v>
      </c>
      <c r="H248" t="s">
        <v>743</v>
      </c>
      <c r="I248">
        <v>0</v>
      </c>
      <c r="J248" t="s">
        <v>743</v>
      </c>
      <c r="K248" t="s">
        <v>746</v>
      </c>
    </row>
    <row r="249" spans="1:11" ht="15" customHeight="1" x14ac:dyDescent="0.3">
      <c r="A249" t="s">
        <v>458</v>
      </c>
      <c r="B249">
        <v>0.06</v>
      </c>
      <c r="C249" t="s">
        <v>740</v>
      </c>
      <c r="D249" t="s">
        <v>741</v>
      </c>
      <c r="E249">
        <v>0.4</v>
      </c>
      <c r="F249" t="s">
        <v>751</v>
      </c>
      <c r="G249">
        <v>0</v>
      </c>
      <c r="H249" t="s">
        <v>743</v>
      </c>
      <c r="I249">
        <v>0</v>
      </c>
      <c r="J249" t="s">
        <v>743</v>
      </c>
      <c r="K249" t="s">
        <v>746</v>
      </c>
    </row>
    <row r="250" spans="1:11" ht="15" customHeight="1" x14ac:dyDescent="0.3">
      <c r="A250" t="s">
        <v>459</v>
      </c>
      <c r="B250">
        <v>0.04</v>
      </c>
      <c r="C250" t="s">
        <v>740</v>
      </c>
      <c r="D250" t="s">
        <v>741</v>
      </c>
      <c r="E250">
        <v>0.2</v>
      </c>
      <c r="F250" t="s">
        <v>751</v>
      </c>
      <c r="G250">
        <v>0</v>
      </c>
      <c r="H250" t="s">
        <v>743</v>
      </c>
      <c r="I250">
        <v>0</v>
      </c>
      <c r="J250" t="s">
        <v>743</v>
      </c>
      <c r="K250" t="s">
        <v>746</v>
      </c>
    </row>
    <row r="251" spans="1:11" ht="15" customHeight="1" x14ac:dyDescent="0.3">
      <c r="A251" t="s">
        <v>460</v>
      </c>
      <c r="B251">
        <v>0.03</v>
      </c>
      <c r="C251" t="s">
        <v>740</v>
      </c>
      <c r="D251" t="s">
        <v>741</v>
      </c>
      <c r="E251">
        <v>0.1</v>
      </c>
      <c r="F251" t="s">
        <v>751</v>
      </c>
      <c r="G251">
        <v>0</v>
      </c>
      <c r="H251" t="s">
        <v>743</v>
      </c>
      <c r="I251">
        <v>0</v>
      </c>
      <c r="J251" t="s">
        <v>743</v>
      </c>
      <c r="K251" t="s">
        <v>746</v>
      </c>
    </row>
    <row r="252" spans="1:11" ht="15" customHeight="1" x14ac:dyDescent="0.3">
      <c r="A252" t="s">
        <v>461</v>
      </c>
      <c r="B252">
        <v>0.04</v>
      </c>
      <c r="C252" t="s">
        <v>740</v>
      </c>
      <c r="D252" t="s">
        <v>741</v>
      </c>
      <c r="E252">
        <v>0.2</v>
      </c>
      <c r="F252" t="s">
        <v>751</v>
      </c>
      <c r="G252">
        <v>0</v>
      </c>
      <c r="H252" t="s">
        <v>743</v>
      </c>
      <c r="I252">
        <v>0</v>
      </c>
      <c r="J252" t="s">
        <v>743</v>
      </c>
      <c r="K252" t="s">
        <v>746</v>
      </c>
    </row>
    <row r="253" spans="1:11" ht="15" customHeight="1" x14ac:dyDescent="0.3">
      <c r="A253" t="s">
        <v>408</v>
      </c>
      <c r="B253">
        <v>0.06</v>
      </c>
      <c r="C253" t="s">
        <v>740</v>
      </c>
      <c r="D253" t="s">
        <v>741</v>
      </c>
      <c r="E253">
        <v>0.2</v>
      </c>
      <c r="F253" t="s">
        <v>751</v>
      </c>
      <c r="G253">
        <v>0</v>
      </c>
      <c r="H253" t="s">
        <v>743</v>
      </c>
      <c r="I253">
        <v>0</v>
      </c>
      <c r="J253" t="s">
        <v>743</v>
      </c>
      <c r="K253" t="s">
        <v>746</v>
      </c>
    </row>
    <row r="254" spans="1:11" ht="15" customHeight="1" x14ac:dyDescent="0.3">
      <c r="A254" t="s">
        <v>409</v>
      </c>
      <c r="B254">
        <v>0.04</v>
      </c>
      <c r="C254" t="s">
        <v>740</v>
      </c>
      <c r="D254" t="s">
        <v>741</v>
      </c>
      <c r="E254">
        <v>0.1</v>
      </c>
      <c r="F254" t="s">
        <v>751</v>
      </c>
      <c r="G254">
        <v>0</v>
      </c>
      <c r="H254" t="s">
        <v>743</v>
      </c>
      <c r="I254">
        <v>0</v>
      </c>
      <c r="J254" t="s">
        <v>743</v>
      </c>
      <c r="K254" t="s">
        <v>746</v>
      </c>
    </row>
    <row r="255" spans="1:11" ht="15" customHeight="1" x14ac:dyDescent="0.3">
      <c r="A255" t="s">
        <v>410</v>
      </c>
      <c r="B255">
        <v>0.02</v>
      </c>
      <c r="C255" t="s">
        <v>740</v>
      </c>
      <c r="D255" t="s">
        <v>741</v>
      </c>
      <c r="E255">
        <v>0.1</v>
      </c>
      <c r="F255" t="s">
        <v>751</v>
      </c>
      <c r="G255">
        <v>0</v>
      </c>
      <c r="H255" t="s">
        <v>743</v>
      </c>
      <c r="I255">
        <v>0</v>
      </c>
      <c r="J255" t="s">
        <v>743</v>
      </c>
      <c r="K255" t="s">
        <v>746</v>
      </c>
    </row>
    <row r="256" spans="1:11" ht="15" customHeight="1" x14ac:dyDescent="0.3">
      <c r="A256" t="s">
        <v>411</v>
      </c>
      <c r="B256">
        <v>0.03</v>
      </c>
      <c r="C256" t="s">
        <v>740</v>
      </c>
      <c r="D256" t="s">
        <v>741</v>
      </c>
      <c r="E256">
        <v>0.1</v>
      </c>
      <c r="F256" t="s">
        <v>751</v>
      </c>
      <c r="G256">
        <v>0</v>
      </c>
      <c r="H256" t="s">
        <v>743</v>
      </c>
      <c r="I256">
        <v>0</v>
      </c>
      <c r="J256" t="s">
        <v>743</v>
      </c>
      <c r="K256" t="s">
        <v>746</v>
      </c>
    </row>
    <row r="257" spans="1:11" ht="15" customHeight="1" x14ac:dyDescent="0.3">
      <c r="A257" t="s">
        <v>412</v>
      </c>
      <c r="B257">
        <v>0.05</v>
      </c>
      <c r="C257" t="s">
        <v>740</v>
      </c>
      <c r="D257" t="s">
        <v>741</v>
      </c>
      <c r="E257">
        <v>0.2</v>
      </c>
      <c r="F257" t="s">
        <v>751</v>
      </c>
      <c r="G257">
        <v>0</v>
      </c>
      <c r="H257" t="s">
        <v>743</v>
      </c>
      <c r="I257">
        <v>0</v>
      </c>
      <c r="J257" t="s">
        <v>743</v>
      </c>
      <c r="K257" t="s">
        <v>746</v>
      </c>
    </row>
    <row r="258" spans="1:11" ht="15" customHeight="1" x14ac:dyDescent="0.3">
      <c r="A258" t="s">
        <v>413</v>
      </c>
      <c r="B258">
        <v>0.02</v>
      </c>
      <c r="C258" t="s">
        <v>740</v>
      </c>
      <c r="D258" t="s">
        <v>741</v>
      </c>
      <c r="E258">
        <v>0.1</v>
      </c>
      <c r="F258" t="s">
        <v>751</v>
      </c>
      <c r="G258">
        <v>0</v>
      </c>
      <c r="H258" t="s">
        <v>743</v>
      </c>
      <c r="I258">
        <v>0</v>
      </c>
      <c r="J258" t="s">
        <v>743</v>
      </c>
      <c r="K258" t="s">
        <v>746</v>
      </c>
    </row>
    <row r="259" spans="1:11" ht="15" customHeight="1" x14ac:dyDescent="0.3">
      <c r="A259" t="s">
        <v>414</v>
      </c>
      <c r="B259">
        <v>0.04</v>
      </c>
      <c r="C259" t="s">
        <v>740</v>
      </c>
      <c r="D259" t="s">
        <v>741</v>
      </c>
      <c r="E259">
        <v>0.1</v>
      </c>
      <c r="F259" t="s">
        <v>751</v>
      </c>
      <c r="G259">
        <v>0</v>
      </c>
      <c r="H259" t="s">
        <v>743</v>
      </c>
      <c r="I259">
        <v>0</v>
      </c>
      <c r="J259" t="s">
        <v>743</v>
      </c>
      <c r="K259" t="s">
        <v>746</v>
      </c>
    </row>
    <row r="260" spans="1:11" ht="15" customHeight="1" x14ac:dyDescent="0.3">
      <c r="A260" t="s">
        <v>415</v>
      </c>
      <c r="B260">
        <v>0.04</v>
      </c>
      <c r="C260" t="s">
        <v>740</v>
      </c>
      <c r="D260" t="s">
        <v>741</v>
      </c>
      <c r="E260">
        <v>0.1</v>
      </c>
      <c r="F260" t="s">
        <v>751</v>
      </c>
      <c r="G260">
        <v>0</v>
      </c>
      <c r="H260" t="s">
        <v>743</v>
      </c>
      <c r="I260">
        <v>0</v>
      </c>
      <c r="J260" t="s">
        <v>743</v>
      </c>
      <c r="K260" t="s">
        <v>746</v>
      </c>
    </row>
    <row r="261" spans="1:11" ht="15" customHeight="1" x14ac:dyDescent="0.3">
      <c r="A261" t="s">
        <v>416</v>
      </c>
      <c r="B261">
        <v>0.06</v>
      </c>
      <c r="C261" t="s">
        <v>740</v>
      </c>
      <c r="D261" t="s">
        <v>741</v>
      </c>
      <c r="E261">
        <v>0.2</v>
      </c>
      <c r="F261" t="s">
        <v>751</v>
      </c>
      <c r="G261">
        <v>0</v>
      </c>
      <c r="H261" t="s">
        <v>743</v>
      </c>
      <c r="I261">
        <v>0</v>
      </c>
      <c r="J261" t="s">
        <v>743</v>
      </c>
      <c r="K261" t="s">
        <v>746</v>
      </c>
    </row>
    <row r="262" spans="1:11" ht="15" customHeight="1" x14ac:dyDescent="0.3">
      <c r="A262" t="s">
        <v>417</v>
      </c>
      <c r="B262">
        <v>0.02</v>
      </c>
      <c r="C262" t="s">
        <v>740</v>
      </c>
      <c r="D262" t="s">
        <v>741</v>
      </c>
      <c r="E262">
        <v>0.1</v>
      </c>
      <c r="F262" t="s">
        <v>751</v>
      </c>
      <c r="G262">
        <v>0</v>
      </c>
      <c r="H262" t="s">
        <v>743</v>
      </c>
      <c r="I262">
        <v>0</v>
      </c>
      <c r="J262" t="s">
        <v>743</v>
      </c>
      <c r="K262" t="s">
        <v>746</v>
      </c>
    </row>
    <row r="263" spans="1:11" ht="15" customHeight="1" x14ac:dyDescent="0.3">
      <c r="A263" t="s">
        <v>418</v>
      </c>
      <c r="B263">
        <v>0.08</v>
      </c>
      <c r="C263" t="s">
        <v>740</v>
      </c>
      <c r="D263" t="s">
        <v>741</v>
      </c>
      <c r="E263">
        <v>0.3</v>
      </c>
      <c r="F263" t="s">
        <v>751</v>
      </c>
      <c r="G263">
        <v>0</v>
      </c>
      <c r="H263" t="s">
        <v>743</v>
      </c>
      <c r="I263">
        <v>0</v>
      </c>
      <c r="J263" t="s">
        <v>743</v>
      </c>
      <c r="K263" t="s">
        <v>746</v>
      </c>
    </row>
    <row r="264" spans="1:11" ht="15" customHeight="1" x14ac:dyDescent="0.3">
      <c r="A264" t="s">
        <v>420</v>
      </c>
      <c r="B264">
        <v>0.08</v>
      </c>
      <c r="C264" t="s">
        <v>740</v>
      </c>
      <c r="D264" t="s">
        <v>741</v>
      </c>
      <c r="E264">
        <v>0.5</v>
      </c>
      <c r="F264" t="s">
        <v>751</v>
      </c>
      <c r="G264">
        <v>0</v>
      </c>
      <c r="H264" t="s">
        <v>743</v>
      </c>
      <c r="I264">
        <v>0</v>
      </c>
      <c r="J264" t="s">
        <v>743</v>
      </c>
      <c r="K264" t="s">
        <v>746</v>
      </c>
    </row>
    <row r="265" spans="1:11" ht="15" customHeight="1" x14ac:dyDescent="0.3">
      <c r="A265" t="s">
        <v>421</v>
      </c>
      <c r="B265">
        <v>7.0000000000000007E-2</v>
      </c>
      <c r="C265" t="s">
        <v>740</v>
      </c>
      <c r="D265" t="s">
        <v>741</v>
      </c>
      <c r="E265">
        <v>0.4</v>
      </c>
      <c r="F265" t="s">
        <v>751</v>
      </c>
      <c r="G265">
        <v>0</v>
      </c>
      <c r="H265" t="s">
        <v>743</v>
      </c>
      <c r="I265">
        <v>0</v>
      </c>
      <c r="J265" t="s">
        <v>743</v>
      </c>
      <c r="K265" t="s">
        <v>746</v>
      </c>
    </row>
    <row r="266" spans="1:11" ht="15" customHeight="1" x14ac:dyDescent="0.3">
      <c r="A266" t="s">
        <v>422</v>
      </c>
      <c r="B266">
        <v>0.06</v>
      </c>
      <c r="C266" t="s">
        <v>740</v>
      </c>
      <c r="D266" t="s">
        <v>741</v>
      </c>
      <c r="E266">
        <v>0.4</v>
      </c>
      <c r="F266" t="s">
        <v>751</v>
      </c>
      <c r="G266">
        <v>0</v>
      </c>
      <c r="H266" t="s">
        <v>743</v>
      </c>
      <c r="I266">
        <v>0</v>
      </c>
      <c r="J266" t="s">
        <v>743</v>
      </c>
      <c r="K266" t="s">
        <v>746</v>
      </c>
    </row>
    <row r="267" spans="1:11" ht="15" customHeight="1" x14ac:dyDescent="0.3">
      <c r="A267" t="s">
        <v>393</v>
      </c>
      <c r="B267">
        <v>0.04</v>
      </c>
      <c r="C267" t="s">
        <v>740</v>
      </c>
      <c r="D267" t="s">
        <v>741</v>
      </c>
      <c r="E267">
        <v>0.1</v>
      </c>
      <c r="F267" t="s">
        <v>751</v>
      </c>
      <c r="G267">
        <v>0</v>
      </c>
      <c r="H267" t="s">
        <v>743</v>
      </c>
      <c r="I267">
        <v>0</v>
      </c>
      <c r="J267" t="s">
        <v>743</v>
      </c>
      <c r="K267" t="s">
        <v>744</v>
      </c>
    </row>
    <row r="268" spans="1:11" ht="15" customHeight="1" x14ac:dyDescent="0.3">
      <c r="A268" t="s">
        <v>394</v>
      </c>
      <c r="B268">
        <v>0.03</v>
      </c>
      <c r="C268" t="s">
        <v>740</v>
      </c>
      <c r="D268" t="s">
        <v>741</v>
      </c>
      <c r="E268">
        <v>0.1</v>
      </c>
      <c r="F268" t="s">
        <v>751</v>
      </c>
      <c r="G268">
        <v>0</v>
      </c>
      <c r="H268" t="s">
        <v>743</v>
      </c>
      <c r="I268">
        <v>0</v>
      </c>
      <c r="J268" t="s">
        <v>743</v>
      </c>
      <c r="K268" t="s">
        <v>744</v>
      </c>
    </row>
    <row r="269" spans="1:11" ht="15" customHeight="1" x14ac:dyDescent="0.3">
      <c r="A269" t="s">
        <v>395</v>
      </c>
      <c r="B269">
        <v>0.05</v>
      </c>
      <c r="C269" t="s">
        <v>740</v>
      </c>
      <c r="D269" t="s">
        <v>741</v>
      </c>
      <c r="E269">
        <v>0.1</v>
      </c>
      <c r="F269" t="s">
        <v>751</v>
      </c>
      <c r="G269">
        <v>0</v>
      </c>
      <c r="H269" t="s">
        <v>743</v>
      </c>
      <c r="I269">
        <v>0</v>
      </c>
      <c r="J269" t="s">
        <v>743</v>
      </c>
      <c r="K269" t="s">
        <v>744</v>
      </c>
    </row>
    <row r="270" spans="1:11" ht="15" customHeight="1" x14ac:dyDescent="0.3">
      <c r="A270" t="s">
        <v>396</v>
      </c>
      <c r="B270">
        <v>0.03</v>
      </c>
      <c r="C270" t="s">
        <v>740</v>
      </c>
      <c r="D270" t="s">
        <v>741</v>
      </c>
      <c r="E270">
        <v>0.1</v>
      </c>
      <c r="F270" t="s">
        <v>751</v>
      </c>
      <c r="G270">
        <v>0</v>
      </c>
      <c r="H270" t="s">
        <v>743</v>
      </c>
      <c r="I270">
        <v>0</v>
      </c>
      <c r="J270" t="s">
        <v>743</v>
      </c>
      <c r="K270" t="s">
        <v>744</v>
      </c>
    </row>
    <row r="271" spans="1:11" ht="15" customHeight="1" x14ac:dyDescent="0.3">
      <c r="A271" t="s">
        <v>397</v>
      </c>
      <c r="B271">
        <v>0.03</v>
      </c>
      <c r="C271" t="s">
        <v>740</v>
      </c>
      <c r="D271" t="s">
        <v>741</v>
      </c>
      <c r="E271">
        <v>0.1</v>
      </c>
      <c r="F271" t="s">
        <v>751</v>
      </c>
      <c r="G271">
        <v>0</v>
      </c>
      <c r="H271" t="s">
        <v>743</v>
      </c>
      <c r="I271">
        <v>0</v>
      </c>
      <c r="J271" t="s">
        <v>743</v>
      </c>
      <c r="K271" t="s">
        <v>744</v>
      </c>
    </row>
    <row r="272" spans="1:11" ht="15" customHeight="1" x14ac:dyDescent="0.3">
      <c r="A272" t="s">
        <v>398</v>
      </c>
      <c r="B272">
        <v>0.06</v>
      </c>
      <c r="C272" t="s">
        <v>740</v>
      </c>
      <c r="D272" t="s">
        <v>741</v>
      </c>
      <c r="E272">
        <v>0.1</v>
      </c>
      <c r="F272" t="s">
        <v>751</v>
      </c>
      <c r="G272">
        <v>0</v>
      </c>
      <c r="H272" t="s">
        <v>743</v>
      </c>
      <c r="I272">
        <v>0</v>
      </c>
      <c r="J272" t="s">
        <v>743</v>
      </c>
      <c r="K272" t="s">
        <v>744</v>
      </c>
    </row>
    <row r="273" spans="1:11" ht="15" customHeight="1" x14ac:dyDescent="0.3">
      <c r="A273" t="s">
        <v>399</v>
      </c>
      <c r="B273">
        <v>0.08</v>
      </c>
      <c r="C273" t="s">
        <v>740</v>
      </c>
      <c r="D273" t="s">
        <v>741</v>
      </c>
      <c r="E273">
        <v>0.2</v>
      </c>
      <c r="F273" t="s">
        <v>751</v>
      </c>
      <c r="G273">
        <v>0</v>
      </c>
      <c r="H273" t="s">
        <v>743</v>
      </c>
      <c r="I273">
        <v>0</v>
      </c>
      <c r="J273" t="s">
        <v>743</v>
      </c>
      <c r="K273" t="s">
        <v>746</v>
      </c>
    </row>
    <row r="274" spans="1:11" ht="15" customHeight="1" x14ac:dyDescent="0.3">
      <c r="A274" t="s">
        <v>400</v>
      </c>
      <c r="B274">
        <v>0.03</v>
      </c>
      <c r="C274" t="s">
        <v>740</v>
      </c>
      <c r="D274" t="s">
        <v>741</v>
      </c>
      <c r="E274">
        <v>0.1</v>
      </c>
      <c r="F274" t="s">
        <v>751</v>
      </c>
      <c r="G274">
        <v>0</v>
      </c>
      <c r="H274" t="s">
        <v>743</v>
      </c>
      <c r="I274">
        <v>0</v>
      </c>
      <c r="J274" t="s">
        <v>743</v>
      </c>
      <c r="K274" t="s">
        <v>744</v>
      </c>
    </row>
    <row r="275" spans="1:11" ht="15" customHeight="1" x14ac:dyDescent="0.3">
      <c r="A275" t="s">
        <v>401</v>
      </c>
      <c r="B275">
        <v>7.0000000000000007E-2</v>
      </c>
      <c r="C275" t="s">
        <v>740</v>
      </c>
      <c r="D275" t="s">
        <v>741</v>
      </c>
      <c r="E275">
        <v>0.2</v>
      </c>
      <c r="F275" t="s">
        <v>751</v>
      </c>
      <c r="G275">
        <v>0</v>
      </c>
      <c r="H275" t="s">
        <v>743</v>
      </c>
      <c r="I275">
        <v>0</v>
      </c>
      <c r="J275" t="s">
        <v>743</v>
      </c>
      <c r="K275" t="s">
        <v>746</v>
      </c>
    </row>
    <row r="276" spans="1:11" ht="15" customHeight="1" x14ac:dyDescent="0.3">
      <c r="A276" t="s">
        <v>758</v>
      </c>
      <c r="B276">
        <v>0.02</v>
      </c>
      <c r="C276" t="s">
        <v>740</v>
      </c>
      <c r="D276" t="s">
        <v>741</v>
      </c>
      <c r="E276">
        <v>0</v>
      </c>
      <c r="F276" t="s">
        <v>742</v>
      </c>
      <c r="G276">
        <v>0</v>
      </c>
      <c r="H276" t="s">
        <v>743</v>
      </c>
      <c r="I276">
        <v>0</v>
      </c>
      <c r="J276" t="s">
        <v>743</v>
      </c>
      <c r="K276" t="s">
        <v>744</v>
      </c>
    </row>
    <row r="277" spans="1:11" ht="15" customHeight="1" x14ac:dyDescent="0.3">
      <c r="A277" t="s">
        <v>404</v>
      </c>
      <c r="B277">
        <v>0.02</v>
      </c>
      <c r="C277" t="s">
        <v>740</v>
      </c>
      <c r="D277" t="s">
        <v>741</v>
      </c>
      <c r="E277">
        <v>0</v>
      </c>
      <c r="F277" t="s">
        <v>742</v>
      </c>
      <c r="G277">
        <v>0</v>
      </c>
      <c r="H277" t="s">
        <v>743</v>
      </c>
      <c r="I277">
        <v>0</v>
      </c>
      <c r="J277" t="s">
        <v>743</v>
      </c>
      <c r="K277" t="s">
        <v>744</v>
      </c>
    </row>
    <row r="278" spans="1:11" ht="15" customHeight="1" x14ac:dyDescent="0.3">
      <c r="A278" t="s">
        <v>405</v>
      </c>
      <c r="B278">
        <v>0.03</v>
      </c>
      <c r="C278" t="s">
        <v>740</v>
      </c>
      <c r="D278" t="s">
        <v>741</v>
      </c>
      <c r="E278">
        <v>0.1</v>
      </c>
      <c r="F278" t="s">
        <v>751</v>
      </c>
      <c r="G278">
        <v>0</v>
      </c>
      <c r="H278" t="s">
        <v>743</v>
      </c>
      <c r="I278">
        <v>0</v>
      </c>
      <c r="J278" t="s">
        <v>743</v>
      </c>
      <c r="K278" t="s">
        <v>744</v>
      </c>
    </row>
    <row r="279" spans="1:11" ht="15" customHeight="1" x14ac:dyDescent="0.3">
      <c r="A279" t="s">
        <v>463</v>
      </c>
      <c r="B279">
        <v>0.02</v>
      </c>
      <c r="C279" t="s">
        <v>740</v>
      </c>
      <c r="D279" t="s">
        <v>741</v>
      </c>
      <c r="E279">
        <v>0.1</v>
      </c>
      <c r="F279" t="s">
        <v>751</v>
      </c>
      <c r="G279">
        <v>0</v>
      </c>
      <c r="H279" t="s">
        <v>743</v>
      </c>
      <c r="I279">
        <v>0</v>
      </c>
      <c r="J279" t="s">
        <v>743</v>
      </c>
      <c r="K279" t="s">
        <v>744</v>
      </c>
    </row>
    <row r="280" spans="1:11" ht="15" customHeight="1" x14ac:dyDescent="0.3">
      <c r="A280" t="s">
        <v>759</v>
      </c>
      <c r="B280">
        <v>0.04</v>
      </c>
      <c r="C280" t="s">
        <v>760</v>
      </c>
      <c r="D280" t="s">
        <v>741</v>
      </c>
      <c r="E280">
        <v>0.1</v>
      </c>
      <c r="F280" t="s">
        <v>751</v>
      </c>
      <c r="G280">
        <v>0</v>
      </c>
      <c r="H280" t="s">
        <v>743</v>
      </c>
      <c r="I280">
        <v>0</v>
      </c>
      <c r="J280" t="s">
        <v>743</v>
      </c>
      <c r="K280" t="s">
        <v>746</v>
      </c>
    </row>
    <row r="281" spans="1:11" ht="15" customHeight="1" x14ac:dyDescent="0.3">
      <c r="A281" t="s">
        <v>761</v>
      </c>
      <c r="B281">
        <v>0.05</v>
      </c>
      <c r="C281" t="s">
        <v>760</v>
      </c>
      <c r="D281" t="s">
        <v>741</v>
      </c>
      <c r="E281">
        <v>0.1</v>
      </c>
      <c r="F281" t="s">
        <v>751</v>
      </c>
      <c r="G281">
        <v>0</v>
      </c>
      <c r="H281" t="s">
        <v>743</v>
      </c>
      <c r="I281">
        <v>0</v>
      </c>
      <c r="J281" t="s">
        <v>743</v>
      </c>
      <c r="K281" t="s">
        <v>746</v>
      </c>
    </row>
    <row r="282" spans="1:11" ht="15" customHeight="1" x14ac:dyDescent="0.3">
      <c r="A282" t="s">
        <v>762</v>
      </c>
      <c r="B282">
        <v>0.06</v>
      </c>
      <c r="C282" t="s">
        <v>740</v>
      </c>
      <c r="D282" t="s">
        <v>741</v>
      </c>
      <c r="E282">
        <v>0.2</v>
      </c>
      <c r="F282" t="s">
        <v>751</v>
      </c>
      <c r="G282">
        <v>0</v>
      </c>
      <c r="H282" t="s">
        <v>743</v>
      </c>
      <c r="I282">
        <v>0</v>
      </c>
      <c r="J282" t="s">
        <v>743</v>
      </c>
      <c r="K282" t="s">
        <v>746</v>
      </c>
    </row>
    <row r="283" spans="1:11" ht="15" customHeight="1" x14ac:dyDescent="0.3">
      <c r="A283" t="s">
        <v>763</v>
      </c>
      <c r="B283">
        <v>0.03</v>
      </c>
      <c r="C283" t="s">
        <v>740</v>
      </c>
      <c r="D283" t="s">
        <v>741</v>
      </c>
      <c r="E283">
        <v>0.1</v>
      </c>
      <c r="F283" t="s">
        <v>751</v>
      </c>
      <c r="G283">
        <v>0</v>
      </c>
      <c r="H283" t="s">
        <v>743</v>
      </c>
      <c r="I283">
        <v>0</v>
      </c>
      <c r="J283" t="s">
        <v>743</v>
      </c>
      <c r="K283" t="s">
        <v>744</v>
      </c>
    </row>
    <row r="284" spans="1:11" ht="15" customHeight="1" x14ac:dyDescent="0.3">
      <c r="A284" t="s">
        <v>764</v>
      </c>
      <c r="B284">
        <v>0.02</v>
      </c>
      <c r="C284" t="s">
        <v>740</v>
      </c>
      <c r="D284" t="s">
        <v>741</v>
      </c>
      <c r="E284">
        <v>0.1</v>
      </c>
      <c r="F284" t="s">
        <v>751</v>
      </c>
      <c r="G284">
        <v>0</v>
      </c>
      <c r="H284" t="s">
        <v>743</v>
      </c>
      <c r="I284">
        <v>0</v>
      </c>
      <c r="J284" t="s">
        <v>743</v>
      </c>
      <c r="K284" t="s">
        <v>744</v>
      </c>
    </row>
    <row r="285" spans="1:11" ht="15" customHeight="1" x14ac:dyDescent="0.3">
      <c r="A285" t="s">
        <v>765</v>
      </c>
      <c r="B285">
        <v>0.03</v>
      </c>
      <c r="C285" t="s">
        <v>760</v>
      </c>
      <c r="D285" t="s">
        <v>741</v>
      </c>
      <c r="E285">
        <v>0.1</v>
      </c>
      <c r="F285" t="s">
        <v>751</v>
      </c>
      <c r="G285">
        <v>0</v>
      </c>
      <c r="H285" t="s">
        <v>743</v>
      </c>
      <c r="I285">
        <v>0</v>
      </c>
      <c r="J285" t="s">
        <v>743</v>
      </c>
      <c r="K285" t="s">
        <v>744</v>
      </c>
    </row>
    <row r="286" spans="1:11" ht="15" customHeight="1" x14ac:dyDescent="0.3">
      <c r="A286" t="s">
        <v>484</v>
      </c>
      <c r="B286">
        <v>0.01</v>
      </c>
      <c r="C286" t="s">
        <v>740</v>
      </c>
      <c r="D286" t="s">
        <v>741</v>
      </c>
      <c r="E286">
        <v>0</v>
      </c>
      <c r="F286" t="s">
        <v>742</v>
      </c>
      <c r="G286">
        <v>0</v>
      </c>
      <c r="H286" t="s">
        <v>743</v>
      </c>
      <c r="I286">
        <v>0</v>
      </c>
      <c r="J286" t="s">
        <v>743</v>
      </c>
      <c r="K286" t="s">
        <v>746</v>
      </c>
    </row>
    <row r="287" spans="1:11" ht="15" customHeight="1" x14ac:dyDescent="0.3">
      <c r="A287" t="s">
        <v>766</v>
      </c>
      <c r="B287">
        <v>0.25</v>
      </c>
      <c r="C287" t="s">
        <v>760</v>
      </c>
      <c r="D287" t="s">
        <v>749</v>
      </c>
      <c r="E287">
        <v>0.1</v>
      </c>
      <c r="F287" t="s">
        <v>751</v>
      </c>
      <c r="G287">
        <v>0</v>
      </c>
      <c r="H287" t="s">
        <v>743</v>
      </c>
      <c r="I287">
        <v>0</v>
      </c>
      <c r="J287" t="s">
        <v>743</v>
      </c>
      <c r="K287" t="s">
        <v>746</v>
      </c>
    </row>
    <row r="288" spans="1:11" ht="15" customHeight="1" x14ac:dyDescent="0.3">
      <c r="A288" t="s">
        <v>424</v>
      </c>
      <c r="B288">
        <v>0.04</v>
      </c>
      <c r="C288" t="s">
        <v>740</v>
      </c>
      <c r="D288" t="s">
        <v>741</v>
      </c>
      <c r="E288">
        <v>0.2</v>
      </c>
      <c r="F288" t="s">
        <v>751</v>
      </c>
      <c r="G288">
        <v>0</v>
      </c>
      <c r="H288" t="s">
        <v>743</v>
      </c>
      <c r="I288">
        <v>0</v>
      </c>
      <c r="J288" t="s">
        <v>743</v>
      </c>
      <c r="K288" t="s">
        <v>746</v>
      </c>
    </row>
    <row r="289" spans="1:11" ht="15" customHeight="1" x14ac:dyDescent="0.3">
      <c r="A289" t="s">
        <v>425</v>
      </c>
      <c r="B289">
        <v>0.05</v>
      </c>
      <c r="C289" t="s">
        <v>740</v>
      </c>
      <c r="D289" t="s">
        <v>741</v>
      </c>
      <c r="E289">
        <v>0.2</v>
      </c>
      <c r="F289" t="s">
        <v>751</v>
      </c>
      <c r="G289">
        <v>0</v>
      </c>
      <c r="H289" t="s">
        <v>743</v>
      </c>
      <c r="I289">
        <v>0</v>
      </c>
      <c r="J289" t="s">
        <v>743</v>
      </c>
      <c r="K289" t="s">
        <v>746</v>
      </c>
    </row>
    <row r="290" spans="1:11" ht="15" customHeight="1" x14ac:dyDescent="0.3">
      <c r="A290" t="s">
        <v>426</v>
      </c>
      <c r="B290">
        <v>0.06</v>
      </c>
      <c r="C290" t="s">
        <v>740</v>
      </c>
      <c r="D290" t="s">
        <v>741</v>
      </c>
      <c r="E290">
        <v>0.3</v>
      </c>
      <c r="F290" t="s">
        <v>751</v>
      </c>
      <c r="G290">
        <v>0</v>
      </c>
      <c r="H290" t="s">
        <v>743</v>
      </c>
      <c r="I290">
        <v>0</v>
      </c>
      <c r="J290" t="s">
        <v>743</v>
      </c>
      <c r="K290" t="s">
        <v>746</v>
      </c>
    </row>
    <row r="291" spans="1:11" ht="15" customHeight="1" x14ac:dyDescent="0.3">
      <c r="A291" t="s">
        <v>427</v>
      </c>
      <c r="B291">
        <v>0.03</v>
      </c>
      <c r="C291" t="s">
        <v>740</v>
      </c>
      <c r="D291" t="s">
        <v>741</v>
      </c>
      <c r="E291">
        <v>0.2</v>
      </c>
      <c r="F291" t="s">
        <v>751</v>
      </c>
      <c r="G291">
        <v>0</v>
      </c>
      <c r="H291" t="s">
        <v>743</v>
      </c>
      <c r="I291">
        <v>0</v>
      </c>
      <c r="J291" t="s">
        <v>743</v>
      </c>
      <c r="K291" t="s">
        <v>746</v>
      </c>
    </row>
    <row r="292" spans="1:11" ht="15" customHeight="1" x14ac:dyDescent="0.3">
      <c r="A292" t="s">
        <v>428</v>
      </c>
      <c r="B292">
        <v>0.05</v>
      </c>
      <c r="C292" t="s">
        <v>740</v>
      </c>
      <c r="D292" t="s">
        <v>741</v>
      </c>
      <c r="E292">
        <v>0.3</v>
      </c>
      <c r="F292" t="s">
        <v>751</v>
      </c>
      <c r="G292">
        <v>0</v>
      </c>
      <c r="H292" t="s">
        <v>743</v>
      </c>
      <c r="I292">
        <v>0</v>
      </c>
      <c r="J292" t="s">
        <v>743</v>
      </c>
      <c r="K292" t="s">
        <v>746</v>
      </c>
    </row>
    <row r="293" spans="1:11" ht="15" customHeight="1" x14ac:dyDescent="0.3">
      <c r="A293" t="s">
        <v>767</v>
      </c>
      <c r="B293">
        <v>0.02</v>
      </c>
      <c r="C293" t="s">
        <v>740</v>
      </c>
      <c r="D293" t="s">
        <v>741</v>
      </c>
      <c r="E293">
        <v>0.1</v>
      </c>
      <c r="F293" t="s">
        <v>751</v>
      </c>
      <c r="G293">
        <v>0</v>
      </c>
      <c r="H293" t="s">
        <v>743</v>
      </c>
      <c r="I293">
        <v>0</v>
      </c>
      <c r="J293" t="s">
        <v>743</v>
      </c>
      <c r="K293" t="s">
        <v>746</v>
      </c>
    </row>
    <row r="294" spans="1:11" ht="15" customHeight="1" x14ac:dyDescent="0.3">
      <c r="A294" t="s">
        <v>431</v>
      </c>
      <c r="B294">
        <v>0.04</v>
      </c>
      <c r="C294" t="s">
        <v>740</v>
      </c>
      <c r="D294" t="s">
        <v>741</v>
      </c>
      <c r="E294">
        <v>0.1</v>
      </c>
      <c r="F294" t="s">
        <v>751</v>
      </c>
      <c r="G294">
        <v>0</v>
      </c>
      <c r="H294" t="s">
        <v>743</v>
      </c>
      <c r="I294">
        <v>0</v>
      </c>
      <c r="J294" t="s">
        <v>743</v>
      </c>
      <c r="K294" t="s">
        <v>744</v>
      </c>
    </row>
    <row r="295" spans="1:11" ht="15" customHeight="1" x14ac:dyDescent="0.3">
      <c r="A295" t="s">
        <v>432</v>
      </c>
      <c r="B295">
        <v>0.03</v>
      </c>
      <c r="C295" t="s">
        <v>740</v>
      </c>
      <c r="D295" t="s">
        <v>741</v>
      </c>
      <c r="E295">
        <v>0.1</v>
      </c>
      <c r="F295" t="s">
        <v>751</v>
      </c>
      <c r="G295">
        <v>0</v>
      </c>
      <c r="H295" t="s">
        <v>743</v>
      </c>
      <c r="I295">
        <v>0</v>
      </c>
      <c r="J295" t="s">
        <v>743</v>
      </c>
      <c r="K295" t="s">
        <v>746</v>
      </c>
    </row>
    <row r="296" spans="1:11" ht="15" customHeight="1" x14ac:dyDescent="0.3">
      <c r="A296" t="s">
        <v>433</v>
      </c>
      <c r="B296">
        <v>0.02</v>
      </c>
      <c r="C296" t="s">
        <v>740</v>
      </c>
      <c r="D296" t="s">
        <v>741</v>
      </c>
      <c r="E296">
        <v>0.1</v>
      </c>
      <c r="F296" t="s">
        <v>751</v>
      </c>
      <c r="G296">
        <v>0</v>
      </c>
      <c r="H296" t="s">
        <v>743</v>
      </c>
      <c r="I296">
        <v>0</v>
      </c>
      <c r="J296" t="s">
        <v>743</v>
      </c>
      <c r="K296" t="s">
        <v>746</v>
      </c>
    </row>
    <row r="297" spans="1:11" ht="15" customHeight="1" x14ac:dyDescent="0.3">
      <c r="A297" t="s">
        <v>434</v>
      </c>
      <c r="B297">
        <v>0.05</v>
      </c>
      <c r="C297" t="s">
        <v>740</v>
      </c>
      <c r="D297" t="s">
        <v>741</v>
      </c>
      <c r="E297">
        <v>0.2</v>
      </c>
      <c r="F297" t="s">
        <v>751</v>
      </c>
      <c r="G297">
        <v>0</v>
      </c>
      <c r="H297" t="s">
        <v>743</v>
      </c>
      <c r="I297">
        <v>0</v>
      </c>
      <c r="J297" t="s">
        <v>743</v>
      </c>
      <c r="K297" t="s">
        <v>746</v>
      </c>
    </row>
    <row r="298" spans="1:11" ht="15" customHeight="1" x14ac:dyDescent="0.3">
      <c r="A298" t="s">
        <v>435</v>
      </c>
      <c r="B298">
        <v>0.04</v>
      </c>
      <c r="C298" t="s">
        <v>740</v>
      </c>
      <c r="D298" t="s">
        <v>741</v>
      </c>
      <c r="E298">
        <v>0.2</v>
      </c>
      <c r="F298" t="s">
        <v>751</v>
      </c>
      <c r="G298">
        <v>0</v>
      </c>
      <c r="H298" t="s">
        <v>743</v>
      </c>
      <c r="I298">
        <v>0</v>
      </c>
      <c r="J298" t="s">
        <v>743</v>
      </c>
      <c r="K298" t="s">
        <v>746</v>
      </c>
    </row>
    <row r="299" spans="1:11" ht="15" customHeight="1" x14ac:dyDescent="0.3">
      <c r="A299" t="s">
        <v>436</v>
      </c>
      <c r="B299">
        <v>0.04</v>
      </c>
      <c r="C299" t="s">
        <v>740</v>
      </c>
      <c r="D299" t="s">
        <v>741</v>
      </c>
      <c r="E299">
        <v>0.2</v>
      </c>
      <c r="F299" t="s">
        <v>751</v>
      </c>
      <c r="G299">
        <v>0</v>
      </c>
      <c r="H299" t="s">
        <v>743</v>
      </c>
      <c r="I299">
        <v>0</v>
      </c>
      <c r="J299" t="s">
        <v>743</v>
      </c>
      <c r="K299" t="s">
        <v>746</v>
      </c>
    </row>
    <row r="300" spans="1:11" ht="15" customHeight="1" x14ac:dyDescent="0.3">
      <c r="A300" t="s">
        <v>437</v>
      </c>
      <c r="B300">
        <v>0.02</v>
      </c>
      <c r="C300" t="s">
        <v>740</v>
      </c>
      <c r="D300" t="s">
        <v>741</v>
      </c>
      <c r="E300">
        <v>0.1</v>
      </c>
      <c r="F300" t="s">
        <v>751</v>
      </c>
      <c r="G300">
        <v>0</v>
      </c>
      <c r="H300" t="s">
        <v>743</v>
      </c>
      <c r="I300">
        <v>0</v>
      </c>
      <c r="J300" t="s">
        <v>743</v>
      </c>
      <c r="K300" t="s">
        <v>746</v>
      </c>
    </row>
    <row r="301" spans="1:11" ht="15" customHeight="1" x14ac:dyDescent="0.3">
      <c r="A301" t="s">
        <v>438</v>
      </c>
      <c r="B301">
        <v>0.05</v>
      </c>
      <c r="C301" t="s">
        <v>740</v>
      </c>
      <c r="D301" t="s">
        <v>741</v>
      </c>
      <c r="E301">
        <v>0.3</v>
      </c>
      <c r="F301" t="s">
        <v>751</v>
      </c>
      <c r="G301">
        <v>0</v>
      </c>
      <c r="H301" t="s">
        <v>743</v>
      </c>
      <c r="I301">
        <v>0</v>
      </c>
      <c r="J301" t="s">
        <v>743</v>
      </c>
      <c r="K301" t="s">
        <v>746</v>
      </c>
    </row>
    <row r="302" spans="1:11" ht="15" customHeight="1" x14ac:dyDescent="0.3">
      <c r="A302" t="s">
        <v>768</v>
      </c>
      <c r="B302">
        <v>0.05</v>
      </c>
      <c r="C302" t="s">
        <v>740</v>
      </c>
      <c r="D302" t="s">
        <v>741</v>
      </c>
      <c r="E302">
        <v>0.3</v>
      </c>
      <c r="F302" t="s">
        <v>751</v>
      </c>
      <c r="G302">
        <v>0</v>
      </c>
      <c r="H302" t="s">
        <v>743</v>
      </c>
      <c r="I302">
        <v>0</v>
      </c>
      <c r="J302" t="s">
        <v>743</v>
      </c>
      <c r="K302" t="s">
        <v>746</v>
      </c>
    </row>
    <row r="303" spans="1:11" ht="15" customHeight="1" x14ac:dyDescent="0.3">
      <c r="A303" t="s">
        <v>769</v>
      </c>
      <c r="B303">
        <v>0.03</v>
      </c>
      <c r="C303" t="s">
        <v>740</v>
      </c>
      <c r="D303" t="s">
        <v>741</v>
      </c>
      <c r="E303">
        <v>0.1</v>
      </c>
      <c r="F303" t="s">
        <v>751</v>
      </c>
      <c r="G303">
        <v>0</v>
      </c>
      <c r="H303" t="s">
        <v>743</v>
      </c>
      <c r="I303">
        <v>0</v>
      </c>
      <c r="J303" t="s">
        <v>743</v>
      </c>
      <c r="K303" t="s">
        <v>744</v>
      </c>
    </row>
    <row r="304" spans="1:11" ht="15" customHeight="1" x14ac:dyDescent="0.3">
      <c r="A304" t="s">
        <v>444</v>
      </c>
      <c r="B304">
        <v>0.04</v>
      </c>
      <c r="C304" t="s">
        <v>740</v>
      </c>
      <c r="D304" t="s">
        <v>741</v>
      </c>
      <c r="E304">
        <v>0.1</v>
      </c>
      <c r="F304" t="s">
        <v>751</v>
      </c>
      <c r="G304">
        <v>0</v>
      </c>
      <c r="H304" t="s">
        <v>743</v>
      </c>
      <c r="I304">
        <v>0</v>
      </c>
      <c r="J304" t="s">
        <v>743</v>
      </c>
      <c r="K304" t="s">
        <v>744</v>
      </c>
    </row>
    <row r="305" spans="1:11" ht="15" customHeight="1" x14ac:dyDescent="0.3">
      <c r="A305" t="s">
        <v>446</v>
      </c>
      <c r="B305">
        <v>0.03</v>
      </c>
      <c r="C305" t="s">
        <v>740</v>
      </c>
      <c r="D305" t="s">
        <v>741</v>
      </c>
      <c r="E305">
        <v>0.1</v>
      </c>
      <c r="F305" t="s">
        <v>751</v>
      </c>
      <c r="G305">
        <v>0</v>
      </c>
      <c r="H305" t="s">
        <v>743</v>
      </c>
      <c r="I305">
        <v>0</v>
      </c>
      <c r="J305" t="s">
        <v>743</v>
      </c>
      <c r="K305" t="s">
        <v>744</v>
      </c>
    </row>
    <row r="306" spans="1:11" ht="15" customHeight="1" x14ac:dyDescent="0.3">
      <c r="A306" t="s">
        <v>770</v>
      </c>
      <c r="B306">
        <v>0.02</v>
      </c>
      <c r="C306" t="s">
        <v>740</v>
      </c>
      <c r="D306" t="s">
        <v>741</v>
      </c>
      <c r="E306">
        <v>0.1</v>
      </c>
      <c r="F306" t="s">
        <v>751</v>
      </c>
      <c r="G306">
        <v>0</v>
      </c>
      <c r="H306" t="s">
        <v>743</v>
      </c>
      <c r="I306">
        <v>0</v>
      </c>
      <c r="J306" t="s">
        <v>743</v>
      </c>
      <c r="K306" t="s">
        <v>744</v>
      </c>
    </row>
    <row r="307" spans="1:11" ht="15" customHeight="1" x14ac:dyDescent="0.3">
      <c r="A307" t="s">
        <v>449</v>
      </c>
      <c r="B307">
        <v>0.02</v>
      </c>
      <c r="C307" t="s">
        <v>740</v>
      </c>
      <c r="D307" t="s">
        <v>741</v>
      </c>
      <c r="E307">
        <v>0.1</v>
      </c>
      <c r="F307" t="s">
        <v>751</v>
      </c>
      <c r="G307">
        <v>0</v>
      </c>
      <c r="H307" t="s">
        <v>743</v>
      </c>
      <c r="I307">
        <v>0</v>
      </c>
      <c r="J307" t="s">
        <v>743</v>
      </c>
      <c r="K307" t="s">
        <v>744</v>
      </c>
    </row>
    <row r="308" spans="1:11" ht="15" customHeight="1" x14ac:dyDescent="0.3">
      <c r="A308" t="s">
        <v>522</v>
      </c>
      <c r="B308">
        <v>0.25</v>
      </c>
      <c r="C308" t="s">
        <v>760</v>
      </c>
      <c r="D308" t="s">
        <v>747</v>
      </c>
      <c r="E308">
        <v>0</v>
      </c>
      <c r="F308" t="s">
        <v>742</v>
      </c>
      <c r="G308">
        <v>0</v>
      </c>
      <c r="H308" t="s">
        <v>743</v>
      </c>
      <c r="I308">
        <v>0</v>
      </c>
      <c r="J308" t="s">
        <v>743</v>
      </c>
      <c r="K308" t="s">
        <v>748</v>
      </c>
    </row>
    <row r="309" spans="1:11" ht="15" customHeight="1" x14ac:dyDescent="0.3">
      <c r="A309" t="s">
        <v>771</v>
      </c>
      <c r="B309">
        <v>0.15</v>
      </c>
      <c r="C309" t="s">
        <v>760</v>
      </c>
      <c r="D309" t="s">
        <v>747</v>
      </c>
      <c r="E309">
        <v>0</v>
      </c>
      <c r="F309" t="s">
        <v>742</v>
      </c>
      <c r="G309">
        <v>0</v>
      </c>
      <c r="H309" t="s">
        <v>743</v>
      </c>
      <c r="I309">
        <v>0</v>
      </c>
      <c r="J309" t="s">
        <v>743</v>
      </c>
      <c r="K309" t="s">
        <v>748</v>
      </c>
    </row>
    <row r="310" spans="1:11" ht="15" customHeight="1" x14ac:dyDescent="0.3">
      <c r="A310" t="s">
        <v>772</v>
      </c>
      <c r="B310">
        <v>0.6</v>
      </c>
      <c r="C310" t="s">
        <v>760</v>
      </c>
      <c r="D310" t="s">
        <v>749</v>
      </c>
      <c r="E310">
        <v>0</v>
      </c>
      <c r="F310" t="s">
        <v>742</v>
      </c>
      <c r="G310">
        <v>0</v>
      </c>
      <c r="H310" t="s">
        <v>743</v>
      </c>
      <c r="I310">
        <v>0</v>
      </c>
      <c r="J310" t="s">
        <v>743</v>
      </c>
      <c r="K310" t="s">
        <v>748</v>
      </c>
    </row>
    <row r="311" spans="1:11" ht="15" customHeight="1" x14ac:dyDescent="0.3">
      <c r="A311" t="s">
        <v>773</v>
      </c>
      <c r="B311">
        <v>0.25</v>
      </c>
      <c r="C311" t="s">
        <v>760</v>
      </c>
      <c r="D311" t="s">
        <v>747</v>
      </c>
      <c r="E311">
        <v>0</v>
      </c>
      <c r="F311" t="s">
        <v>742</v>
      </c>
      <c r="G311">
        <v>0</v>
      </c>
      <c r="H311" t="s">
        <v>743</v>
      </c>
      <c r="I311">
        <v>0</v>
      </c>
      <c r="J311" t="s">
        <v>743</v>
      </c>
      <c r="K311" t="s">
        <v>748</v>
      </c>
    </row>
    <row r="312" spans="1:11" ht="15" customHeight="1" x14ac:dyDescent="0.3">
      <c r="A312" t="s">
        <v>528</v>
      </c>
      <c r="B312">
        <v>0.8</v>
      </c>
      <c r="C312" t="s">
        <v>760</v>
      </c>
      <c r="D312" t="s">
        <v>749</v>
      </c>
      <c r="E312">
        <v>0</v>
      </c>
      <c r="F312" t="s">
        <v>742</v>
      </c>
      <c r="G312">
        <v>0</v>
      </c>
      <c r="H312" t="s">
        <v>743</v>
      </c>
      <c r="I312">
        <v>0</v>
      </c>
      <c r="J312" t="s">
        <v>743</v>
      </c>
      <c r="K312" t="s">
        <v>748</v>
      </c>
    </row>
    <row r="313" spans="1:11" ht="15" customHeight="1" x14ac:dyDescent="0.3">
      <c r="A313" t="s">
        <v>774</v>
      </c>
      <c r="B313">
        <v>0.15</v>
      </c>
      <c r="C313" t="s">
        <v>760</v>
      </c>
      <c r="D313" t="s">
        <v>741</v>
      </c>
      <c r="E313">
        <v>0</v>
      </c>
      <c r="F313" t="s">
        <v>742</v>
      </c>
      <c r="G313">
        <v>0</v>
      </c>
      <c r="H313" t="s">
        <v>743</v>
      </c>
      <c r="I313">
        <v>0</v>
      </c>
      <c r="J313" t="s">
        <v>743</v>
      </c>
      <c r="K313" t="s">
        <v>744</v>
      </c>
    </row>
    <row r="314" spans="1:11" ht="15" customHeight="1" x14ac:dyDescent="0.3">
      <c r="A314" t="s">
        <v>775</v>
      </c>
      <c r="B314">
        <v>0.2</v>
      </c>
      <c r="C314" t="s">
        <v>760</v>
      </c>
      <c r="D314" t="s">
        <v>747</v>
      </c>
      <c r="E314">
        <v>0</v>
      </c>
      <c r="F314" t="s">
        <v>742</v>
      </c>
      <c r="G314">
        <v>0</v>
      </c>
      <c r="H314" t="s">
        <v>743</v>
      </c>
      <c r="I314">
        <v>0</v>
      </c>
      <c r="J314" t="s">
        <v>743</v>
      </c>
      <c r="K314" t="s">
        <v>748</v>
      </c>
    </row>
    <row r="315" spans="1:11" ht="15" customHeight="1" x14ac:dyDescent="0.3">
      <c r="A315" t="s">
        <v>776</v>
      </c>
      <c r="B315">
        <v>0.3</v>
      </c>
      <c r="C315" t="s">
        <v>760</v>
      </c>
      <c r="D315" t="s">
        <v>747</v>
      </c>
      <c r="E315">
        <v>0</v>
      </c>
      <c r="F315" t="s">
        <v>742</v>
      </c>
      <c r="G315">
        <v>0</v>
      </c>
      <c r="H315" t="s">
        <v>743</v>
      </c>
      <c r="I315">
        <v>0</v>
      </c>
      <c r="J315" t="s">
        <v>743</v>
      </c>
      <c r="K315" t="s">
        <v>748</v>
      </c>
    </row>
    <row r="316" spans="1:11" ht="15" customHeight="1" x14ac:dyDescent="0.3">
      <c r="A316" t="s">
        <v>777</v>
      </c>
      <c r="B316">
        <v>1.1000000000000001</v>
      </c>
      <c r="C316" t="s">
        <v>760</v>
      </c>
      <c r="D316" t="s">
        <v>753</v>
      </c>
      <c r="E316">
        <v>0</v>
      </c>
      <c r="F316" t="s">
        <v>742</v>
      </c>
      <c r="G316">
        <v>0</v>
      </c>
      <c r="H316" t="s">
        <v>743</v>
      </c>
      <c r="I316">
        <v>0</v>
      </c>
      <c r="J316" t="s">
        <v>743</v>
      </c>
      <c r="K316" t="s">
        <v>748</v>
      </c>
    </row>
    <row r="317" spans="1:11" ht="15" customHeight="1" x14ac:dyDescent="0.3">
      <c r="A317" t="s">
        <v>778</v>
      </c>
      <c r="B317">
        <v>1.94</v>
      </c>
      <c r="C317" t="s">
        <v>760</v>
      </c>
      <c r="D317" t="s">
        <v>753</v>
      </c>
      <c r="E317">
        <v>0</v>
      </c>
      <c r="F317" t="s">
        <v>742</v>
      </c>
      <c r="G317">
        <v>0</v>
      </c>
      <c r="H317" t="s">
        <v>743</v>
      </c>
      <c r="I317">
        <v>0</v>
      </c>
      <c r="J317" t="s">
        <v>743</v>
      </c>
      <c r="K317" t="s">
        <v>748</v>
      </c>
    </row>
    <row r="318" spans="1:11" ht="15" customHeight="1" x14ac:dyDescent="0.3">
      <c r="A318" t="s">
        <v>509</v>
      </c>
      <c r="B318">
        <v>1.2</v>
      </c>
      <c r="C318" t="s">
        <v>760</v>
      </c>
      <c r="D318" t="s">
        <v>749</v>
      </c>
      <c r="E318">
        <v>0</v>
      </c>
      <c r="F318" t="s">
        <v>742</v>
      </c>
      <c r="G318">
        <v>0</v>
      </c>
      <c r="H318" t="s">
        <v>743</v>
      </c>
      <c r="I318">
        <v>0</v>
      </c>
      <c r="J318" t="s">
        <v>743</v>
      </c>
      <c r="K318" t="s">
        <v>748</v>
      </c>
    </row>
    <row r="319" spans="1:11" ht="15" customHeight="1" x14ac:dyDescent="0.3">
      <c r="A319" t="s">
        <v>510</v>
      </c>
      <c r="B319">
        <v>2.5299999999999998</v>
      </c>
      <c r="C319" t="s">
        <v>760</v>
      </c>
      <c r="D319" t="s">
        <v>753</v>
      </c>
      <c r="E319">
        <v>0</v>
      </c>
      <c r="F319" t="s">
        <v>742</v>
      </c>
      <c r="G319">
        <v>0</v>
      </c>
      <c r="H319" t="s">
        <v>743</v>
      </c>
      <c r="I319">
        <v>0</v>
      </c>
      <c r="J319" t="s">
        <v>743</v>
      </c>
      <c r="K319" t="s">
        <v>748</v>
      </c>
    </row>
    <row r="320" spans="1:11" ht="15" customHeight="1" x14ac:dyDescent="0.3">
      <c r="A320" t="s">
        <v>511</v>
      </c>
      <c r="B320">
        <v>0.4</v>
      </c>
      <c r="C320" t="s">
        <v>760</v>
      </c>
      <c r="D320" t="s">
        <v>747</v>
      </c>
      <c r="E320">
        <v>0</v>
      </c>
      <c r="F320" t="s">
        <v>742</v>
      </c>
      <c r="G320">
        <v>0</v>
      </c>
      <c r="H320" t="s">
        <v>743</v>
      </c>
      <c r="I320">
        <v>0</v>
      </c>
      <c r="J320" t="s">
        <v>743</v>
      </c>
      <c r="K320" t="s">
        <v>748</v>
      </c>
    </row>
    <row r="321" spans="1:11" ht="15" customHeight="1" x14ac:dyDescent="0.3">
      <c r="A321" t="s">
        <v>779</v>
      </c>
      <c r="B321">
        <v>0.6</v>
      </c>
      <c r="C321" t="s">
        <v>760</v>
      </c>
      <c r="D321" t="s">
        <v>749</v>
      </c>
      <c r="E321">
        <v>0</v>
      </c>
      <c r="F321" t="s">
        <v>742</v>
      </c>
      <c r="G321">
        <v>0</v>
      </c>
      <c r="H321" t="s">
        <v>743</v>
      </c>
      <c r="I321">
        <v>0</v>
      </c>
      <c r="J321" t="s">
        <v>743</v>
      </c>
      <c r="K321" t="s">
        <v>748</v>
      </c>
    </row>
    <row r="322" spans="1:11" ht="15" customHeight="1" x14ac:dyDescent="0.3">
      <c r="A322" t="s">
        <v>515</v>
      </c>
      <c r="B322">
        <v>0.8</v>
      </c>
      <c r="C322" t="s">
        <v>760</v>
      </c>
      <c r="D322" t="s">
        <v>749</v>
      </c>
      <c r="E322">
        <v>0</v>
      </c>
      <c r="F322" t="s">
        <v>742</v>
      </c>
      <c r="G322">
        <v>0</v>
      </c>
      <c r="H322" t="s">
        <v>743</v>
      </c>
      <c r="I322">
        <v>0</v>
      </c>
      <c r="J322" t="s">
        <v>743</v>
      </c>
      <c r="K322" t="s">
        <v>748</v>
      </c>
    </row>
    <row r="323" spans="1:11" ht="15" customHeight="1" x14ac:dyDescent="0.3">
      <c r="A323" t="s">
        <v>780</v>
      </c>
      <c r="B323">
        <v>3.05</v>
      </c>
      <c r="C323" t="s">
        <v>760</v>
      </c>
      <c r="D323" t="s">
        <v>753</v>
      </c>
      <c r="E323">
        <v>0</v>
      </c>
      <c r="F323" t="s">
        <v>742</v>
      </c>
      <c r="G323">
        <v>0</v>
      </c>
      <c r="H323" t="s">
        <v>743</v>
      </c>
      <c r="I323">
        <v>0</v>
      </c>
      <c r="J323" t="s">
        <v>743</v>
      </c>
      <c r="K323" t="s">
        <v>748</v>
      </c>
    </row>
    <row r="324" spans="1:11" ht="15" customHeight="1" x14ac:dyDescent="0.3">
      <c r="A324" t="s">
        <v>517</v>
      </c>
      <c r="B324">
        <v>0.5</v>
      </c>
      <c r="C324" t="s">
        <v>760</v>
      </c>
      <c r="D324" t="s">
        <v>747</v>
      </c>
      <c r="E324">
        <v>0</v>
      </c>
      <c r="F324" t="s">
        <v>742</v>
      </c>
      <c r="G324">
        <v>0</v>
      </c>
      <c r="H324" t="s">
        <v>743</v>
      </c>
      <c r="I324">
        <v>0</v>
      </c>
      <c r="J324" t="s">
        <v>743</v>
      </c>
      <c r="K324" t="s">
        <v>748</v>
      </c>
    </row>
    <row r="325" spans="1:11" ht="15" customHeight="1" x14ac:dyDescent="0.3">
      <c r="A325" t="s">
        <v>781</v>
      </c>
      <c r="B325">
        <v>2.1800000000000002</v>
      </c>
      <c r="C325" t="s">
        <v>760</v>
      </c>
      <c r="D325" t="s">
        <v>753</v>
      </c>
      <c r="E325">
        <v>0</v>
      </c>
      <c r="F325" t="s">
        <v>742</v>
      </c>
      <c r="G325">
        <v>0</v>
      </c>
      <c r="H325" t="s">
        <v>743</v>
      </c>
      <c r="I325">
        <v>0</v>
      </c>
      <c r="J325" t="s">
        <v>743</v>
      </c>
      <c r="K325" t="s">
        <v>748</v>
      </c>
    </row>
    <row r="326" spans="1:11" ht="15" customHeight="1" x14ac:dyDescent="0.3">
      <c r="A326" t="s">
        <v>519</v>
      </c>
      <c r="B326">
        <v>0.5</v>
      </c>
      <c r="C326" t="s">
        <v>760</v>
      </c>
      <c r="D326" t="s">
        <v>747</v>
      </c>
      <c r="E326">
        <v>0</v>
      </c>
      <c r="F326" t="s">
        <v>742</v>
      </c>
      <c r="G326">
        <v>0</v>
      </c>
      <c r="H326" t="s">
        <v>743</v>
      </c>
      <c r="I326">
        <v>0</v>
      </c>
      <c r="J326" t="s">
        <v>743</v>
      </c>
      <c r="K326" t="s">
        <v>748</v>
      </c>
    </row>
    <row r="327" spans="1:11" ht="15" customHeight="1" x14ac:dyDescent="0.3">
      <c r="A327" t="s">
        <v>520</v>
      </c>
      <c r="B327">
        <v>1</v>
      </c>
      <c r="C327" t="s">
        <v>760</v>
      </c>
      <c r="D327" t="s">
        <v>749</v>
      </c>
      <c r="E327">
        <v>0</v>
      </c>
      <c r="F327" t="s">
        <v>742</v>
      </c>
      <c r="G327">
        <v>0</v>
      </c>
      <c r="H327" t="s">
        <v>743</v>
      </c>
      <c r="I327">
        <v>0</v>
      </c>
      <c r="J327" t="s">
        <v>743</v>
      </c>
      <c r="K327" t="s">
        <v>748</v>
      </c>
    </row>
    <row r="328" spans="1:11" ht="15" customHeight="1" x14ac:dyDescent="0.3">
      <c r="A328" t="s">
        <v>540</v>
      </c>
      <c r="B328">
        <v>1.2</v>
      </c>
      <c r="C328" t="s">
        <v>760</v>
      </c>
      <c r="D328" t="s">
        <v>749</v>
      </c>
      <c r="E328">
        <v>0</v>
      </c>
      <c r="F328" t="s">
        <v>742</v>
      </c>
      <c r="G328">
        <v>0</v>
      </c>
      <c r="H328" t="s">
        <v>743</v>
      </c>
      <c r="I328">
        <v>0</v>
      </c>
      <c r="J328" t="s">
        <v>743</v>
      </c>
      <c r="K328" t="s">
        <v>748</v>
      </c>
    </row>
    <row r="329" spans="1:11" ht="15" customHeight="1" x14ac:dyDescent="0.3">
      <c r="A329" t="s">
        <v>541</v>
      </c>
      <c r="B329">
        <v>0.26</v>
      </c>
      <c r="C329" t="s">
        <v>760</v>
      </c>
      <c r="D329" t="s">
        <v>747</v>
      </c>
      <c r="E329">
        <v>0</v>
      </c>
      <c r="F329" t="s">
        <v>742</v>
      </c>
      <c r="G329">
        <v>0</v>
      </c>
      <c r="H329" t="s">
        <v>743</v>
      </c>
      <c r="I329">
        <v>0</v>
      </c>
      <c r="J329" t="s">
        <v>743</v>
      </c>
      <c r="K329" t="s">
        <v>748</v>
      </c>
    </row>
    <row r="330" spans="1:11" ht="15" customHeight="1" x14ac:dyDescent="0.3">
      <c r="A330" t="s">
        <v>782</v>
      </c>
      <c r="B330">
        <v>1.1399999999999999</v>
      </c>
      <c r="C330" t="s">
        <v>760</v>
      </c>
      <c r="D330" t="s">
        <v>749</v>
      </c>
      <c r="E330">
        <v>0</v>
      </c>
      <c r="F330" t="s">
        <v>742</v>
      </c>
      <c r="G330">
        <v>0</v>
      </c>
      <c r="H330" t="s">
        <v>743</v>
      </c>
      <c r="I330">
        <v>0</v>
      </c>
      <c r="J330" t="s">
        <v>743</v>
      </c>
      <c r="K330" t="s">
        <v>748</v>
      </c>
    </row>
    <row r="331" spans="1:11" ht="15" customHeight="1" x14ac:dyDescent="0.3">
      <c r="A331" t="s">
        <v>783</v>
      </c>
      <c r="B331">
        <v>1.2</v>
      </c>
      <c r="C331" t="s">
        <v>760</v>
      </c>
      <c r="D331" t="s">
        <v>749</v>
      </c>
      <c r="E331">
        <v>0</v>
      </c>
      <c r="F331" t="s">
        <v>742</v>
      </c>
      <c r="G331">
        <v>0</v>
      </c>
      <c r="H331" t="s">
        <v>743</v>
      </c>
      <c r="I331">
        <v>0</v>
      </c>
      <c r="J331" t="s">
        <v>743</v>
      </c>
      <c r="K331" t="s">
        <v>748</v>
      </c>
    </row>
    <row r="332" spans="1:11" ht="15" customHeight="1" x14ac:dyDescent="0.3">
      <c r="A332" t="s">
        <v>546</v>
      </c>
      <c r="B332">
        <v>1</v>
      </c>
      <c r="C332" t="s">
        <v>760</v>
      </c>
      <c r="D332" t="s">
        <v>749</v>
      </c>
      <c r="E332">
        <v>0</v>
      </c>
      <c r="F332" t="s">
        <v>742</v>
      </c>
      <c r="G332">
        <v>0</v>
      </c>
      <c r="H332" t="s">
        <v>743</v>
      </c>
      <c r="I332">
        <v>0</v>
      </c>
      <c r="J332" t="s">
        <v>743</v>
      </c>
      <c r="K332" t="s">
        <v>748</v>
      </c>
    </row>
    <row r="333" spans="1:11" ht="15" customHeight="1" x14ac:dyDescent="0.3">
      <c r="A333" t="s">
        <v>547</v>
      </c>
      <c r="B333">
        <v>1.5</v>
      </c>
      <c r="C333" t="s">
        <v>760</v>
      </c>
      <c r="D333" t="s">
        <v>749</v>
      </c>
      <c r="E333">
        <v>0</v>
      </c>
      <c r="F333" t="s">
        <v>742</v>
      </c>
      <c r="G333">
        <v>0</v>
      </c>
      <c r="H333" t="s">
        <v>743</v>
      </c>
      <c r="I333">
        <v>0</v>
      </c>
      <c r="J333" t="s">
        <v>743</v>
      </c>
      <c r="K333" t="s">
        <v>748</v>
      </c>
    </row>
    <row r="334" spans="1:11" ht="15" customHeight="1" x14ac:dyDescent="0.3">
      <c r="A334" t="s">
        <v>549</v>
      </c>
      <c r="B334">
        <v>1.4</v>
      </c>
      <c r="C334" t="s">
        <v>760</v>
      </c>
      <c r="D334" t="s">
        <v>749</v>
      </c>
      <c r="E334">
        <v>0</v>
      </c>
      <c r="F334" t="s">
        <v>742</v>
      </c>
      <c r="G334">
        <v>0</v>
      </c>
      <c r="H334" t="s">
        <v>743</v>
      </c>
      <c r="I334">
        <v>0</v>
      </c>
      <c r="J334" t="s">
        <v>743</v>
      </c>
      <c r="K334" t="s">
        <v>748</v>
      </c>
    </row>
    <row r="335" spans="1:11" ht="15" customHeight="1" x14ac:dyDescent="0.3">
      <c r="A335" t="s">
        <v>550</v>
      </c>
      <c r="B335">
        <v>1.48</v>
      </c>
      <c r="C335" t="s">
        <v>760</v>
      </c>
      <c r="D335" t="s">
        <v>749</v>
      </c>
      <c r="E335">
        <v>0</v>
      </c>
      <c r="F335" t="s">
        <v>742</v>
      </c>
      <c r="G335">
        <v>0</v>
      </c>
      <c r="H335" t="s">
        <v>743</v>
      </c>
      <c r="I335">
        <v>0</v>
      </c>
      <c r="J335" t="s">
        <v>743</v>
      </c>
      <c r="K335" t="s">
        <v>748</v>
      </c>
    </row>
    <row r="336" spans="1:11" ht="15" customHeight="1" x14ac:dyDescent="0.3">
      <c r="A336" t="s">
        <v>784</v>
      </c>
      <c r="B336">
        <v>0.18</v>
      </c>
      <c r="C336" t="s">
        <v>760</v>
      </c>
      <c r="D336" t="s">
        <v>747</v>
      </c>
      <c r="E336">
        <v>0</v>
      </c>
      <c r="F336" t="s">
        <v>742</v>
      </c>
      <c r="G336">
        <v>0</v>
      </c>
      <c r="H336" t="s">
        <v>743</v>
      </c>
      <c r="I336">
        <v>0</v>
      </c>
      <c r="J336" t="s">
        <v>743</v>
      </c>
      <c r="K336" t="s">
        <v>748</v>
      </c>
    </row>
    <row r="337" spans="1:11" ht="15" customHeight="1" x14ac:dyDescent="0.3">
      <c r="A337" t="s">
        <v>785</v>
      </c>
      <c r="B337">
        <v>7.0000000000000007E-2</v>
      </c>
      <c r="C337" t="s">
        <v>760</v>
      </c>
      <c r="D337" t="s">
        <v>741</v>
      </c>
      <c r="E337">
        <v>0</v>
      </c>
      <c r="F337" t="s">
        <v>742</v>
      </c>
      <c r="G337">
        <v>0</v>
      </c>
      <c r="H337" t="s">
        <v>743</v>
      </c>
      <c r="I337">
        <v>0</v>
      </c>
      <c r="J337" t="s">
        <v>743</v>
      </c>
      <c r="K337" t="s">
        <v>748</v>
      </c>
    </row>
    <row r="338" spans="1:11" ht="15" customHeight="1" x14ac:dyDescent="0.3">
      <c r="A338" t="s">
        <v>786</v>
      </c>
      <c r="B338">
        <v>0.35</v>
      </c>
      <c r="C338" t="s">
        <v>760</v>
      </c>
      <c r="D338" t="s">
        <v>747</v>
      </c>
      <c r="E338">
        <v>0</v>
      </c>
      <c r="F338" t="s">
        <v>742</v>
      </c>
      <c r="G338">
        <v>0</v>
      </c>
      <c r="H338" t="s">
        <v>743</v>
      </c>
      <c r="I338">
        <v>0</v>
      </c>
      <c r="J338" t="s">
        <v>743</v>
      </c>
      <c r="K338" t="s">
        <v>748</v>
      </c>
    </row>
    <row r="339" spans="1:11" ht="15" customHeight="1" x14ac:dyDescent="0.3">
      <c r="A339" t="s">
        <v>787</v>
      </c>
      <c r="B339">
        <v>0.25</v>
      </c>
      <c r="C339" t="s">
        <v>760</v>
      </c>
      <c r="D339" t="s">
        <v>747</v>
      </c>
      <c r="E339">
        <v>0</v>
      </c>
      <c r="F339" t="s">
        <v>742</v>
      </c>
      <c r="G339">
        <v>0</v>
      </c>
      <c r="H339" t="s">
        <v>743</v>
      </c>
      <c r="I339">
        <v>0</v>
      </c>
      <c r="J339" t="s">
        <v>743</v>
      </c>
      <c r="K339" t="s">
        <v>748</v>
      </c>
    </row>
    <row r="340" spans="1:11" ht="15" customHeight="1" x14ac:dyDescent="0.3">
      <c r="A340" t="s">
        <v>496</v>
      </c>
      <c r="B340">
        <v>0.3</v>
      </c>
      <c r="C340" t="s">
        <v>760</v>
      </c>
      <c r="D340" t="s">
        <v>747</v>
      </c>
      <c r="E340">
        <v>0</v>
      </c>
      <c r="F340" t="s">
        <v>742</v>
      </c>
      <c r="G340">
        <v>0</v>
      </c>
      <c r="H340" t="s">
        <v>743</v>
      </c>
      <c r="I340">
        <v>0</v>
      </c>
      <c r="J340" t="s">
        <v>743</v>
      </c>
      <c r="K340" t="s">
        <v>748</v>
      </c>
    </row>
    <row r="341" spans="1:11" ht="15" customHeight="1" x14ac:dyDescent="0.3">
      <c r="A341" t="s">
        <v>788</v>
      </c>
      <c r="B341">
        <v>0.3</v>
      </c>
      <c r="C341" t="s">
        <v>760</v>
      </c>
      <c r="D341" t="s">
        <v>747</v>
      </c>
      <c r="E341">
        <v>0</v>
      </c>
      <c r="F341" t="s">
        <v>742</v>
      </c>
      <c r="G341">
        <v>0</v>
      </c>
      <c r="H341" t="s">
        <v>743</v>
      </c>
      <c r="I341">
        <v>0</v>
      </c>
      <c r="J341" t="s">
        <v>743</v>
      </c>
      <c r="K341" t="s">
        <v>748</v>
      </c>
    </row>
    <row r="342" spans="1:11" ht="15" customHeight="1" x14ac:dyDescent="0.3">
      <c r="A342" t="s">
        <v>789</v>
      </c>
      <c r="B342">
        <v>0.45</v>
      </c>
      <c r="C342" t="s">
        <v>760</v>
      </c>
      <c r="D342" t="s">
        <v>747</v>
      </c>
      <c r="E342">
        <v>0</v>
      </c>
      <c r="F342" t="s">
        <v>742</v>
      </c>
      <c r="G342">
        <v>0</v>
      </c>
      <c r="H342" t="s">
        <v>743</v>
      </c>
      <c r="I342">
        <v>0</v>
      </c>
      <c r="J342" t="s">
        <v>743</v>
      </c>
      <c r="K342" t="s">
        <v>748</v>
      </c>
    </row>
    <row r="343" spans="1:11" ht="15" customHeight="1" x14ac:dyDescent="0.3">
      <c r="A343" t="s">
        <v>387</v>
      </c>
      <c r="B343">
        <v>0</v>
      </c>
      <c r="C343" t="s">
        <v>745</v>
      </c>
      <c r="D343" t="s">
        <v>743</v>
      </c>
      <c r="E343">
        <v>0</v>
      </c>
      <c r="F343" t="s">
        <v>742</v>
      </c>
      <c r="G343">
        <v>0</v>
      </c>
      <c r="H343" t="s">
        <v>743</v>
      </c>
      <c r="I343">
        <v>0</v>
      </c>
      <c r="J343" t="s">
        <v>743</v>
      </c>
      <c r="K343" t="s">
        <v>744</v>
      </c>
    </row>
    <row r="344" spans="1:11" ht="15" customHeight="1" x14ac:dyDescent="0.3">
      <c r="A344" t="s">
        <v>790</v>
      </c>
      <c r="B344">
        <v>0.05</v>
      </c>
      <c r="C344" t="s">
        <v>752</v>
      </c>
      <c r="D344" t="s">
        <v>741</v>
      </c>
      <c r="E344">
        <v>0</v>
      </c>
      <c r="F344" t="s">
        <v>742</v>
      </c>
      <c r="G344">
        <v>0</v>
      </c>
      <c r="H344" t="s">
        <v>743</v>
      </c>
      <c r="I344">
        <v>0</v>
      </c>
      <c r="J344" t="s">
        <v>743</v>
      </c>
      <c r="K344" t="s">
        <v>744</v>
      </c>
    </row>
    <row r="345" spans="1:11" ht="15" customHeight="1" x14ac:dyDescent="0.3">
      <c r="A345" t="s">
        <v>390</v>
      </c>
      <c r="B345">
        <v>0.03</v>
      </c>
      <c r="C345" t="s">
        <v>791</v>
      </c>
      <c r="D345" t="s">
        <v>741</v>
      </c>
      <c r="E345">
        <v>0</v>
      </c>
      <c r="F345" t="s">
        <v>742</v>
      </c>
      <c r="G345">
        <v>0</v>
      </c>
      <c r="H345" t="s">
        <v>743</v>
      </c>
      <c r="I345">
        <v>0</v>
      </c>
      <c r="J345" t="s">
        <v>743</v>
      </c>
      <c r="K345" t="s">
        <v>744</v>
      </c>
    </row>
    <row r="346" spans="1:11" ht="15" customHeight="1" x14ac:dyDescent="0.3">
      <c r="A346" t="s">
        <v>792</v>
      </c>
      <c r="B346">
        <v>0</v>
      </c>
      <c r="C346" t="s">
        <v>745</v>
      </c>
      <c r="D346" t="s">
        <v>743</v>
      </c>
      <c r="E346">
        <v>0</v>
      </c>
      <c r="F346" t="s">
        <v>742</v>
      </c>
      <c r="G346">
        <v>0</v>
      </c>
      <c r="H346" t="s">
        <v>743</v>
      </c>
      <c r="I346">
        <v>0</v>
      </c>
      <c r="J346" t="s">
        <v>743</v>
      </c>
      <c r="K346" t="s">
        <v>746</v>
      </c>
    </row>
    <row r="347" spans="1:11" ht="15" customHeight="1" x14ac:dyDescent="0.3">
      <c r="A347" t="s">
        <v>793</v>
      </c>
      <c r="B347">
        <v>0</v>
      </c>
      <c r="C347" t="s">
        <v>745</v>
      </c>
      <c r="D347" t="s">
        <v>743</v>
      </c>
      <c r="E347">
        <v>0</v>
      </c>
      <c r="F347" t="s">
        <v>742</v>
      </c>
      <c r="G347">
        <v>0</v>
      </c>
      <c r="H347" t="s">
        <v>743</v>
      </c>
      <c r="I347">
        <v>0</v>
      </c>
      <c r="J347" t="s">
        <v>743</v>
      </c>
      <c r="K347" t="s">
        <v>746</v>
      </c>
    </row>
    <row r="348" spans="1:11" ht="15" customHeight="1" x14ac:dyDescent="0.3">
      <c r="A348" t="s">
        <v>794</v>
      </c>
      <c r="B348">
        <v>0</v>
      </c>
      <c r="C348" t="s">
        <v>745</v>
      </c>
      <c r="D348" t="s">
        <v>743</v>
      </c>
      <c r="E348">
        <v>0</v>
      </c>
      <c r="F348" t="s">
        <v>742</v>
      </c>
      <c r="G348">
        <v>5</v>
      </c>
      <c r="H348" t="s">
        <v>741</v>
      </c>
      <c r="I348">
        <v>0</v>
      </c>
      <c r="J348" t="s">
        <v>743</v>
      </c>
      <c r="K348" t="s">
        <v>746</v>
      </c>
    </row>
    <row r="349" spans="1:11" ht="15" customHeight="1" x14ac:dyDescent="0.3">
      <c r="A349" t="s">
        <v>795</v>
      </c>
      <c r="B349">
        <v>0.01</v>
      </c>
      <c r="C349" t="s">
        <v>740</v>
      </c>
      <c r="D349" t="s">
        <v>741</v>
      </c>
      <c r="E349">
        <v>0</v>
      </c>
      <c r="F349" t="s">
        <v>742</v>
      </c>
      <c r="G349">
        <v>1200</v>
      </c>
      <c r="H349" t="s">
        <v>753</v>
      </c>
      <c r="I349">
        <v>0</v>
      </c>
      <c r="J349" t="s">
        <v>743</v>
      </c>
      <c r="K349" t="s">
        <v>748</v>
      </c>
    </row>
    <row r="350" spans="1:11" ht="15" customHeight="1" x14ac:dyDescent="0.3">
      <c r="A350" t="s">
        <v>796</v>
      </c>
      <c r="B350">
        <v>0.01</v>
      </c>
      <c r="C350" t="s">
        <v>740</v>
      </c>
      <c r="D350" t="s">
        <v>741</v>
      </c>
      <c r="E350">
        <v>0</v>
      </c>
      <c r="F350" t="s">
        <v>742</v>
      </c>
      <c r="G350">
        <v>400</v>
      </c>
      <c r="H350" t="s">
        <v>749</v>
      </c>
      <c r="I350">
        <v>0</v>
      </c>
      <c r="J350" t="s">
        <v>743</v>
      </c>
      <c r="K350" t="s">
        <v>746</v>
      </c>
    </row>
    <row r="351" spans="1:11" ht="15" customHeight="1" x14ac:dyDescent="0.3">
      <c r="A351" t="s">
        <v>660</v>
      </c>
      <c r="B351">
        <v>0</v>
      </c>
      <c r="C351" t="s">
        <v>745</v>
      </c>
      <c r="D351" t="s">
        <v>743</v>
      </c>
      <c r="E351">
        <v>0.1</v>
      </c>
      <c r="F351" t="s">
        <v>751</v>
      </c>
      <c r="G351">
        <v>0</v>
      </c>
      <c r="H351" t="s">
        <v>743</v>
      </c>
      <c r="I351">
        <v>0</v>
      </c>
      <c r="J351" t="s">
        <v>743</v>
      </c>
      <c r="K351" t="s">
        <v>746</v>
      </c>
    </row>
    <row r="352" spans="1:11" ht="15" customHeight="1" x14ac:dyDescent="0.3">
      <c r="A352" t="s">
        <v>797</v>
      </c>
      <c r="B352">
        <v>0.01</v>
      </c>
      <c r="C352" t="s">
        <v>740</v>
      </c>
      <c r="D352" t="s">
        <v>741</v>
      </c>
      <c r="E352">
        <v>0.1</v>
      </c>
      <c r="F352" t="s">
        <v>751</v>
      </c>
      <c r="G352">
        <v>150</v>
      </c>
      <c r="H352" t="s">
        <v>747</v>
      </c>
      <c r="I352">
        <v>0</v>
      </c>
      <c r="J352" t="s">
        <v>743</v>
      </c>
      <c r="K352" t="s">
        <v>746</v>
      </c>
    </row>
    <row r="353" spans="1:11" ht="15" customHeight="1" x14ac:dyDescent="0.3">
      <c r="A353" t="s">
        <v>663</v>
      </c>
      <c r="B353">
        <v>0.01</v>
      </c>
      <c r="C353" t="s">
        <v>740</v>
      </c>
      <c r="D353" t="s">
        <v>741</v>
      </c>
      <c r="E353">
        <v>0.1</v>
      </c>
      <c r="F353" t="s">
        <v>751</v>
      </c>
      <c r="G353">
        <v>250</v>
      </c>
      <c r="H353" t="s">
        <v>747</v>
      </c>
      <c r="I353">
        <v>0</v>
      </c>
      <c r="J353" t="s">
        <v>743</v>
      </c>
      <c r="K353" t="s">
        <v>746</v>
      </c>
    </row>
    <row r="354" spans="1:11" ht="15" customHeight="1" x14ac:dyDescent="0.3">
      <c r="A354" t="s">
        <v>664</v>
      </c>
      <c r="B354">
        <v>0.02</v>
      </c>
      <c r="C354" t="s">
        <v>740</v>
      </c>
      <c r="D354" t="s">
        <v>741</v>
      </c>
      <c r="E354">
        <v>0</v>
      </c>
      <c r="F354" t="s">
        <v>742</v>
      </c>
      <c r="G354">
        <v>900</v>
      </c>
      <c r="H354" t="s">
        <v>753</v>
      </c>
      <c r="I354">
        <v>0</v>
      </c>
      <c r="J354" t="s">
        <v>743</v>
      </c>
      <c r="K354" t="s">
        <v>748</v>
      </c>
    </row>
    <row r="355" spans="1:11" ht="15" customHeight="1" x14ac:dyDescent="0.3">
      <c r="A355" t="s">
        <v>665</v>
      </c>
      <c r="B355">
        <v>0.02</v>
      </c>
      <c r="C355" t="s">
        <v>740</v>
      </c>
      <c r="D355" t="s">
        <v>741</v>
      </c>
      <c r="E355">
        <v>0.3</v>
      </c>
      <c r="F355" t="s">
        <v>751</v>
      </c>
      <c r="G355">
        <v>120</v>
      </c>
      <c r="H355" t="s">
        <v>747</v>
      </c>
      <c r="I355">
        <v>0</v>
      </c>
      <c r="J355" t="s">
        <v>743</v>
      </c>
      <c r="K355" t="s">
        <v>746</v>
      </c>
    </row>
    <row r="356" spans="1:11" ht="15" customHeight="1" x14ac:dyDescent="0.3">
      <c r="A356" t="s">
        <v>667</v>
      </c>
      <c r="B356">
        <v>0.01</v>
      </c>
      <c r="C356" t="s">
        <v>740</v>
      </c>
      <c r="D356" t="s">
        <v>741</v>
      </c>
      <c r="E356">
        <v>0.2</v>
      </c>
      <c r="F356" t="s">
        <v>751</v>
      </c>
      <c r="G356">
        <v>80</v>
      </c>
      <c r="H356" t="s">
        <v>747</v>
      </c>
      <c r="I356">
        <v>0</v>
      </c>
      <c r="J356" t="s">
        <v>743</v>
      </c>
      <c r="K356" t="s">
        <v>746</v>
      </c>
    </row>
    <row r="357" spans="1:11" ht="15" customHeight="1" x14ac:dyDescent="0.3">
      <c r="A357" t="s">
        <v>798</v>
      </c>
      <c r="B357">
        <v>0</v>
      </c>
      <c r="C357" t="s">
        <v>745</v>
      </c>
      <c r="D357" t="s">
        <v>743</v>
      </c>
      <c r="E357">
        <v>0.1</v>
      </c>
      <c r="F357" t="s">
        <v>751</v>
      </c>
      <c r="G357">
        <v>0</v>
      </c>
      <c r="H357" t="s">
        <v>743</v>
      </c>
      <c r="I357">
        <v>0</v>
      </c>
      <c r="J357" t="s">
        <v>743</v>
      </c>
      <c r="K357" t="s">
        <v>746</v>
      </c>
    </row>
    <row r="358" spans="1:11" ht="15" customHeight="1" x14ac:dyDescent="0.3">
      <c r="A358" t="s">
        <v>799</v>
      </c>
      <c r="B358">
        <v>0.05</v>
      </c>
      <c r="C358" t="s">
        <v>740</v>
      </c>
      <c r="D358" t="s">
        <v>741</v>
      </c>
      <c r="E358">
        <v>1.5</v>
      </c>
      <c r="F358" t="s">
        <v>750</v>
      </c>
      <c r="G358">
        <v>10</v>
      </c>
      <c r="H358" t="s">
        <v>741</v>
      </c>
      <c r="I358">
        <v>0</v>
      </c>
      <c r="J358" t="s">
        <v>743</v>
      </c>
      <c r="K358" t="s">
        <v>746</v>
      </c>
    </row>
    <row r="359" spans="1:11" ht="15" customHeight="1" x14ac:dyDescent="0.3">
      <c r="A359" t="s">
        <v>800</v>
      </c>
      <c r="B359">
        <v>0.04</v>
      </c>
      <c r="C359" t="s">
        <v>740</v>
      </c>
      <c r="D359" t="s">
        <v>741</v>
      </c>
      <c r="E359">
        <v>1.2</v>
      </c>
      <c r="F359" t="s">
        <v>750</v>
      </c>
      <c r="G359">
        <v>15</v>
      </c>
      <c r="H359" t="s">
        <v>741</v>
      </c>
      <c r="I359">
        <v>0</v>
      </c>
      <c r="J359" t="s">
        <v>743</v>
      </c>
      <c r="K359" t="s">
        <v>746</v>
      </c>
    </row>
    <row r="360" spans="1:11" ht="15" customHeight="1" x14ac:dyDescent="0.3">
      <c r="A360" t="s">
        <v>801</v>
      </c>
      <c r="B360">
        <v>0.03</v>
      </c>
      <c r="C360" t="s">
        <v>740</v>
      </c>
      <c r="D360" t="s">
        <v>741</v>
      </c>
      <c r="E360">
        <v>1.8</v>
      </c>
      <c r="F360" t="s">
        <v>750</v>
      </c>
      <c r="G360">
        <v>5</v>
      </c>
      <c r="H360" t="s">
        <v>741</v>
      </c>
      <c r="I360">
        <v>0</v>
      </c>
      <c r="J360" t="s">
        <v>743</v>
      </c>
      <c r="K360" t="s">
        <v>746</v>
      </c>
    </row>
    <row r="361" spans="1:11" ht="15" customHeight="1" x14ac:dyDescent="0.3">
      <c r="A361" t="s">
        <v>685</v>
      </c>
      <c r="B361">
        <v>0.02</v>
      </c>
      <c r="C361" t="s">
        <v>740</v>
      </c>
      <c r="D361" t="s">
        <v>741</v>
      </c>
      <c r="E361">
        <v>1</v>
      </c>
      <c r="F361" t="s">
        <v>750</v>
      </c>
      <c r="G361">
        <v>0</v>
      </c>
      <c r="H361" t="s">
        <v>743</v>
      </c>
      <c r="I361">
        <v>0</v>
      </c>
      <c r="J361" t="s">
        <v>743</v>
      </c>
      <c r="K361" t="s">
        <v>746</v>
      </c>
    </row>
    <row r="362" spans="1:11" ht="15" customHeight="1" x14ac:dyDescent="0.3">
      <c r="A362" t="s">
        <v>802</v>
      </c>
      <c r="B362">
        <v>0</v>
      </c>
      <c r="C362" t="s">
        <v>745</v>
      </c>
      <c r="D362" t="s">
        <v>743</v>
      </c>
      <c r="E362">
        <v>0</v>
      </c>
      <c r="F362" t="s">
        <v>742</v>
      </c>
      <c r="G362">
        <v>0</v>
      </c>
      <c r="H362" t="s">
        <v>743</v>
      </c>
      <c r="I362">
        <v>0</v>
      </c>
      <c r="J362" t="s">
        <v>743</v>
      </c>
      <c r="K362" t="s">
        <v>746</v>
      </c>
    </row>
    <row r="363" spans="1:11" ht="15" customHeight="1" x14ac:dyDescent="0.3">
      <c r="A363" t="s">
        <v>682</v>
      </c>
      <c r="B363">
        <v>0</v>
      </c>
      <c r="C363" t="s">
        <v>745</v>
      </c>
      <c r="D363" t="s">
        <v>743</v>
      </c>
      <c r="E363">
        <v>0</v>
      </c>
      <c r="F363" t="s">
        <v>742</v>
      </c>
      <c r="G363">
        <v>0</v>
      </c>
      <c r="H363" t="s">
        <v>743</v>
      </c>
      <c r="I363">
        <v>0</v>
      </c>
      <c r="J363" t="s">
        <v>743</v>
      </c>
      <c r="K363" t="s">
        <v>746</v>
      </c>
    </row>
    <row r="364" spans="1:11" ht="15" customHeight="1" x14ac:dyDescent="0.3">
      <c r="A364" t="s">
        <v>803</v>
      </c>
      <c r="B364">
        <v>0</v>
      </c>
      <c r="C364" t="s">
        <v>745</v>
      </c>
      <c r="D364" t="s">
        <v>743</v>
      </c>
      <c r="E364">
        <v>0</v>
      </c>
      <c r="F364" t="s">
        <v>742</v>
      </c>
      <c r="G364">
        <v>0</v>
      </c>
      <c r="H364" t="s">
        <v>743</v>
      </c>
      <c r="I364">
        <v>0</v>
      </c>
      <c r="J364" t="s">
        <v>743</v>
      </c>
      <c r="K364" t="s">
        <v>746</v>
      </c>
    </row>
    <row r="365" spans="1:11" ht="15" customHeight="1" x14ac:dyDescent="0.3">
      <c r="A365" t="s">
        <v>804</v>
      </c>
      <c r="B365">
        <v>9</v>
      </c>
      <c r="C365" t="s">
        <v>740</v>
      </c>
      <c r="D365" t="s">
        <v>753</v>
      </c>
      <c r="E365">
        <v>0</v>
      </c>
      <c r="F365" t="s">
        <v>742</v>
      </c>
      <c r="G365">
        <v>0</v>
      </c>
      <c r="H365" t="s">
        <v>743</v>
      </c>
      <c r="I365">
        <v>0</v>
      </c>
      <c r="J365" t="s">
        <v>743</v>
      </c>
      <c r="K365" t="s">
        <v>748</v>
      </c>
    </row>
    <row r="366" spans="1:11" ht="15" customHeight="1" x14ac:dyDescent="0.3">
      <c r="A366" t="s">
        <v>805</v>
      </c>
      <c r="B366">
        <v>0.5</v>
      </c>
      <c r="C366" t="s">
        <v>740</v>
      </c>
      <c r="D366" t="s">
        <v>749</v>
      </c>
      <c r="E366">
        <v>0</v>
      </c>
      <c r="F366" t="s">
        <v>742</v>
      </c>
      <c r="G366">
        <v>5</v>
      </c>
      <c r="H366" t="s">
        <v>741</v>
      </c>
      <c r="I366">
        <v>0</v>
      </c>
      <c r="J366" t="s">
        <v>743</v>
      </c>
      <c r="K366" t="s">
        <v>748</v>
      </c>
    </row>
    <row r="367" spans="1:11" ht="15" customHeight="1" x14ac:dyDescent="0.3">
      <c r="A367" t="s">
        <v>806</v>
      </c>
      <c r="B367">
        <v>0.05</v>
      </c>
      <c r="C367" t="s">
        <v>740</v>
      </c>
      <c r="D367" t="s">
        <v>741</v>
      </c>
      <c r="E367">
        <v>0</v>
      </c>
      <c r="F367" t="s">
        <v>742</v>
      </c>
      <c r="G367">
        <v>0</v>
      </c>
      <c r="H367" t="s">
        <v>743</v>
      </c>
      <c r="I367">
        <v>0</v>
      </c>
      <c r="J367" t="s">
        <v>743</v>
      </c>
      <c r="K367" t="s">
        <v>746</v>
      </c>
    </row>
    <row r="368" spans="1:11" ht="15" customHeight="1" x14ac:dyDescent="0.3">
      <c r="A368" t="s">
        <v>560</v>
      </c>
      <c r="B368">
        <v>20</v>
      </c>
      <c r="C368" t="s">
        <v>760</v>
      </c>
      <c r="D368" t="s">
        <v>753</v>
      </c>
      <c r="E368">
        <v>0</v>
      </c>
      <c r="F368" t="s">
        <v>742</v>
      </c>
      <c r="G368">
        <v>0</v>
      </c>
      <c r="H368" t="s">
        <v>743</v>
      </c>
      <c r="I368">
        <v>0</v>
      </c>
      <c r="J368" t="s">
        <v>743</v>
      </c>
      <c r="K368" t="s">
        <v>748</v>
      </c>
    </row>
    <row r="369" spans="1:11" ht="15" customHeight="1" x14ac:dyDescent="0.3">
      <c r="A369" t="s">
        <v>807</v>
      </c>
      <c r="B369">
        <v>0.7</v>
      </c>
      <c r="C369" t="s">
        <v>740</v>
      </c>
      <c r="D369" t="s">
        <v>747</v>
      </c>
      <c r="E369">
        <v>0</v>
      </c>
      <c r="F369" t="s">
        <v>742</v>
      </c>
      <c r="G369">
        <v>45</v>
      </c>
      <c r="H369" t="s">
        <v>747</v>
      </c>
      <c r="I369">
        <v>0</v>
      </c>
      <c r="J369" t="s">
        <v>743</v>
      </c>
      <c r="K369" t="s">
        <v>748</v>
      </c>
    </row>
    <row r="370" spans="1:11" ht="15" customHeight="1" x14ac:dyDescent="0.3">
      <c r="A370" t="s">
        <v>808</v>
      </c>
      <c r="B370">
        <v>0.3</v>
      </c>
      <c r="C370" t="s">
        <v>757</v>
      </c>
      <c r="D370" t="s">
        <v>747</v>
      </c>
      <c r="E370">
        <v>3.5</v>
      </c>
      <c r="F370" t="s">
        <v>751</v>
      </c>
      <c r="G370">
        <v>0</v>
      </c>
      <c r="H370" t="s">
        <v>743</v>
      </c>
      <c r="I370">
        <v>0</v>
      </c>
      <c r="J370" t="s">
        <v>743</v>
      </c>
      <c r="K370" t="s">
        <v>744</v>
      </c>
    </row>
    <row r="371" spans="1:11" ht="15" customHeight="1" x14ac:dyDescent="0.3">
      <c r="A371" t="s">
        <v>809</v>
      </c>
      <c r="B371">
        <v>2.5</v>
      </c>
      <c r="C371" t="s">
        <v>740</v>
      </c>
      <c r="D371" t="s">
        <v>749</v>
      </c>
      <c r="E371">
        <v>19.100000000000001</v>
      </c>
      <c r="F371" t="s">
        <v>750</v>
      </c>
      <c r="G371">
        <v>0</v>
      </c>
      <c r="H371" t="s">
        <v>743</v>
      </c>
      <c r="I371">
        <v>0</v>
      </c>
      <c r="J371" t="s">
        <v>743</v>
      </c>
      <c r="K371" t="s">
        <v>746</v>
      </c>
    </row>
    <row r="372" spans="1:11" ht="15" customHeight="1" x14ac:dyDescent="0.3">
      <c r="A372" t="s">
        <v>810</v>
      </c>
      <c r="B372">
        <v>0.1</v>
      </c>
      <c r="C372" t="s">
        <v>740</v>
      </c>
      <c r="D372" t="s">
        <v>741</v>
      </c>
      <c r="E372">
        <v>0.5</v>
      </c>
      <c r="F372" t="s">
        <v>751</v>
      </c>
      <c r="G372">
        <v>0</v>
      </c>
      <c r="H372" t="s">
        <v>743</v>
      </c>
      <c r="I372">
        <v>0</v>
      </c>
      <c r="J372" t="s">
        <v>743</v>
      </c>
      <c r="K372" t="s">
        <v>746</v>
      </c>
    </row>
    <row r="373" spans="1:11" ht="15" customHeight="1" x14ac:dyDescent="0.3">
      <c r="A373" t="s">
        <v>811</v>
      </c>
      <c r="B373">
        <v>0</v>
      </c>
      <c r="C373" t="s">
        <v>745</v>
      </c>
      <c r="D373" t="s">
        <v>743</v>
      </c>
      <c r="E373">
        <v>0</v>
      </c>
      <c r="F373" t="s">
        <v>742</v>
      </c>
      <c r="G373">
        <v>0</v>
      </c>
      <c r="H373" t="s">
        <v>743</v>
      </c>
      <c r="I373">
        <v>0</v>
      </c>
      <c r="J373" t="s">
        <v>743</v>
      </c>
      <c r="K373" t="s">
        <v>744</v>
      </c>
    </row>
    <row r="374" spans="1:11" ht="15" customHeight="1" x14ac:dyDescent="0.3">
      <c r="A374" t="s">
        <v>812</v>
      </c>
      <c r="B374">
        <v>0</v>
      </c>
      <c r="C374" t="s">
        <v>745</v>
      </c>
      <c r="D374" t="s">
        <v>743</v>
      </c>
      <c r="E374">
        <v>0</v>
      </c>
      <c r="F374" t="s">
        <v>742</v>
      </c>
      <c r="G374">
        <v>0</v>
      </c>
      <c r="H374" t="s">
        <v>743</v>
      </c>
      <c r="I374">
        <v>0</v>
      </c>
      <c r="J374" t="s">
        <v>743</v>
      </c>
      <c r="K374" t="s">
        <v>746</v>
      </c>
    </row>
    <row r="375" spans="1:11" ht="15" customHeight="1" x14ac:dyDescent="0.3">
      <c r="A375" t="s">
        <v>813</v>
      </c>
      <c r="B375">
        <v>0</v>
      </c>
      <c r="C375" t="s">
        <v>745</v>
      </c>
      <c r="D375" t="s">
        <v>743</v>
      </c>
      <c r="E375">
        <v>0</v>
      </c>
      <c r="F375" t="s">
        <v>742</v>
      </c>
      <c r="G375">
        <v>5</v>
      </c>
      <c r="H375" t="s">
        <v>741</v>
      </c>
      <c r="I375">
        <v>0</v>
      </c>
      <c r="J375" t="s">
        <v>743</v>
      </c>
      <c r="K375" t="s">
        <v>746</v>
      </c>
    </row>
    <row r="376" spans="1:11" ht="15" customHeight="1" x14ac:dyDescent="0.3">
      <c r="A376" t="s">
        <v>814</v>
      </c>
      <c r="B376">
        <v>0</v>
      </c>
      <c r="C376" t="s">
        <v>745</v>
      </c>
      <c r="D376" t="s">
        <v>743</v>
      </c>
      <c r="E376">
        <v>0</v>
      </c>
      <c r="F376" t="s">
        <v>742</v>
      </c>
      <c r="G376">
        <v>0</v>
      </c>
      <c r="H376" t="s">
        <v>743</v>
      </c>
      <c r="I376">
        <v>0</v>
      </c>
      <c r="J376" t="s">
        <v>743</v>
      </c>
      <c r="K376" t="s">
        <v>746</v>
      </c>
    </row>
    <row r="377" spans="1:11" ht="15" customHeight="1" x14ac:dyDescent="0.3">
      <c r="A377" t="s">
        <v>815</v>
      </c>
      <c r="B377">
        <v>0</v>
      </c>
      <c r="C377" t="s">
        <v>745</v>
      </c>
      <c r="D377" t="s">
        <v>743</v>
      </c>
      <c r="E377">
        <v>0</v>
      </c>
      <c r="F377" t="s">
        <v>742</v>
      </c>
      <c r="G377">
        <v>150</v>
      </c>
      <c r="H377" t="s">
        <v>749</v>
      </c>
      <c r="I377">
        <v>0</v>
      </c>
      <c r="J377" t="s">
        <v>743</v>
      </c>
      <c r="K377" t="s">
        <v>748</v>
      </c>
    </row>
    <row r="378" spans="1:11" ht="15" customHeight="1" x14ac:dyDescent="0.3">
      <c r="A378" t="s">
        <v>816</v>
      </c>
      <c r="B378">
        <v>0</v>
      </c>
      <c r="C378" t="s">
        <v>745</v>
      </c>
      <c r="D378" t="s">
        <v>743</v>
      </c>
      <c r="E378">
        <v>0</v>
      </c>
      <c r="F378" t="s">
        <v>742</v>
      </c>
      <c r="G378">
        <v>200</v>
      </c>
      <c r="H378" t="s">
        <v>749</v>
      </c>
      <c r="I378">
        <v>0</v>
      </c>
      <c r="J378" t="s">
        <v>743</v>
      </c>
      <c r="K378" t="s">
        <v>748</v>
      </c>
    </row>
    <row r="379" spans="1:11" ht="15" customHeight="1" x14ac:dyDescent="0.3">
      <c r="A379" t="s">
        <v>817</v>
      </c>
      <c r="B379">
        <v>0</v>
      </c>
      <c r="C379" t="s">
        <v>745</v>
      </c>
      <c r="D379" t="s">
        <v>743</v>
      </c>
      <c r="E379">
        <v>0</v>
      </c>
      <c r="F379" t="s">
        <v>742</v>
      </c>
      <c r="G379">
        <v>45</v>
      </c>
      <c r="H379" t="s">
        <v>747</v>
      </c>
      <c r="I379">
        <v>0</v>
      </c>
      <c r="J379" t="s">
        <v>743</v>
      </c>
      <c r="K379" t="s">
        <v>746</v>
      </c>
    </row>
    <row r="380" spans="1:11" ht="15" customHeight="1" x14ac:dyDescent="0.3">
      <c r="A380" t="s">
        <v>727</v>
      </c>
      <c r="B380">
        <v>0</v>
      </c>
      <c r="C380" t="s">
        <v>745</v>
      </c>
      <c r="D380" t="s">
        <v>743</v>
      </c>
      <c r="E380">
        <v>0</v>
      </c>
      <c r="F380" t="s">
        <v>742</v>
      </c>
      <c r="G380">
        <v>10</v>
      </c>
      <c r="H380" t="s">
        <v>741</v>
      </c>
      <c r="I380">
        <v>0</v>
      </c>
      <c r="J380" t="s">
        <v>743</v>
      </c>
      <c r="K380" t="s">
        <v>746</v>
      </c>
    </row>
    <row r="381" spans="1:11" ht="15" customHeight="1" x14ac:dyDescent="0.3">
      <c r="A381" t="s">
        <v>818</v>
      </c>
      <c r="B381">
        <v>0.1</v>
      </c>
      <c r="C381" t="s">
        <v>740</v>
      </c>
      <c r="D381" t="s">
        <v>747</v>
      </c>
      <c r="E381">
        <v>0</v>
      </c>
      <c r="F381" t="s">
        <v>742</v>
      </c>
      <c r="G381">
        <v>15</v>
      </c>
      <c r="H381" t="s">
        <v>741</v>
      </c>
      <c r="I381">
        <v>0</v>
      </c>
      <c r="J381" t="s">
        <v>743</v>
      </c>
      <c r="K381" t="s">
        <v>744</v>
      </c>
    </row>
    <row r="382" spans="1:11" ht="15" customHeight="1" x14ac:dyDescent="0.3">
      <c r="A382" t="s">
        <v>819</v>
      </c>
      <c r="B382">
        <v>0.02</v>
      </c>
      <c r="C382" t="s">
        <v>740</v>
      </c>
      <c r="D382" t="s">
        <v>741</v>
      </c>
      <c r="E382">
        <v>0</v>
      </c>
      <c r="F382" t="s">
        <v>742</v>
      </c>
      <c r="G382">
        <v>5</v>
      </c>
      <c r="H382" t="s">
        <v>741</v>
      </c>
      <c r="I382">
        <v>0</v>
      </c>
      <c r="J382" t="s">
        <v>743</v>
      </c>
      <c r="K382" t="s">
        <v>746</v>
      </c>
    </row>
    <row r="383" spans="1:11" ht="15" customHeight="1" x14ac:dyDescent="0.3">
      <c r="A383" t="s">
        <v>595</v>
      </c>
      <c r="B383">
        <v>0.1</v>
      </c>
      <c r="C383" t="s">
        <v>740</v>
      </c>
      <c r="D383" t="s">
        <v>747</v>
      </c>
      <c r="E383">
        <v>0</v>
      </c>
      <c r="F383" t="s">
        <v>742</v>
      </c>
      <c r="G383">
        <v>15000</v>
      </c>
      <c r="H383" t="s">
        <v>753</v>
      </c>
      <c r="I383">
        <v>0</v>
      </c>
      <c r="J383" t="s">
        <v>743</v>
      </c>
      <c r="K383" t="s">
        <v>748</v>
      </c>
    </row>
    <row r="384" spans="1:11" ht="15" customHeight="1" x14ac:dyDescent="0.3">
      <c r="A384" t="s">
        <v>607</v>
      </c>
      <c r="B384">
        <v>0.05</v>
      </c>
      <c r="C384" t="s">
        <v>740</v>
      </c>
      <c r="D384" t="s">
        <v>741</v>
      </c>
      <c r="E384">
        <v>0</v>
      </c>
      <c r="F384" t="s">
        <v>742</v>
      </c>
      <c r="G384">
        <v>11900</v>
      </c>
      <c r="H384" t="s">
        <v>753</v>
      </c>
      <c r="I384">
        <v>0</v>
      </c>
      <c r="J384" t="s">
        <v>743</v>
      </c>
      <c r="K384" t="s">
        <v>748</v>
      </c>
    </row>
    <row r="385" spans="1:11" ht="15" customHeight="1" x14ac:dyDescent="0.3">
      <c r="A385" t="s">
        <v>820</v>
      </c>
      <c r="B385">
        <v>0.2</v>
      </c>
      <c r="C385" t="s">
        <v>740</v>
      </c>
      <c r="D385" t="s">
        <v>747</v>
      </c>
      <c r="E385">
        <v>0</v>
      </c>
      <c r="F385" t="s">
        <v>742</v>
      </c>
      <c r="G385">
        <v>8000</v>
      </c>
      <c r="H385" t="s">
        <v>753</v>
      </c>
      <c r="I385">
        <v>0</v>
      </c>
      <c r="J385" t="s">
        <v>743</v>
      </c>
      <c r="K385" t="s">
        <v>748</v>
      </c>
    </row>
    <row r="386" spans="1:11" ht="15" customHeight="1" x14ac:dyDescent="0.3">
      <c r="A386" t="s">
        <v>821</v>
      </c>
      <c r="B386">
        <v>0.05</v>
      </c>
      <c r="C386" t="s">
        <v>740</v>
      </c>
      <c r="D386" t="s">
        <v>741</v>
      </c>
      <c r="E386">
        <v>0</v>
      </c>
      <c r="F386" t="s">
        <v>742</v>
      </c>
      <c r="G386">
        <v>3500</v>
      </c>
      <c r="H386" t="s">
        <v>753</v>
      </c>
      <c r="I386">
        <v>0</v>
      </c>
      <c r="J386" t="s">
        <v>743</v>
      </c>
      <c r="K386" t="s">
        <v>748</v>
      </c>
    </row>
    <row r="387" spans="1:11" ht="15" customHeight="1" x14ac:dyDescent="0.3">
      <c r="A387" t="s">
        <v>822</v>
      </c>
      <c r="B387">
        <v>0.02</v>
      </c>
      <c r="C387" t="s">
        <v>740</v>
      </c>
      <c r="D387" t="s">
        <v>741</v>
      </c>
      <c r="E387">
        <v>0</v>
      </c>
      <c r="F387" t="s">
        <v>742</v>
      </c>
      <c r="G387">
        <v>2500</v>
      </c>
      <c r="H387" t="s">
        <v>753</v>
      </c>
      <c r="I387">
        <v>0</v>
      </c>
      <c r="J387" t="s">
        <v>743</v>
      </c>
      <c r="K387" t="s">
        <v>748</v>
      </c>
    </row>
    <row r="388" spans="1:11" ht="15" customHeight="1" x14ac:dyDescent="0.3">
      <c r="A388" t="s">
        <v>823</v>
      </c>
      <c r="B388">
        <v>0.03</v>
      </c>
      <c r="C388" t="s">
        <v>740</v>
      </c>
      <c r="D388" t="s">
        <v>741</v>
      </c>
      <c r="E388">
        <v>0</v>
      </c>
      <c r="F388" t="s">
        <v>742</v>
      </c>
      <c r="G388">
        <v>780</v>
      </c>
      <c r="H388" t="s">
        <v>749</v>
      </c>
      <c r="I388">
        <v>0</v>
      </c>
      <c r="J388" t="s">
        <v>743</v>
      </c>
      <c r="K388" t="s">
        <v>748</v>
      </c>
    </row>
    <row r="389" spans="1:11" ht="15" customHeight="1" x14ac:dyDescent="0.3">
      <c r="A389" t="s">
        <v>824</v>
      </c>
      <c r="B389">
        <v>0.1</v>
      </c>
      <c r="C389" t="s">
        <v>740</v>
      </c>
      <c r="D389" t="s">
        <v>747</v>
      </c>
      <c r="E389">
        <v>0</v>
      </c>
      <c r="F389" t="s">
        <v>742</v>
      </c>
      <c r="G389">
        <v>1200</v>
      </c>
      <c r="H389" t="s">
        <v>753</v>
      </c>
      <c r="I389">
        <v>0</v>
      </c>
      <c r="J389" t="s">
        <v>743</v>
      </c>
      <c r="K389" t="s">
        <v>748</v>
      </c>
    </row>
    <row r="390" spans="1:11" ht="15" customHeight="1" x14ac:dyDescent="0.3">
      <c r="A390" t="s">
        <v>825</v>
      </c>
      <c r="B390">
        <v>0.05</v>
      </c>
      <c r="C390" t="s">
        <v>740</v>
      </c>
      <c r="D390" t="s">
        <v>741</v>
      </c>
      <c r="E390">
        <v>0</v>
      </c>
      <c r="F390" t="s">
        <v>742</v>
      </c>
      <c r="G390">
        <v>800</v>
      </c>
      <c r="H390" t="s">
        <v>749</v>
      </c>
      <c r="I390">
        <v>0</v>
      </c>
      <c r="J390" t="s">
        <v>743</v>
      </c>
      <c r="K390" t="s">
        <v>748</v>
      </c>
    </row>
    <row r="391" spans="1:11" ht="15" customHeight="1" x14ac:dyDescent="0.3">
      <c r="A391" t="s">
        <v>826</v>
      </c>
      <c r="B391">
        <v>0.15</v>
      </c>
      <c r="C391" t="s">
        <v>740</v>
      </c>
      <c r="D391" t="s">
        <v>747</v>
      </c>
      <c r="E391">
        <v>0</v>
      </c>
      <c r="F391" t="s">
        <v>742</v>
      </c>
      <c r="G391">
        <v>2100</v>
      </c>
      <c r="H391" t="s">
        <v>753</v>
      </c>
      <c r="I391">
        <v>0</v>
      </c>
      <c r="J391" t="s">
        <v>743</v>
      </c>
      <c r="K391" t="s">
        <v>748</v>
      </c>
    </row>
    <row r="392" spans="1:11" ht="15" customHeight="1" x14ac:dyDescent="0.3">
      <c r="A392" t="s">
        <v>827</v>
      </c>
      <c r="B392">
        <v>0.08</v>
      </c>
      <c r="C392" t="s">
        <v>740</v>
      </c>
      <c r="D392" t="s">
        <v>747</v>
      </c>
      <c r="E392">
        <v>0</v>
      </c>
      <c r="F392" t="s">
        <v>742</v>
      </c>
      <c r="G392">
        <v>600</v>
      </c>
      <c r="H392" t="s">
        <v>749</v>
      </c>
      <c r="I392">
        <v>0</v>
      </c>
      <c r="J392" t="s">
        <v>743</v>
      </c>
      <c r="K392" t="s">
        <v>748</v>
      </c>
    </row>
    <row r="393" spans="1:11" ht="15" customHeight="1" x14ac:dyDescent="0.3">
      <c r="A393" t="s">
        <v>828</v>
      </c>
      <c r="B393">
        <v>0.05</v>
      </c>
      <c r="C393" t="s">
        <v>740</v>
      </c>
      <c r="D393" t="s">
        <v>741</v>
      </c>
      <c r="E393">
        <v>0</v>
      </c>
      <c r="F393" t="s">
        <v>742</v>
      </c>
      <c r="G393">
        <v>900</v>
      </c>
      <c r="H393" t="s">
        <v>749</v>
      </c>
      <c r="I393">
        <v>0</v>
      </c>
      <c r="J393" t="s">
        <v>743</v>
      </c>
      <c r="K393" t="s">
        <v>748</v>
      </c>
    </row>
    <row r="394" spans="1:11" ht="15" customHeight="1" x14ac:dyDescent="0.3">
      <c r="A394" t="s">
        <v>829</v>
      </c>
      <c r="B394">
        <v>0.04</v>
      </c>
      <c r="C394" t="s">
        <v>740</v>
      </c>
      <c r="D394" t="s">
        <v>741</v>
      </c>
      <c r="E394">
        <v>0</v>
      </c>
      <c r="F394" t="s">
        <v>742</v>
      </c>
      <c r="G394">
        <v>1300</v>
      </c>
      <c r="H394" t="s">
        <v>753</v>
      </c>
      <c r="I394">
        <v>0</v>
      </c>
      <c r="J394" t="s">
        <v>743</v>
      </c>
      <c r="K394" t="s">
        <v>748</v>
      </c>
    </row>
    <row r="395" spans="1:11" ht="15" customHeight="1" x14ac:dyDescent="0.3">
      <c r="A395" t="s">
        <v>830</v>
      </c>
      <c r="B395">
        <v>0.06</v>
      </c>
      <c r="C395" t="s">
        <v>740</v>
      </c>
      <c r="D395" t="s">
        <v>741</v>
      </c>
      <c r="E395">
        <v>0</v>
      </c>
      <c r="F395" t="s">
        <v>742</v>
      </c>
      <c r="G395">
        <v>1100</v>
      </c>
      <c r="H395" t="s">
        <v>753</v>
      </c>
      <c r="I395">
        <v>0</v>
      </c>
      <c r="J395" t="s">
        <v>743</v>
      </c>
      <c r="K395" t="s">
        <v>748</v>
      </c>
    </row>
    <row r="396" spans="1:11" ht="15" customHeight="1" x14ac:dyDescent="0.3">
      <c r="A396" t="s">
        <v>831</v>
      </c>
      <c r="B396">
        <v>0.05</v>
      </c>
      <c r="C396" t="s">
        <v>740</v>
      </c>
      <c r="D396" t="s">
        <v>741</v>
      </c>
      <c r="E396">
        <v>0</v>
      </c>
      <c r="F396" t="s">
        <v>742</v>
      </c>
      <c r="G396">
        <v>3000</v>
      </c>
      <c r="H396" t="s">
        <v>753</v>
      </c>
      <c r="I396">
        <v>0</v>
      </c>
      <c r="J396" t="s">
        <v>743</v>
      </c>
      <c r="K396" t="s">
        <v>748</v>
      </c>
    </row>
    <row r="397" spans="1:11" ht="15" customHeight="1" x14ac:dyDescent="0.3">
      <c r="A397" t="s">
        <v>622</v>
      </c>
      <c r="B397">
        <v>0.02</v>
      </c>
      <c r="C397" t="s">
        <v>740</v>
      </c>
      <c r="D397" t="s">
        <v>741</v>
      </c>
      <c r="E397">
        <v>0</v>
      </c>
      <c r="F397" t="s">
        <v>742</v>
      </c>
      <c r="G397">
        <v>500</v>
      </c>
      <c r="H397" t="s">
        <v>749</v>
      </c>
      <c r="I397">
        <v>0</v>
      </c>
      <c r="J397" t="s">
        <v>743</v>
      </c>
      <c r="K397" t="s">
        <v>748</v>
      </c>
    </row>
    <row r="398" spans="1:11" ht="15" customHeight="1" x14ac:dyDescent="0.3">
      <c r="A398" t="s">
        <v>832</v>
      </c>
      <c r="B398">
        <v>0</v>
      </c>
      <c r="C398" t="s">
        <v>745</v>
      </c>
      <c r="D398" t="s">
        <v>743</v>
      </c>
      <c r="E398">
        <v>0</v>
      </c>
      <c r="F398" t="s">
        <v>742</v>
      </c>
      <c r="G398">
        <v>0</v>
      </c>
      <c r="H398" t="s">
        <v>743</v>
      </c>
      <c r="I398">
        <v>0.5</v>
      </c>
      <c r="J398" t="s">
        <v>741</v>
      </c>
      <c r="K398" t="s">
        <v>744</v>
      </c>
    </row>
    <row r="399" spans="1:11" ht="15" customHeight="1" x14ac:dyDescent="0.3">
      <c r="A399" t="s">
        <v>833</v>
      </c>
      <c r="B399">
        <v>0</v>
      </c>
      <c r="C399" t="s">
        <v>745</v>
      </c>
      <c r="D399" t="s">
        <v>743</v>
      </c>
      <c r="E399">
        <v>0</v>
      </c>
      <c r="F399" t="s">
        <v>742</v>
      </c>
      <c r="G399">
        <v>0</v>
      </c>
      <c r="H399" t="s">
        <v>743</v>
      </c>
      <c r="I399">
        <v>0</v>
      </c>
      <c r="J399" t="s">
        <v>743</v>
      </c>
      <c r="K399" t="s">
        <v>744</v>
      </c>
    </row>
    <row r="400" spans="1:11" ht="15" customHeight="1" x14ac:dyDescent="0.3">
      <c r="A400" t="s">
        <v>834</v>
      </c>
      <c r="B400">
        <v>0</v>
      </c>
      <c r="C400" t="s">
        <v>745</v>
      </c>
      <c r="D400" t="s">
        <v>743</v>
      </c>
      <c r="E400">
        <v>0</v>
      </c>
      <c r="F400" t="s">
        <v>742</v>
      </c>
      <c r="G400">
        <v>0</v>
      </c>
      <c r="H400" t="s">
        <v>743</v>
      </c>
      <c r="I400">
        <v>0</v>
      </c>
      <c r="J400" t="s">
        <v>743</v>
      </c>
      <c r="K400" t="s">
        <v>744</v>
      </c>
    </row>
    <row r="401" spans="1:11" ht="15" customHeight="1" x14ac:dyDescent="0.3">
      <c r="A401" t="s">
        <v>835</v>
      </c>
      <c r="B401">
        <v>0</v>
      </c>
      <c r="C401" t="s">
        <v>745</v>
      </c>
      <c r="D401" t="s">
        <v>743</v>
      </c>
      <c r="E401">
        <v>0</v>
      </c>
      <c r="F401" t="s">
        <v>742</v>
      </c>
      <c r="G401">
        <v>20</v>
      </c>
      <c r="H401" t="s">
        <v>741</v>
      </c>
      <c r="I401">
        <v>0</v>
      </c>
      <c r="J401" t="s">
        <v>743</v>
      </c>
      <c r="K401" t="s">
        <v>744</v>
      </c>
    </row>
    <row r="402" spans="1:11" ht="15" customHeight="1" x14ac:dyDescent="0.3">
      <c r="A402" t="s">
        <v>836</v>
      </c>
      <c r="B402">
        <v>0.5</v>
      </c>
      <c r="C402" t="s">
        <v>740</v>
      </c>
      <c r="D402" t="s">
        <v>749</v>
      </c>
      <c r="E402">
        <v>0.1</v>
      </c>
      <c r="F402" t="s">
        <v>751</v>
      </c>
      <c r="G402">
        <v>0</v>
      </c>
      <c r="H402" t="s">
        <v>743</v>
      </c>
      <c r="I402">
        <v>0</v>
      </c>
      <c r="J402" t="s">
        <v>743</v>
      </c>
      <c r="K402" t="s">
        <v>746</v>
      </c>
    </row>
    <row r="403" spans="1:11" ht="15" customHeight="1" x14ac:dyDescent="0.3">
      <c r="A403" t="s">
        <v>629</v>
      </c>
      <c r="B403">
        <v>0</v>
      </c>
      <c r="C403" t="s">
        <v>745</v>
      </c>
      <c r="D403" t="s">
        <v>743</v>
      </c>
      <c r="E403">
        <v>0</v>
      </c>
      <c r="F403" t="s">
        <v>742</v>
      </c>
      <c r="G403">
        <v>0</v>
      </c>
      <c r="H403" t="s">
        <v>743</v>
      </c>
      <c r="I403">
        <v>0</v>
      </c>
      <c r="J403" t="s">
        <v>743</v>
      </c>
      <c r="K403" t="s">
        <v>744</v>
      </c>
    </row>
    <row r="404" spans="1:11" ht="15" customHeight="1" x14ac:dyDescent="0.3">
      <c r="A404" t="s">
        <v>837</v>
      </c>
      <c r="B404">
        <v>0.1</v>
      </c>
      <c r="C404" t="s">
        <v>740</v>
      </c>
      <c r="D404" t="s">
        <v>741</v>
      </c>
      <c r="E404">
        <v>0</v>
      </c>
      <c r="F404" t="s">
        <v>742</v>
      </c>
      <c r="G404">
        <v>15</v>
      </c>
      <c r="H404" t="s">
        <v>741</v>
      </c>
      <c r="I404">
        <v>0</v>
      </c>
      <c r="J404" t="s">
        <v>743</v>
      </c>
      <c r="K404" t="s">
        <v>746</v>
      </c>
    </row>
    <row r="405" spans="1:11" ht="15" customHeight="1" x14ac:dyDescent="0.3">
      <c r="A405" t="s">
        <v>838</v>
      </c>
      <c r="B405">
        <v>0.05</v>
      </c>
      <c r="C405" t="s">
        <v>740</v>
      </c>
      <c r="D405" t="s">
        <v>741</v>
      </c>
      <c r="E405">
        <v>0.1</v>
      </c>
      <c r="F405" t="s">
        <v>751</v>
      </c>
      <c r="G405">
        <v>10</v>
      </c>
      <c r="H405" t="s">
        <v>741</v>
      </c>
      <c r="I405">
        <v>0</v>
      </c>
      <c r="J405" t="s">
        <v>743</v>
      </c>
      <c r="K405" t="s">
        <v>746</v>
      </c>
    </row>
    <row r="406" spans="1:11" ht="15" customHeight="1" x14ac:dyDescent="0.3">
      <c r="A406" t="s">
        <v>643</v>
      </c>
      <c r="B406">
        <v>0.01</v>
      </c>
      <c r="C406" t="s">
        <v>740</v>
      </c>
      <c r="D406" t="s">
        <v>741</v>
      </c>
      <c r="E406">
        <v>0</v>
      </c>
      <c r="F406" t="s">
        <v>742</v>
      </c>
      <c r="G406">
        <v>25</v>
      </c>
      <c r="H406" t="s">
        <v>741</v>
      </c>
      <c r="I406">
        <v>0</v>
      </c>
      <c r="J406" t="s">
        <v>743</v>
      </c>
      <c r="K406" t="s">
        <v>744</v>
      </c>
    </row>
    <row r="407" spans="1:11" ht="15" customHeight="1" x14ac:dyDescent="0.3">
      <c r="A407" t="s">
        <v>839</v>
      </c>
      <c r="B407">
        <v>0.05</v>
      </c>
      <c r="C407" t="s">
        <v>740</v>
      </c>
      <c r="D407" t="s">
        <v>741</v>
      </c>
      <c r="E407">
        <v>0.3</v>
      </c>
      <c r="F407" t="s">
        <v>751</v>
      </c>
      <c r="G407">
        <v>0</v>
      </c>
      <c r="H407" t="s">
        <v>743</v>
      </c>
      <c r="I407">
        <v>0</v>
      </c>
      <c r="J407" t="s">
        <v>743</v>
      </c>
      <c r="K407" t="s">
        <v>746</v>
      </c>
    </row>
    <row r="408" spans="1:11" ht="15" customHeight="1" x14ac:dyDescent="0.3">
      <c r="A408" t="s">
        <v>840</v>
      </c>
      <c r="B408">
        <v>0.05</v>
      </c>
      <c r="C408" t="s">
        <v>740</v>
      </c>
      <c r="D408" t="s">
        <v>741</v>
      </c>
      <c r="E408">
        <v>0.5</v>
      </c>
      <c r="F408" t="s">
        <v>751</v>
      </c>
      <c r="G408">
        <v>80</v>
      </c>
      <c r="H408" t="s">
        <v>747</v>
      </c>
      <c r="I408">
        <v>0</v>
      </c>
      <c r="J408" t="s">
        <v>743</v>
      </c>
      <c r="K408" t="s">
        <v>746</v>
      </c>
    </row>
    <row r="409" spans="1:11" ht="15" customHeight="1" x14ac:dyDescent="0.3">
      <c r="A409" t="s">
        <v>841</v>
      </c>
      <c r="B409">
        <v>0</v>
      </c>
      <c r="C409" t="s">
        <v>745</v>
      </c>
      <c r="D409" t="s">
        <v>743</v>
      </c>
      <c r="E409">
        <v>0</v>
      </c>
      <c r="F409" t="s">
        <v>742</v>
      </c>
      <c r="G409">
        <v>30</v>
      </c>
      <c r="H409" t="s">
        <v>741</v>
      </c>
      <c r="I409">
        <v>0</v>
      </c>
      <c r="J409" t="s">
        <v>743</v>
      </c>
      <c r="K409" t="s">
        <v>746</v>
      </c>
    </row>
    <row r="410" spans="1:11" ht="15" customHeight="1" x14ac:dyDescent="0.3">
      <c r="A410" t="s">
        <v>842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/>
  </sheetViews>
  <sheetFormatPr baseColWidth="10" defaultColWidth="8.6640625" defaultRowHeight="15" customHeight="1" x14ac:dyDescent="0.3"/>
  <cols>
    <col min="1" max="1" width="28" customWidth="1"/>
    <col min="2" max="2" width="39.109375" customWidth="1"/>
    <col min="3" max="3" width="14" customWidth="1"/>
    <col min="4" max="4" width="18" customWidth="1"/>
    <col min="5" max="5" width="48" customWidth="1"/>
  </cols>
  <sheetData>
    <row r="1" spans="1:5" ht="15" customHeight="1" x14ac:dyDescent="0.3">
      <c r="A1" s="7" t="s">
        <v>843</v>
      </c>
      <c r="B1" s="7" t="s">
        <v>844</v>
      </c>
      <c r="C1" s="7" t="s">
        <v>48</v>
      </c>
      <c r="D1" s="7" t="s">
        <v>49</v>
      </c>
      <c r="E1" s="7" t="s">
        <v>845</v>
      </c>
    </row>
    <row r="2" spans="1:5" ht="15" customHeight="1" x14ac:dyDescent="0.3">
      <c r="A2" t="s">
        <v>256</v>
      </c>
      <c r="B2" t="s">
        <v>846</v>
      </c>
      <c r="C2">
        <v>0.11</v>
      </c>
      <c r="D2" t="s">
        <v>740</v>
      </c>
      <c r="E2" t="s">
        <v>847</v>
      </c>
    </row>
    <row r="3" spans="1:5" ht="15" customHeight="1" x14ac:dyDescent="0.3">
      <c r="A3" t="s">
        <v>313</v>
      </c>
      <c r="B3" t="s">
        <v>848</v>
      </c>
      <c r="C3">
        <v>9.08</v>
      </c>
      <c r="D3" t="s">
        <v>740</v>
      </c>
      <c r="E3" t="s">
        <v>849</v>
      </c>
    </row>
    <row r="4" spans="1:5" ht="15" customHeight="1" x14ac:dyDescent="0.3">
      <c r="A4" t="s">
        <v>314</v>
      </c>
      <c r="B4" t="s">
        <v>848</v>
      </c>
      <c r="C4">
        <v>9.08</v>
      </c>
      <c r="D4" t="s">
        <v>740</v>
      </c>
      <c r="E4" t="s">
        <v>849</v>
      </c>
    </row>
    <row r="5" spans="1:5" ht="15" customHeight="1" x14ac:dyDescent="0.3">
      <c r="A5" t="s">
        <v>507</v>
      </c>
      <c r="B5" t="s">
        <v>850</v>
      </c>
      <c r="C5">
        <v>0.23</v>
      </c>
      <c r="D5" t="s">
        <v>851</v>
      </c>
      <c r="E5" t="s">
        <v>852</v>
      </c>
    </row>
    <row r="6" spans="1:5" ht="15" customHeight="1" x14ac:dyDescent="0.3">
      <c r="A6" t="s">
        <v>541</v>
      </c>
      <c r="B6" t="s">
        <v>850</v>
      </c>
      <c r="C6">
        <v>0.23</v>
      </c>
      <c r="D6" t="s">
        <v>851</v>
      </c>
      <c r="E6" t="s">
        <v>853</v>
      </c>
    </row>
    <row r="7" spans="1:5" ht="15" customHeight="1" x14ac:dyDescent="0.3">
      <c r="A7" t="s">
        <v>542</v>
      </c>
      <c r="B7" t="s">
        <v>854</v>
      </c>
      <c r="C7">
        <v>0.23</v>
      </c>
      <c r="D7" t="s">
        <v>851</v>
      </c>
      <c r="E7" t="s">
        <v>855</v>
      </c>
    </row>
    <row r="8" spans="1:5" ht="15" customHeight="1" x14ac:dyDescent="0.3">
      <c r="A8" t="s">
        <v>516</v>
      </c>
      <c r="B8" t="s">
        <v>856</v>
      </c>
      <c r="C8">
        <v>2.4300000000000002</v>
      </c>
      <c r="D8" t="s">
        <v>851</v>
      </c>
      <c r="E8" t="s">
        <v>857</v>
      </c>
    </row>
    <row r="9" spans="1:5" ht="15" customHeight="1" x14ac:dyDescent="0.3">
      <c r="A9" t="s">
        <v>538</v>
      </c>
      <c r="B9" t="s">
        <v>858</v>
      </c>
      <c r="C9">
        <v>1.8</v>
      </c>
      <c r="D9" t="s">
        <v>851</v>
      </c>
      <c r="E9" t="s">
        <v>859</v>
      </c>
    </row>
    <row r="10" spans="1:5" ht="15" customHeight="1" x14ac:dyDescent="0.3">
      <c r="A10" t="s">
        <v>518</v>
      </c>
      <c r="B10" t="s">
        <v>860</v>
      </c>
      <c r="C10">
        <v>2.2000000000000002</v>
      </c>
      <c r="D10" t="s">
        <v>851</v>
      </c>
      <c r="E10" t="s">
        <v>859</v>
      </c>
    </row>
    <row r="11" spans="1:5" ht="15" customHeight="1" x14ac:dyDescent="0.3">
      <c r="A11" t="s">
        <v>547</v>
      </c>
      <c r="B11" t="s">
        <v>861</v>
      </c>
      <c r="C11">
        <v>1.5</v>
      </c>
      <c r="D11" t="s">
        <v>851</v>
      </c>
      <c r="E11" t="s">
        <v>859</v>
      </c>
    </row>
    <row r="12" spans="1:5" ht="15" customHeight="1" x14ac:dyDescent="0.3">
      <c r="A12" t="s">
        <v>548</v>
      </c>
      <c r="B12" t="s">
        <v>860</v>
      </c>
      <c r="C12">
        <v>2.2000000000000002</v>
      </c>
      <c r="D12" t="s">
        <v>851</v>
      </c>
      <c r="E12" t="s">
        <v>859</v>
      </c>
    </row>
    <row r="13" spans="1:5" ht="15" customHeight="1" x14ac:dyDescent="0.3">
      <c r="A13" t="s">
        <v>520</v>
      </c>
      <c r="B13" t="s">
        <v>862</v>
      </c>
      <c r="C13">
        <v>1.1399999999999999</v>
      </c>
      <c r="D13" t="s">
        <v>851</v>
      </c>
      <c r="E13" t="s">
        <v>859</v>
      </c>
    </row>
    <row r="14" spans="1:5" ht="15" customHeight="1" x14ac:dyDescent="0.3">
      <c r="A14" t="s">
        <v>540</v>
      </c>
      <c r="B14" t="s">
        <v>863</v>
      </c>
      <c r="C14">
        <v>2.11</v>
      </c>
      <c r="D14" t="s">
        <v>851</v>
      </c>
      <c r="E14" t="s">
        <v>859</v>
      </c>
    </row>
    <row r="16" spans="1:5" ht="15" customHeight="1" x14ac:dyDescent="0.3">
      <c r="A16" t="s">
        <v>864</v>
      </c>
      <c r="B16" t="s">
        <v>865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"/>
  <sheetViews>
    <sheetView zoomScaleNormal="100" workbookViewId="0"/>
  </sheetViews>
  <sheetFormatPr baseColWidth="10" defaultColWidth="8.6640625" defaultRowHeight="15" customHeight="1" x14ac:dyDescent="0.3"/>
  <cols>
    <col min="1" max="2" width="38" customWidth="1"/>
    <col min="3" max="3" width="18" customWidth="1"/>
  </cols>
  <sheetData>
    <row r="1" spans="1:3" ht="15" customHeight="1" x14ac:dyDescent="0.3">
      <c r="A1" t="s">
        <v>866</v>
      </c>
      <c r="B1" t="s">
        <v>867</v>
      </c>
      <c r="C1" t="s">
        <v>868</v>
      </c>
    </row>
    <row r="2" spans="1:3" ht="15" customHeight="1" x14ac:dyDescent="0.3">
      <c r="A2" t="s">
        <v>84</v>
      </c>
      <c r="B2" t="s">
        <v>84</v>
      </c>
      <c r="C2" t="s">
        <v>869</v>
      </c>
    </row>
    <row r="3" spans="1:3" ht="15" customHeight="1" x14ac:dyDescent="0.3">
      <c r="A3" t="s">
        <v>85</v>
      </c>
      <c r="B3" t="s">
        <v>85</v>
      </c>
      <c r="C3" t="s">
        <v>869</v>
      </c>
    </row>
    <row r="4" spans="1:3" ht="15" customHeight="1" x14ac:dyDescent="0.3">
      <c r="A4" t="s">
        <v>87</v>
      </c>
      <c r="B4" t="s">
        <v>87</v>
      </c>
      <c r="C4" t="s">
        <v>869</v>
      </c>
    </row>
    <row r="5" spans="1:3" ht="15" customHeight="1" x14ac:dyDescent="0.3">
      <c r="A5" t="s">
        <v>88</v>
      </c>
      <c r="B5" t="s">
        <v>88</v>
      </c>
      <c r="C5" t="s">
        <v>869</v>
      </c>
    </row>
    <row r="6" spans="1:3" ht="15" customHeight="1" x14ac:dyDescent="0.3">
      <c r="A6" t="s">
        <v>89</v>
      </c>
      <c r="B6" t="s">
        <v>89</v>
      </c>
      <c r="C6" t="s">
        <v>869</v>
      </c>
    </row>
    <row r="7" spans="1:3" ht="15" customHeight="1" x14ac:dyDescent="0.3">
      <c r="A7" t="s">
        <v>90</v>
      </c>
      <c r="B7" t="s">
        <v>90</v>
      </c>
      <c r="C7" t="s">
        <v>869</v>
      </c>
    </row>
    <row r="8" spans="1:3" ht="15" customHeight="1" x14ac:dyDescent="0.3">
      <c r="A8" t="s">
        <v>91</v>
      </c>
      <c r="B8" t="s">
        <v>91</v>
      </c>
      <c r="C8" t="s">
        <v>869</v>
      </c>
    </row>
    <row r="9" spans="1:3" ht="15" customHeight="1" x14ac:dyDescent="0.3">
      <c r="A9" t="s">
        <v>98</v>
      </c>
      <c r="B9" t="s">
        <v>98</v>
      </c>
      <c r="C9" t="s">
        <v>869</v>
      </c>
    </row>
    <row r="10" spans="1:3" ht="15" customHeight="1" x14ac:dyDescent="0.3">
      <c r="A10" t="s">
        <v>93</v>
      </c>
      <c r="B10" t="s">
        <v>93</v>
      </c>
      <c r="C10" t="s">
        <v>869</v>
      </c>
    </row>
    <row r="11" spans="1:3" ht="15" customHeight="1" x14ac:dyDescent="0.3">
      <c r="A11" t="s">
        <v>94</v>
      </c>
      <c r="B11" t="s">
        <v>94</v>
      </c>
      <c r="C11" t="s">
        <v>869</v>
      </c>
    </row>
    <row r="12" spans="1:3" ht="15" customHeight="1" x14ac:dyDescent="0.3">
      <c r="A12" t="s">
        <v>95</v>
      </c>
      <c r="B12" t="s">
        <v>95</v>
      </c>
      <c r="C12" t="s">
        <v>869</v>
      </c>
    </row>
    <row r="13" spans="1:3" ht="15" customHeight="1" x14ac:dyDescent="0.3">
      <c r="A13" t="s">
        <v>96</v>
      </c>
      <c r="B13" t="s">
        <v>96</v>
      </c>
      <c r="C13" t="s">
        <v>869</v>
      </c>
    </row>
    <row r="14" spans="1:3" ht="15" customHeight="1" x14ac:dyDescent="0.3">
      <c r="A14" t="s">
        <v>97</v>
      </c>
      <c r="B14" t="s">
        <v>97</v>
      </c>
      <c r="C14" t="s">
        <v>869</v>
      </c>
    </row>
    <row r="15" spans="1:3" ht="15" customHeight="1" x14ac:dyDescent="0.3">
      <c r="A15" t="s">
        <v>100</v>
      </c>
      <c r="B15" t="s">
        <v>100</v>
      </c>
      <c r="C15" t="s">
        <v>869</v>
      </c>
    </row>
    <row r="16" spans="1:3" ht="15" customHeight="1" x14ac:dyDescent="0.3">
      <c r="A16" t="s">
        <v>101</v>
      </c>
      <c r="B16" t="s">
        <v>101</v>
      </c>
      <c r="C16" t="s">
        <v>869</v>
      </c>
    </row>
    <row r="17" spans="1:3" ht="15" customHeight="1" x14ac:dyDescent="0.3">
      <c r="A17" t="s">
        <v>102</v>
      </c>
      <c r="B17" t="s">
        <v>102</v>
      </c>
      <c r="C17" t="s">
        <v>869</v>
      </c>
    </row>
    <row r="18" spans="1:3" ht="15" customHeight="1" x14ac:dyDescent="0.3">
      <c r="A18" t="s">
        <v>103</v>
      </c>
      <c r="B18" t="s">
        <v>103</v>
      </c>
      <c r="C18" t="s">
        <v>869</v>
      </c>
    </row>
    <row r="19" spans="1:3" ht="15" customHeight="1" x14ac:dyDescent="0.3">
      <c r="A19" t="s">
        <v>104</v>
      </c>
      <c r="B19" t="s">
        <v>104</v>
      </c>
      <c r="C19" t="s">
        <v>869</v>
      </c>
    </row>
    <row r="20" spans="1:3" ht="15" customHeight="1" x14ac:dyDescent="0.3">
      <c r="A20" t="s">
        <v>82</v>
      </c>
      <c r="B20" t="s">
        <v>82</v>
      </c>
      <c r="C20" t="s">
        <v>869</v>
      </c>
    </row>
    <row r="21" spans="1:3" ht="15" customHeight="1" x14ac:dyDescent="0.3">
      <c r="A21" t="s">
        <v>106</v>
      </c>
      <c r="B21" t="s">
        <v>106</v>
      </c>
      <c r="C21" t="s">
        <v>869</v>
      </c>
    </row>
    <row r="22" spans="1:3" ht="15" customHeight="1" x14ac:dyDescent="0.3">
      <c r="A22" t="s">
        <v>107</v>
      </c>
      <c r="B22" t="s">
        <v>107</v>
      </c>
      <c r="C22" t="s">
        <v>869</v>
      </c>
    </row>
    <row r="23" spans="1:3" ht="15" customHeight="1" x14ac:dyDescent="0.3">
      <c r="A23" t="s">
        <v>108</v>
      </c>
      <c r="B23" t="s">
        <v>108</v>
      </c>
      <c r="C23" t="s">
        <v>869</v>
      </c>
    </row>
    <row r="24" spans="1:3" ht="15" customHeight="1" x14ac:dyDescent="0.3">
      <c r="A24" t="s">
        <v>109</v>
      </c>
      <c r="B24" t="s">
        <v>109</v>
      </c>
      <c r="C24" t="s">
        <v>869</v>
      </c>
    </row>
    <row r="25" spans="1:3" ht="15" customHeight="1" x14ac:dyDescent="0.3">
      <c r="A25" t="s">
        <v>110</v>
      </c>
      <c r="B25" t="s">
        <v>110</v>
      </c>
      <c r="C25" t="s">
        <v>869</v>
      </c>
    </row>
    <row r="26" spans="1:3" ht="15" customHeight="1" x14ac:dyDescent="0.3">
      <c r="A26" t="s">
        <v>111</v>
      </c>
      <c r="B26" t="s">
        <v>111</v>
      </c>
      <c r="C26" t="s">
        <v>869</v>
      </c>
    </row>
    <row r="27" spans="1:3" ht="15" customHeight="1" x14ac:dyDescent="0.3">
      <c r="A27" t="s">
        <v>112</v>
      </c>
      <c r="B27" t="s">
        <v>112</v>
      </c>
      <c r="C27" t="s">
        <v>869</v>
      </c>
    </row>
    <row r="28" spans="1:3" ht="15" customHeight="1" x14ac:dyDescent="0.3">
      <c r="A28" t="s">
        <v>113</v>
      </c>
      <c r="B28" t="s">
        <v>113</v>
      </c>
      <c r="C28" t="s">
        <v>869</v>
      </c>
    </row>
    <row r="29" spans="1:3" ht="15" customHeight="1" x14ac:dyDescent="0.3">
      <c r="A29" t="s">
        <v>114</v>
      </c>
      <c r="B29" t="s">
        <v>114</v>
      </c>
      <c r="C29" t="s">
        <v>869</v>
      </c>
    </row>
    <row r="30" spans="1:3" ht="15" customHeight="1" x14ac:dyDescent="0.3">
      <c r="A30" t="s">
        <v>115</v>
      </c>
      <c r="B30" t="s">
        <v>115</v>
      </c>
      <c r="C30" t="s">
        <v>869</v>
      </c>
    </row>
    <row r="31" spans="1:3" ht="15" customHeight="1" x14ac:dyDescent="0.3">
      <c r="A31" t="s">
        <v>116</v>
      </c>
      <c r="B31" t="s">
        <v>116</v>
      </c>
      <c r="C31" t="s">
        <v>869</v>
      </c>
    </row>
    <row r="32" spans="1:3" ht="15" customHeight="1" x14ac:dyDescent="0.3">
      <c r="A32" t="s">
        <v>117</v>
      </c>
      <c r="B32" t="s">
        <v>117</v>
      </c>
      <c r="C32" t="s">
        <v>869</v>
      </c>
    </row>
    <row r="33" spans="1:3" ht="15" customHeight="1" x14ac:dyDescent="0.3">
      <c r="A33" t="s">
        <v>118</v>
      </c>
      <c r="B33" t="s">
        <v>118</v>
      </c>
      <c r="C33" t="s">
        <v>869</v>
      </c>
    </row>
    <row r="34" spans="1:3" ht="15" customHeight="1" x14ac:dyDescent="0.3">
      <c r="A34" t="s">
        <v>119</v>
      </c>
      <c r="B34" t="s">
        <v>119</v>
      </c>
      <c r="C34" t="s">
        <v>869</v>
      </c>
    </row>
    <row r="35" spans="1:3" ht="15" customHeight="1" x14ac:dyDescent="0.3">
      <c r="A35" t="s">
        <v>120</v>
      </c>
      <c r="B35" t="s">
        <v>120</v>
      </c>
      <c r="C35" t="s">
        <v>869</v>
      </c>
    </row>
    <row r="36" spans="1:3" ht="15" customHeight="1" x14ac:dyDescent="0.3">
      <c r="A36" t="s">
        <v>121</v>
      </c>
      <c r="B36" t="s">
        <v>121</v>
      </c>
      <c r="C36" t="s">
        <v>869</v>
      </c>
    </row>
    <row r="37" spans="1:3" ht="15" customHeight="1" x14ac:dyDescent="0.3">
      <c r="A37" t="s">
        <v>122</v>
      </c>
      <c r="B37" t="s">
        <v>122</v>
      </c>
      <c r="C37" t="s">
        <v>869</v>
      </c>
    </row>
    <row r="38" spans="1:3" ht="15" customHeight="1" x14ac:dyDescent="0.3">
      <c r="A38" t="s">
        <v>123</v>
      </c>
      <c r="B38" t="s">
        <v>123</v>
      </c>
      <c r="C38" t="s">
        <v>869</v>
      </c>
    </row>
    <row r="39" spans="1:3" ht="15" customHeight="1" x14ac:dyDescent="0.3">
      <c r="A39" t="s">
        <v>124</v>
      </c>
      <c r="B39" t="s">
        <v>124</v>
      </c>
      <c r="C39" t="s">
        <v>869</v>
      </c>
    </row>
    <row r="40" spans="1:3" ht="15" customHeight="1" x14ac:dyDescent="0.3">
      <c r="A40" t="s">
        <v>126</v>
      </c>
      <c r="B40" t="s">
        <v>126</v>
      </c>
      <c r="C40" t="s">
        <v>869</v>
      </c>
    </row>
    <row r="41" spans="1:3" ht="15" customHeight="1" x14ac:dyDescent="0.3">
      <c r="A41" t="s">
        <v>127</v>
      </c>
      <c r="B41" t="s">
        <v>127</v>
      </c>
      <c r="C41" t="s">
        <v>869</v>
      </c>
    </row>
    <row r="42" spans="1:3" ht="15" customHeight="1" x14ac:dyDescent="0.3">
      <c r="A42" t="s">
        <v>128</v>
      </c>
      <c r="B42" t="s">
        <v>128</v>
      </c>
      <c r="C42" t="s">
        <v>869</v>
      </c>
    </row>
    <row r="43" spans="1:3" ht="15" customHeight="1" x14ac:dyDescent="0.3">
      <c r="A43" t="s">
        <v>129</v>
      </c>
      <c r="B43" t="s">
        <v>129</v>
      </c>
      <c r="C43" t="s">
        <v>869</v>
      </c>
    </row>
    <row r="44" spans="1:3" ht="15" customHeight="1" x14ac:dyDescent="0.3">
      <c r="A44" t="s">
        <v>130</v>
      </c>
      <c r="B44" t="s">
        <v>130</v>
      </c>
      <c r="C44" t="s">
        <v>869</v>
      </c>
    </row>
    <row r="45" spans="1:3" ht="15" customHeight="1" x14ac:dyDescent="0.3">
      <c r="A45" t="s">
        <v>131</v>
      </c>
      <c r="B45" t="s">
        <v>131</v>
      </c>
      <c r="C45" t="s">
        <v>869</v>
      </c>
    </row>
    <row r="46" spans="1:3" ht="15" customHeight="1" x14ac:dyDescent="0.3">
      <c r="A46" t="s">
        <v>132</v>
      </c>
      <c r="B46" t="s">
        <v>132</v>
      </c>
      <c r="C46" t="s">
        <v>869</v>
      </c>
    </row>
    <row r="47" spans="1:3" ht="15" customHeight="1" x14ac:dyDescent="0.3">
      <c r="A47" t="s">
        <v>133</v>
      </c>
      <c r="B47" t="s">
        <v>133</v>
      </c>
      <c r="C47" t="s">
        <v>869</v>
      </c>
    </row>
    <row r="48" spans="1:3" ht="15" customHeight="1" x14ac:dyDescent="0.3">
      <c r="A48" t="s">
        <v>153</v>
      </c>
      <c r="B48" t="s">
        <v>153</v>
      </c>
      <c r="C48" t="s">
        <v>869</v>
      </c>
    </row>
    <row r="49" spans="1:3" ht="15" customHeight="1" x14ac:dyDescent="0.3">
      <c r="A49" t="s">
        <v>154</v>
      </c>
      <c r="B49" t="s">
        <v>154</v>
      </c>
      <c r="C49" t="s">
        <v>869</v>
      </c>
    </row>
    <row r="50" spans="1:3" ht="15" customHeight="1" x14ac:dyDescent="0.3">
      <c r="A50" t="s">
        <v>155</v>
      </c>
      <c r="B50" t="s">
        <v>155</v>
      </c>
      <c r="C50" t="s">
        <v>869</v>
      </c>
    </row>
    <row r="51" spans="1:3" ht="15" customHeight="1" x14ac:dyDescent="0.3">
      <c r="A51" t="s">
        <v>156</v>
      </c>
      <c r="B51" t="s">
        <v>156</v>
      </c>
      <c r="C51" t="s">
        <v>869</v>
      </c>
    </row>
    <row r="52" spans="1:3" ht="15" customHeight="1" x14ac:dyDescent="0.3">
      <c r="A52" t="s">
        <v>157</v>
      </c>
      <c r="B52" t="s">
        <v>157</v>
      </c>
      <c r="C52" t="s">
        <v>869</v>
      </c>
    </row>
    <row r="53" spans="1:3" ht="15" customHeight="1" x14ac:dyDescent="0.3">
      <c r="A53" t="s">
        <v>158</v>
      </c>
      <c r="B53" t="s">
        <v>158</v>
      </c>
      <c r="C53" t="s">
        <v>869</v>
      </c>
    </row>
    <row r="54" spans="1:3" ht="15" customHeight="1" x14ac:dyDescent="0.3">
      <c r="A54" t="s">
        <v>159</v>
      </c>
      <c r="B54" t="s">
        <v>159</v>
      </c>
      <c r="C54" t="s">
        <v>869</v>
      </c>
    </row>
    <row r="55" spans="1:3" ht="15" customHeight="1" x14ac:dyDescent="0.3">
      <c r="A55" t="s">
        <v>160</v>
      </c>
      <c r="B55" t="s">
        <v>160</v>
      </c>
      <c r="C55" t="s">
        <v>869</v>
      </c>
    </row>
    <row r="56" spans="1:3" ht="15" customHeight="1" x14ac:dyDescent="0.3">
      <c r="A56" t="s">
        <v>148</v>
      </c>
      <c r="B56" t="s">
        <v>148</v>
      </c>
      <c r="C56" t="s">
        <v>869</v>
      </c>
    </row>
    <row r="57" spans="1:3" ht="15" customHeight="1" x14ac:dyDescent="0.3">
      <c r="A57" t="s">
        <v>149</v>
      </c>
      <c r="B57" t="s">
        <v>149</v>
      </c>
      <c r="C57" t="s">
        <v>869</v>
      </c>
    </row>
    <row r="58" spans="1:3" ht="15" customHeight="1" x14ac:dyDescent="0.3">
      <c r="A58" t="s">
        <v>150</v>
      </c>
      <c r="B58" t="s">
        <v>150</v>
      </c>
      <c r="C58" t="s">
        <v>869</v>
      </c>
    </row>
    <row r="59" spans="1:3" ht="15" customHeight="1" x14ac:dyDescent="0.3">
      <c r="A59" t="s">
        <v>151</v>
      </c>
      <c r="B59" t="s">
        <v>151</v>
      </c>
      <c r="C59" t="s">
        <v>869</v>
      </c>
    </row>
    <row r="60" spans="1:3" ht="15" customHeight="1" x14ac:dyDescent="0.3">
      <c r="A60" t="s">
        <v>136</v>
      </c>
      <c r="B60" t="s">
        <v>136</v>
      </c>
      <c r="C60" t="s">
        <v>869</v>
      </c>
    </row>
    <row r="61" spans="1:3" ht="15" customHeight="1" x14ac:dyDescent="0.3">
      <c r="A61" t="s">
        <v>137</v>
      </c>
      <c r="B61" t="s">
        <v>137</v>
      </c>
      <c r="C61" t="s">
        <v>869</v>
      </c>
    </row>
    <row r="62" spans="1:3" ht="15" customHeight="1" x14ac:dyDescent="0.3">
      <c r="A62" t="s">
        <v>138</v>
      </c>
      <c r="B62" t="s">
        <v>138</v>
      </c>
      <c r="C62" t="s">
        <v>869</v>
      </c>
    </row>
    <row r="63" spans="1:3" ht="15" customHeight="1" x14ac:dyDescent="0.3">
      <c r="A63" t="s">
        <v>139</v>
      </c>
      <c r="B63" t="s">
        <v>139</v>
      </c>
      <c r="C63" t="s">
        <v>869</v>
      </c>
    </row>
    <row r="64" spans="1:3" ht="15" customHeight="1" x14ac:dyDescent="0.3">
      <c r="A64" t="s">
        <v>140</v>
      </c>
      <c r="B64" t="s">
        <v>140</v>
      </c>
      <c r="C64" t="s">
        <v>869</v>
      </c>
    </row>
    <row r="65" spans="1:3" ht="15" customHeight="1" x14ac:dyDescent="0.3">
      <c r="A65" t="s">
        <v>141</v>
      </c>
      <c r="B65" t="s">
        <v>141</v>
      </c>
      <c r="C65" t="s">
        <v>869</v>
      </c>
    </row>
    <row r="66" spans="1:3" ht="15" customHeight="1" x14ac:dyDescent="0.3">
      <c r="A66" t="s">
        <v>142</v>
      </c>
      <c r="B66" t="s">
        <v>142</v>
      </c>
      <c r="C66" t="s">
        <v>869</v>
      </c>
    </row>
    <row r="67" spans="1:3" ht="15" customHeight="1" x14ac:dyDescent="0.3">
      <c r="A67" t="s">
        <v>143</v>
      </c>
      <c r="B67" t="s">
        <v>159</v>
      </c>
      <c r="C67" t="s">
        <v>870</v>
      </c>
    </row>
    <row r="68" spans="1:3" ht="15" customHeight="1" x14ac:dyDescent="0.3">
      <c r="A68" t="s">
        <v>145</v>
      </c>
      <c r="B68" t="s">
        <v>145</v>
      </c>
      <c r="C68" t="s">
        <v>869</v>
      </c>
    </row>
    <row r="69" spans="1:3" ht="15" customHeight="1" x14ac:dyDescent="0.3">
      <c r="A69" t="s">
        <v>146</v>
      </c>
      <c r="B69" t="s">
        <v>146</v>
      </c>
      <c r="C69" t="s">
        <v>869</v>
      </c>
    </row>
    <row r="70" spans="1:3" ht="15" customHeight="1" x14ac:dyDescent="0.3">
      <c r="A70" t="s">
        <v>195</v>
      </c>
      <c r="B70" t="s">
        <v>195</v>
      </c>
      <c r="C70" t="s">
        <v>869</v>
      </c>
    </row>
    <row r="71" spans="1:3" ht="15" customHeight="1" x14ac:dyDescent="0.3">
      <c r="A71" t="s">
        <v>196</v>
      </c>
      <c r="B71" t="s">
        <v>196</v>
      </c>
      <c r="C71" t="s">
        <v>869</v>
      </c>
    </row>
    <row r="72" spans="1:3" ht="15" customHeight="1" x14ac:dyDescent="0.3">
      <c r="A72" t="s">
        <v>197</v>
      </c>
      <c r="B72" t="s">
        <v>197</v>
      </c>
      <c r="C72" t="s">
        <v>869</v>
      </c>
    </row>
    <row r="73" spans="1:3" ht="15" customHeight="1" x14ac:dyDescent="0.3">
      <c r="A73" t="s">
        <v>198</v>
      </c>
      <c r="B73" t="s">
        <v>198</v>
      </c>
      <c r="C73" t="s">
        <v>869</v>
      </c>
    </row>
    <row r="74" spans="1:3" ht="15" customHeight="1" x14ac:dyDescent="0.3">
      <c r="A74" t="s">
        <v>199</v>
      </c>
      <c r="B74" t="s">
        <v>199</v>
      </c>
      <c r="C74" t="s">
        <v>869</v>
      </c>
    </row>
    <row r="75" spans="1:3" ht="15" customHeight="1" x14ac:dyDescent="0.3">
      <c r="A75" t="s">
        <v>200</v>
      </c>
      <c r="B75" t="s">
        <v>200</v>
      </c>
      <c r="C75" t="s">
        <v>869</v>
      </c>
    </row>
    <row r="76" spans="1:3" ht="15" customHeight="1" x14ac:dyDescent="0.3">
      <c r="A76" t="s">
        <v>201</v>
      </c>
      <c r="B76" t="s">
        <v>201</v>
      </c>
      <c r="C76" t="s">
        <v>869</v>
      </c>
    </row>
    <row r="77" spans="1:3" ht="15" customHeight="1" x14ac:dyDescent="0.3">
      <c r="A77" t="s">
        <v>202</v>
      </c>
      <c r="B77" t="s">
        <v>202</v>
      </c>
      <c r="C77" t="s">
        <v>869</v>
      </c>
    </row>
    <row r="78" spans="1:3" ht="15" customHeight="1" x14ac:dyDescent="0.3">
      <c r="A78" t="s">
        <v>204</v>
      </c>
      <c r="B78" t="s">
        <v>204</v>
      </c>
      <c r="C78" t="s">
        <v>869</v>
      </c>
    </row>
    <row r="79" spans="1:3" ht="15" customHeight="1" x14ac:dyDescent="0.3">
      <c r="A79" t="s">
        <v>205</v>
      </c>
      <c r="B79" t="s">
        <v>205</v>
      </c>
      <c r="C79" t="s">
        <v>869</v>
      </c>
    </row>
    <row r="80" spans="1:3" ht="15" customHeight="1" x14ac:dyDescent="0.3">
      <c r="A80" t="s">
        <v>206</v>
      </c>
      <c r="B80" t="s">
        <v>206</v>
      </c>
      <c r="C80" t="s">
        <v>869</v>
      </c>
    </row>
    <row r="81" spans="1:3" ht="15" customHeight="1" x14ac:dyDescent="0.3">
      <c r="A81" t="s">
        <v>207</v>
      </c>
      <c r="B81" t="s">
        <v>207</v>
      </c>
      <c r="C81" t="s">
        <v>869</v>
      </c>
    </row>
    <row r="82" spans="1:3" ht="15" customHeight="1" x14ac:dyDescent="0.3">
      <c r="A82" t="s">
        <v>208</v>
      </c>
      <c r="B82" t="s">
        <v>208</v>
      </c>
      <c r="C82" t="s">
        <v>869</v>
      </c>
    </row>
    <row r="83" spans="1:3" ht="15" customHeight="1" x14ac:dyDescent="0.3">
      <c r="A83" t="s">
        <v>209</v>
      </c>
      <c r="B83" t="s">
        <v>209</v>
      </c>
      <c r="C83" t="s">
        <v>869</v>
      </c>
    </row>
    <row r="84" spans="1:3" ht="15" customHeight="1" x14ac:dyDescent="0.3">
      <c r="A84" t="s">
        <v>210</v>
      </c>
      <c r="B84" t="s">
        <v>210</v>
      </c>
      <c r="C84" t="s">
        <v>869</v>
      </c>
    </row>
    <row r="85" spans="1:3" ht="15" customHeight="1" x14ac:dyDescent="0.3">
      <c r="A85" t="s">
        <v>211</v>
      </c>
      <c r="B85" t="s">
        <v>211</v>
      </c>
      <c r="C85" t="s">
        <v>869</v>
      </c>
    </row>
    <row r="86" spans="1:3" ht="15" customHeight="1" x14ac:dyDescent="0.3">
      <c r="A86" t="s">
        <v>212</v>
      </c>
      <c r="B86" t="s">
        <v>212</v>
      </c>
      <c r="C86" t="s">
        <v>869</v>
      </c>
    </row>
    <row r="87" spans="1:3" ht="15" customHeight="1" x14ac:dyDescent="0.3">
      <c r="A87" t="s">
        <v>213</v>
      </c>
      <c r="B87" t="s">
        <v>213</v>
      </c>
      <c r="C87" t="s">
        <v>869</v>
      </c>
    </row>
    <row r="88" spans="1:3" ht="15" customHeight="1" x14ac:dyDescent="0.3">
      <c r="A88" t="s">
        <v>214</v>
      </c>
      <c r="B88" t="s">
        <v>214</v>
      </c>
      <c r="C88" t="s">
        <v>869</v>
      </c>
    </row>
    <row r="89" spans="1:3" ht="15" customHeight="1" x14ac:dyDescent="0.3">
      <c r="A89" t="s">
        <v>215</v>
      </c>
      <c r="B89" t="s">
        <v>215</v>
      </c>
      <c r="C89" t="s">
        <v>869</v>
      </c>
    </row>
    <row r="90" spans="1:3" ht="15" customHeight="1" x14ac:dyDescent="0.3">
      <c r="A90" t="s">
        <v>216</v>
      </c>
      <c r="B90" t="s">
        <v>216</v>
      </c>
      <c r="C90" t="s">
        <v>869</v>
      </c>
    </row>
    <row r="91" spans="1:3" ht="15" customHeight="1" x14ac:dyDescent="0.3">
      <c r="A91" t="s">
        <v>217</v>
      </c>
      <c r="B91" t="s">
        <v>217</v>
      </c>
      <c r="C91" t="s">
        <v>869</v>
      </c>
    </row>
    <row r="92" spans="1:3" ht="15" customHeight="1" x14ac:dyDescent="0.3">
      <c r="A92" t="s">
        <v>218</v>
      </c>
      <c r="B92" t="s">
        <v>218</v>
      </c>
      <c r="C92" t="s">
        <v>869</v>
      </c>
    </row>
    <row r="93" spans="1:3" ht="15" customHeight="1" x14ac:dyDescent="0.3">
      <c r="A93" t="s">
        <v>219</v>
      </c>
      <c r="B93" t="s">
        <v>219</v>
      </c>
      <c r="C93" t="s">
        <v>869</v>
      </c>
    </row>
    <row r="94" spans="1:3" ht="15" customHeight="1" x14ac:dyDescent="0.3">
      <c r="A94" t="s">
        <v>220</v>
      </c>
      <c r="B94" t="s">
        <v>220</v>
      </c>
      <c r="C94" t="s">
        <v>869</v>
      </c>
    </row>
    <row r="95" spans="1:3" ht="15" customHeight="1" x14ac:dyDescent="0.3">
      <c r="A95" t="s">
        <v>222</v>
      </c>
      <c r="B95" t="s">
        <v>222</v>
      </c>
      <c r="C95" t="s">
        <v>869</v>
      </c>
    </row>
    <row r="96" spans="1:3" ht="15" customHeight="1" x14ac:dyDescent="0.3">
      <c r="A96" t="s">
        <v>223</v>
      </c>
      <c r="B96" t="s">
        <v>223</v>
      </c>
      <c r="C96" t="s">
        <v>869</v>
      </c>
    </row>
    <row r="97" spans="1:3" ht="15" customHeight="1" x14ac:dyDescent="0.3">
      <c r="A97" t="s">
        <v>224</v>
      </c>
      <c r="B97" t="s">
        <v>224</v>
      </c>
      <c r="C97" t="s">
        <v>869</v>
      </c>
    </row>
    <row r="98" spans="1:3" ht="15" customHeight="1" x14ac:dyDescent="0.3">
      <c r="A98" t="s">
        <v>225</v>
      </c>
      <c r="B98" t="s">
        <v>225</v>
      </c>
      <c r="C98" t="s">
        <v>869</v>
      </c>
    </row>
    <row r="99" spans="1:3" ht="15" customHeight="1" x14ac:dyDescent="0.3">
      <c r="A99" t="s">
        <v>226</v>
      </c>
      <c r="B99" t="s">
        <v>226</v>
      </c>
      <c r="C99" t="s">
        <v>869</v>
      </c>
    </row>
    <row r="100" spans="1:3" ht="15" customHeight="1" x14ac:dyDescent="0.3">
      <c r="A100" t="s">
        <v>227</v>
      </c>
      <c r="B100" t="s">
        <v>227</v>
      </c>
      <c r="C100" t="s">
        <v>869</v>
      </c>
    </row>
    <row r="101" spans="1:3" ht="15" customHeight="1" x14ac:dyDescent="0.3">
      <c r="A101" t="s">
        <v>228</v>
      </c>
      <c r="B101" t="s">
        <v>228</v>
      </c>
      <c r="C101" t="s">
        <v>869</v>
      </c>
    </row>
    <row r="102" spans="1:3" ht="15" customHeight="1" x14ac:dyDescent="0.3">
      <c r="A102" t="s">
        <v>229</v>
      </c>
      <c r="B102" t="s">
        <v>229</v>
      </c>
      <c r="C102" t="s">
        <v>869</v>
      </c>
    </row>
    <row r="103" spans="1:3" ht="15" customHeight="1" x14ac:dyDescent="0.3">
      <c r="A103" t="s">
        <v>180</v>
      </c>
      <c r="B103" t="s">
        <v>180</v>
      </c>
      <c r="C103" t="s">
        <v>869</v>
      </c>
    </row>
    <row r="104" spans="1:3" ht="15" customHeight="1" x14ac:dyDescent="0.3">
      <c r="A104" t="s">
        <v>181</v>
      </c>
      <c r="B104" t="s">
        <v>181</v>
      </c>
      <c r="C104" t="s">
        <v>869</v>
      </c>
    </row>
    <row r="105" spans="1:3" ht="15" customHeight="1" x14ac:dyDescent="0.3">
      <c r="A105" t="s">
        <v>182</v>
      </c>
      <c r="B105" t="s">
        <v>182</v>
      </c>
      <c r="C105" t="s">
        <v>869</v>
      </c>
    </row>
    <row r="106" spans="1:3" ht="15" customHeight="1" x14ac:dyDescent="0.3">
      <c r="A106" t="s">
        <v>183</v>
      </c>
      <c r="B106" t="s">
        <v>183</v>
      </c>
      <c r="C106" t="s">
        <v>869</v>
      </c>
    </row>
    <row r="107" spans="1:3" ht="15" customHeight="1" x14ac:dyDescent="0.3">
      <c r="A107" t="s">
        <v>185</v>
      </c>
      <c r="B107" t="s">
        <v>185</v>
      </c>
      <c r="C107" t="s">
        <v>869</v>
      </c>
    </row>
    <row r="108" spans="1:3" ht="15" customHeight="1" x14ac:dyDescent="0.3">
      <c r="A108" t="s">
        <v>186</v>
      </c>
      <c r="B108" t="s">
        <v>186</v>
      </c>
      <c r="C108" t="s">
        <v>869</v>
      </c>
    </row>
    <row r="109" spans="1:3" ht="15" customHeight="1" x14ac:dyDescent="0.3">
      <c r="A109" t="s">
        <v>187</v>
      </c>
      <c r="B109" t="s">
        <v>187</v>
      </c>
      <c r="C109" t="s">
        <v>869</v>
      </c>
    </row>
    <row r="110" spans="1:3" ht="15" customHeight="1" x14ac:dyDescent="0.3">
      <c r="A110" t="s">
        <v>188</v>
      </c>
      <c r="B110" t="s">
        <v>188</v>
      </c>
      <c r="C110" t="s">
        <v>869</v>
      </c>
    </row>
    <row r="111" spans="1:3" ht="15" customHeight="1" x14ac:dyDescent="0.3">
      <c r="A111" t="s">
        <v>189</v>
      </c>
      <c r="B111" t="s">
        <v>189</v>
      </c>
      <c r="C111" t="s">
        <v>869</v>
      </c>
    </row>
    <row r="112" spans="1:3" ht="15" customHeight="1" x14ac:dyDescent="0.3">
      <c r="A112" t="s">
        <v>190</v>
      </c>
      <c r="B112" t="s">
        <v>190</v>
      </c>
      <c r="C112" t="s">
        <v>869</v>
      </c>
    </row>
    <row r="113" spans="1:3" ht="15" customHeight="1" x14ac:dyDescent="0.3">
      <c r="A113" t="s">
        <v>191</v>
      </c>
      <c r="B113" t="s">
        <v>191</v>
      </c>
      <c r="C113" t="s">
        <v>869</v>
      </c>
    </row>
    <row r="114" spans="1:3" ht="15" customHeight="1" x14ac:dyDescent="0.3">
      <c r="A114" t="s">
        <v>192</v>
      </c>
      <c r="B114" t="s">
        <v>192</v>
      </c>
      <c r="C114" t="s">
        <v>869</v>
      </c>
    </row>
    <row r="115" spans="1:3" ht="15" customHeight="1" x14ac:dyDescent="0.3">
      <c r="A115" t="s">
        <v>193</v>
      </c>
      <c r="B115" t="s">
        <v>193</v>
      </c>
      <c r="C115" t="s">
        <v>869</v>
      </c>
    </row>
    <row r="116" spans="1:3" ht="15" customHeight="1" x14ac:dyDescent="0.3">
      <c r="A116" t="s">
        <v>231</v>
      </c>
      <c r="B116" t="s">
        <v>231</v>
      </c>
      <c r="C116" t="s">
        <v>869</v>
      </c>
    </row>
    <row r="117" spans="1:3" ht="15" customHeight="1" x14ac:dyDescent="0.3">
      <c r="A117" t="s">
        <v>232</v>
      </c>
      <c r="B117" t="s">
        <v>232</v>
      </c>
      <c r="C117" t="s">
        <v>869</v>
      </c>
    </row>
    <row r="118" spans="1:3" ht="15" customHeight="1" x14ac:dyDescent="0.3">
      <c r="A118" t="s">
        <v>233</v>
      </c>
      <c r="B118" t="s">
        <v>233</v>
      </c>
      <c r="C118" t="s">
        <v>869</v>
      </c>
    </row>
    <row r="119" spans="1:3" ht="15" customHeight="1" x14ac:dyDescent="0.3">
      <c r="A119" t="s">
        <v>167</v>
      </c>
      <c r="B119" t="s">
        <v>167</v>
      </c>
      <c r="C119" t="s">
        <v>869</v>
      </c>
    </row>
    <row r="120" spans="1:3" ht="15" customHeight="1" x14ac:dyDescent="0.3">
      <c r="A120" t="s">
        <v>168</v>
      </c>
      <c r="B120" t="s">
        <v>168</v>
      </c>
      <c r="C120" t="s">
        <v>869</v>
      </c>
    </row>
    <row r="121" spans="1:3" ht="15" customHeight="1" x14ac:dyDescent="0.3">
      <c r="A121" t="s">
        <v>170</v>
      </c>
      <c r="B121" t="s">
        <v>170</v>
      </c>
      <c r="C121" t="s">
        <v>869</v>
      </c>
    </row>
    <row r="122" spans="1:3" ht="15" customHeight="1" x14ac:dyDescent="0.3">
      <c r="A122" t="s">
        <v>171</v>
      </c>
      <c r="B122" t="s">
        <v>171</v>
      </c>
      <c r="C122" t="s">
        <v>869</v>
      </c>
    </row>
    <row r="123" spans="1:3" ht="15" customHeight="1" x14ac:dyDescent="0.3">
      <c r="A123" t="s">
        <v>172</v>
      </c>
      <c r="B123" t="s">
        <v>172</v>
      </c>
      <c r="C123" t="s">
        <v>869</v>
      </c>
    </row>
    <row r="124" spans="1:3" ht="15" customHeight="1" x14ac:dyDescent="0.3">
      <c r="A124" t="s">
        <v>173</v>
      </c>
      <c r="B124" t="s">
        <v>173</v>
      </c>
      <c r="C124" t="s">
        <v>869</v>
      </c>
    </row>
    <row r="125" spans="1:3" ht="15" customHeight="1" x14ac:dyDescent="0.3">
      <c r="A125" t="s">
        <v>174</v>
      </c>
      <c r="B125" t="s">
        <v>174</v>
      </c>
      <c r="C125" t="s">
        <v>869</v>
      </c>
    </row>
    <row r="126" spans="1:3" ht="15" customHeight="1" x14ac:dyDescent="0.3">
      <c r="A126" t="s">
        <v>175</v>
      </c>
      <c r="B126" t="s">
        <v>175</v>
      </c>
      <c r="C126" t="s">
        <v>869</v>
      </c>
    </row>
    <row r="127" spans="1:3" ht="15" customHeight="1" x14ac:dyDescent="0.3">
      <c r="A127" t="s">
        <v>176</v>
      </c>
      <c r="B127" t="s">
        <v>176</v>
      </c>
      <c r="C127" t="s">
        <v>869</v>
      </c>
    </row>
    <row r="128" spans="1:3" ht="15" customHeight="1" x14ac:dyDescent="0.3">
      <c r="A128" t="s">
        <v>178</v>
      </c>
      <c r="B128" t="s">
        <v>178</v>
      </c>
      <c r="C128" t="s">
        <v>869</v>
      </c>
    </row>
    <row r="129" spans="1:3" ht="15" customHeight="1" x14ac:dyDescent="0.3">
      <c r="A129" t="s">
        <v>165</v>
      </c>
      <c r="B129" t="s">
        <v>165</v>
      </c>
      <c r="C129" t="s">
        <v>869</v>
      </c>
    </row>
    <row r="130" spans="1:3" ht="15" customHeight="1" x14ac:dyDescent="0.3">
      <c r="A130" t="s">
        <v>163</v>
      </c>
      <c r="B130" t="s">
        <v>163</v>
      </c>
      <c r="C130" t="s">
        <v>869</v>
      </c>
    </row>
    <row r="131" spans="1:3" ht="15" customHeight="1" x14ac:dyDescent="0.3">
      <c r="A131" t="s">
        <v>256</v>
      </c>
      <c r="B131" t="s">
        <v>256</v>
      </c>
      <c r="C131" t="s">
        <v>869</v>
      </c>
    </row>
    <row r="132" spans="1:3" ht="15" customHeight="1" x14ac:dyDescent="0.3">
      <c r="A132" t="s">
        <v>258</v>
      </c>
      <c r="B132" t="s">
        <v>258</v>
      </c>
      <c r="C132" t="s">
        <v>869</v>
      </c>
    </row>
    <row r="133" spans="1:3" ht="15" customHeight="1" x14ac:dyDescent="0.3">
      <c r="A133" t="s">
        <v>259</v>
      </c>
      <c r="B133" t="s">
        <v>259</v>
      </c>
      <c r="C133" t="s">
        <v>869</v>
      </c>
    </row>
    <row r="134" spans="1:3" ht="15" customHeight="1" x14ac:dyDescent="0.3">
      <c r="A134" t="s">
        <v>260</v>
      </c>
      <c r="B134" t="s">
        <v>260</v>
      </c>
      <c r="C134" t="s">
        <v>869</v>
      </c>
    </row>
    <row r="135" spans="1:3" ht="15" customHeight="1" x14ac:dyDescent="0.3">
      <c r="A135" t="s">
        <v>261</v>
      </c>
      <c r="B135" t="s">
        <v>261</v>
      </c>
      <c r="C135" t="s">
        <v>869</v>
      </c>
    </row>
    <row r="136" spans="1:3" ht="15" customHeight="1" x14ac:dyDescent="0.3">
      <c r="A136" t="s">
        <v>262</v>
      </c>
      <c r="B136" t="s">
        <v>262</v>
      </c>
      <c r="C136" t="s">
        <v>869</v>
      </c>
    </row>
    <row r="137" spans="1:3" ht="15" customHeight="1" x14ac:dyDescent="0.3">
      <c r="A137" t="s">
        <v>263</v>
      </c>
      <c r="B137" t="s">
        <v>263</v>
      </c>
      <c r="C137" t="s">
        <v>869</v>
      </c>
    </row>
    <row r="138" spans="1:3" ht="15" customHeight="1" x14ac:dyDescent="0.3">
      <c r="A138" t="s">
        <v>264</v>
      </c>
      <c r="B138" t="s">
        <v>264</v>
      </c>
      <c r="C138" t="s">
        <v>869</v>
      </c>
    </row>
    <row r="139" spans="1:3" ht="15" customHeight="1" x14ac:dyDescent="0.3">
      <c r="A139" t="s">
        <v>265</v>
      </c>
      <c r="B139" t="s">
        <v>265</v>
      </c>
      <c r="C139" t="s">
        <v>869</v>
      </c>
    </row>
    <row r="140" spans="1:3" ht="15" customHeight="1" x14ac:dyDescent="0.3">
      <c r="A140" t="s">
        <v>266</v>
      </c>
      <c r="B140" t="s">
        <v>266</v>
      </c>
      <c r="C140" t="s">
        <v>869</v>
      </c>
    </row>
    <row r="141" spans="1:3" ht="15" customHeight="1" x14ac:dyDescent="0.3">
      <c r="A141" t="s">
        <v>267</v>
      </c>
      <c r="B141" t="s">
        <v>755</v>
      </c>
      <c r="C141" t="s">
        <v>871</v>
      </c>
    </row>
    <row r="142" spans="1:3" ht="15" customHeight="1" x14ac:dyDescent="0.3">
      <c r="A142" t="s">
        <v>269</v>
      </c>
      <c r="B142" t="s">
        <v>269</v>
      </c>
      <c r="C142" t="s">
        <v>869</v>
      </c>
    </row>
    <row r="143" spans="1:3" ht="15" customHeight="1" x14ac:dyDescent="0.3">
      <c r="A143" t="s">
        <v>270</v>
      </c>
      <c r="B143" t="s">
        <v>270</v>
      </c>
      <c r="C143" t="s">
        <v>869</v>
      </c>
    </row>
    <row r="144" spans="1:3" ht="15" customHeight="1" x14ac:dyDescent="0.3">
      <c r="A144" t="s">
        <v>271</v>
      </c>
      <c r="B144" t="s">
        <v>271</v>
      </c>
      <c r="C144" t="s">
        <v>869</v>
      </c>
    </row>
    <row r="145" spans="1:3" ht="15" customHeight="1" x14ac:dyDescent="0.3">
      <c r="A145" t="s">
        <v>272</v>
      </c>
      <c r="B145" t="s">
        <v>272</v>
      </c>
      <c r="C145" t="s">
        <v>869</v>
      </c>
    </row>
    <row r="146" spans="1:3" ht="15" customHeight="1" x14ac:dyDescent="0.3">
      <c r="A146" t="s">
        <v>273</v>
      </c>
      <c r="B146" t="s">
        <v>273</v>
      </c>
      <c r="C146" t="s">
        <v>869</v>
      </c>
    </row>
    <row r="147" spans="1:3" ht="15" customHeight="1" x14ac:dyDescent="0.3">
      <c r="A147" t="s">
        <v>274</v>
      </c>
      <c r="B147" t="s">
        <v>274</v>
      </c>
      <c r="C147" t="s">
        <v>869</v>
      </c>
    </row>
    <row r="148" spans="1:3" ht="15" customHeight="1" x14ac:dyDescent="0.3">
      <c r="A148" t="s">
        <v>275</v>
      </c>
      <c r="B148" t="s">
        <v>275</v>
      </c>
      <c r="C148" t="s">
        <v>869</v>
      </c>
    </row>
    <row r="149" spans="1:3" ht="15" customHeight="1" x14ac:dyDescent="0.3">
      <c r="A149" t="s">
        <v>276</v>
      </c>
      <c r="B149" t="s">
        <v>276</v>
      </c>
      <c r="C149" t="s">
        <v>869</v>
      </c>
    </row>
    <row r="150" spans="1:3" ht="15" customHeight="1" x14ac:dyDescent="0.3">
      <c r="A150" t="s">
        <v>277</v>
      </c>
      <c r="B150" t="s">
        <v>277</v>
      </c>
      <c r="C150" t="s">
        <v>869</v>
      </c>
    </row>
    <row r="151" spans="1:3" ht="15" customHeight="1" x14ac:dyDescent="0.3">
      <c r="A151" t="s">
        <v>279</v>
      </c>
      <c r="B151" t="s">
        <v>279</v>
      </c>
      <c r="C151" t="s">
        <v>869</v>
      </c>
    </row>
    <row r="152" spans="1:3" ht="15" customHeight="1" x14ac:dyDescent="0.3">
      <c r="A152" t="s">
        <v>280</v>
      </c>
      <c r="B152" t="s">
        <v>280</v>
      </c>
      <c r="C152" t="s">
        <v>869</v>
      </c>
    </row>
    <row r="153" spans="1:3" ht="15" customHeight="1" x14ac:dyDescent="0.3">
      <c r="A153" t="s">
        <v>281</v>
      </c>
      <c r="B153" t="s">
        <v>281</v>
      </c>
      <c r="C153" t="s">
        <v>869</v>
      </c>
    </row>
    <row r="154" spans="1:3" ht="15" customHeight="1" x14ac:dyDescent="0.3">
      <c r="A154" t="s">
        <v>282</v>
      </c>
      <c r="B154" t="s">
        <v>282</v>
      </c>
      <c r="C154" t="s">
        <v>869</v>
      </c>
    </row>
    <row r="155" spans="1:3" ht="15" customHeight="1" x14ac:dyDescent="0.3">
      <c r="A155" t="s">
        <v>283</v>
      </c>
      <c r="B155" t="s">
        <v>283</v>
      </c>
      <c r="C155" t="s">
        <v>869</v>
      </c>
    </row>
    <row r="156" spans="1:3" ht="15" customHeight="1" x14ac:dyDescent="0.3">
      <c r="A156" t="s">
        <v>284</v>
      </c>
      <c r="B156" t="s">
        <v>284</v>
      </c>
      <c r="C156" t="s">
        <v>869</v>
      </c>
    </row>
    <row r="157" spans="1:3" ht="15" customHeight="1" x14ac:dyDescent="0.3">
      <c r="A157" t="s">
        <v>285</v>
      </c>
      <c r="B157" t="s">
        <v>285</v>
      </c>
      <c r="C157" t="s">
        <v>869</v>
      </c>
    </row>
    <row r="158" spans="1:3" ht="15" customHeight="1" x14ac:dyDescent="0.3">
      <c r="A158" t="s">
        <v>286</v>
      </c>
      <c r="B158" t="s">
        <v>286</v>
      </c>
      <c r="C158" t="s">
        <v>869</v>
      </c>
    </row>
    <row r="159" spans="1:3" ht="15" customHeight="1" x14ac:dyDescent="0.3">
      <c r="A159" t="s">
        <v>287</v>
      </c>
      <c r="B159" t="s">
        <v>287</v>
      </c>
      <c r="C159" t="s">
        <v>869</v>
      </c>
    </row>
    <row r="160" spans="1:3" ht="15" customHeight="1" x14ac:dyDescent="0.3">
      <c r="A160" t="s">
        <v>288</v>
      </c>
      <c r="B160" t="s">
        <v>288</v>
      </c>
      <c r="C160" t="s">
        <v>869</v>
      </c>
    </row>
    <row r="161" spans="1:3" ht="15" customHeight="1" x14ac:dyDescent="0.3">
      <c r="A161" t="s">
        <v>289</v>
      </c>
      <c r="B161" t="s">
        <v>289</v>
      </c>
      <c r="C161" t="s">
        <v>869</v>
      </c>
    </row>
    <row r="162" spans="1:3" ht="15" customHeight="1" x14ac:dyDescent="0.3">
      <c r="A162" t="s">
        <v>290</v>
      </c>
      <c r="B162" t="s">
        <v>290</v>
      </c>
      <c r="C162" t="s">
        <v>869</v>
      </c>
    </row>
    <row r="163" spans="1:3" ht="15" customHeight="1" x14ac:dyDescent="0.3">
      <c r="A163" t="s">
        <v>291</v>
      </c>
      <c r="B163" t="s">
        <v>291</v>
      </c>
      <c r="C163" t="s">
        <v>869</v>
      </c>
    </row>
    <row r="164" spans="1:3" ht="15" customHeight="1" x14ac:dyDescent="0.3">
      <c r="A164" t="s">
        <v>292</v>
      </c>
      <c r="B164" t="s">
        <v>292</v>
      </c>
      <c r="C164" t="s">
        <v>869</v>
      </c>
    </row>
    <row r="165" spans="1:3" ht="15" customHeight="1" x14ac:dyDescent="0.3">
      <c r="A165" t="s">
        <v>293</v>
      </c>
      <c r="B165" t="s">
        <v>293</v>
      </c>
      <c r="C165" t="s">
        <v>869</v>
      </c>
    </row>
    <row r="166" spans="1:3" ht="15" customHeight="1" x14ac:dyDescent="0.3">
      <c r="A166" t="s">
        <v>294</v>
      </c>
      <c r="B166" t="s">
        <v>294</v>
      </c>
      <c r="C166" t="s">
        <v>869</v>
      </c>
    </row>
    <row r="167" spans="1:3" ht="15" customHeight="1" x14ac:dyDescent="0.3">
      <c r="A167" t="s">
        <v>295</v>
      </c>
      <c r="B167" t="s">
        <v>295</v>
      </c>
      <c r="C167" t="s">
        <v>869</v>
      </c>
    </row>
    <row r="168" spans="1:3" ht="15" customHeight="1" x14ac:dyDescent="0.3">
      <c r="A168" t="s">
        <v>296</v>
      </c>
      <c r="B168" t="s">
        <v>296</v>
      </c>
      <c r="C168" t="s">
        <v>869</v>
      </c>
    </row>
    <row r="169" spans="1:3" ht="15" customHeight="1" x14ac:dyDescent="0.3">
      <c r="A169" t="s">
        <v>298</v>
      </c>
      <c r="B169" t="s">
        <v>298</v>
      </c>
      <c r="C169" t="s">
        <v>869</v>
      </c>
    </row>
    <row r="170" spans="1:3" ht="15" customHeight="1" x14ac:dyDescent="0.3">
      <c r="A170" t="s">
        <v>299</v>
      </c>
      <c r="B170" t="s">
        <v>299</v>
      </c>
      <c r="C170" t="s">
        <v>869</v>
      </c>
    </row>
    <row r="171" spans="1:3" ht="15" customHeight="1" x14ac:dyDescent="0.3">
      <c r="A171" t="s">
        <v>250</v>
      </c>
      <c r="B171" t="s">
        <v>250</v>
      </c>
      <c r="C171" t="s">
        <v>869</v>
      </c>
    </row>
    <row r="172" spans="1:3" ht="15" customHeight="1" x14ac:dyDescent="0.3">
      <c r="A172" t="s">
        <v>251</v>
      </c>
      <c r="B172" t="s">
        <v>251</v>
      </c>
      <c r="C172" t="s">
        <v>869</v>
      </c>
    </row>
    <row r="173" spans="1:3" ht="15" customHeight="1" x14ac:dyDescent="0.3">
      <c r="A173" t="s">
        <v>252</v>
      </c>
      <c r="B173" t="s">
        <v>252</v>
      </c>
      <c r="C173" t="s">
        <v>869</v>
      </c>
    </row>
    <row r="174" spans="1:3" ht="15" customHeight="1" x14ac:dyDescent="0.3">
      <c r="A174" t="s">
        <v>253</v>
      </c>
      <c r="B174" t="s">
        <v>253</v>
      </c>
      <c r="C174" t="s">
        <v>869</v>
      </c>
    </row>
    <row r="175" spans="1:3" ht="15" customHeight="1" x14ac:dyDescent="0.3">
      <c r="A175" t="s">
        <v>254</v>
      </c>
      <c r="B175" t="s">
        <v>254</v>
      </c>
      <c r="C175" t="s">
        <v>869</v>
      </c>
    </row>
    <row r="176" spans="1:3" ht="15" customHeight="1" x14ac:dyDescent="0.3">
      <c r="A176" t="s">
        <v>301</v>
      </c>
      <c r="B176" t="s">
        <v>301</v>
      </c>
      <c r="C176" t="s">
        <v>869</v>
      </c>
    </row>
    <row r="177" spans="1:3" ht="15" customHeight="1" x14ac:dyDescent="0.3">
      <c r="A177" t="s">
        <v>302</v>
      </c>
      <c r="B177" t="s">
        <v>302</v>
      </c>
      <c r="C177" t="s">
        <v>869</v>
      </c>
    </row>
    <row r="178" spans="1:3" ht="15" customHeight="1" x14ac:dyDescent="0.3">
      <c r="A178" t="s">
        <v>303</v>
      </c>
      <c r="B178" t="s">
        <v>303</v>
      </c>
      <c r="C178" t="s">
        <v>869</v>
      </c>
    </row>
    <row r="179" spans="1:3" ht="15" customHeight="1" x14ac:dyDescent="0.3">
      <c r="A179" t="s">
        <v>304</v>
      </c>
      <c r="B179" t="s">
        <v>304</v>
      </c>
      <c r="C179" t="s">
        <v>869</v>
      </c>
    </row>
    <row r="180" spans="1:3" ht="15" customHeight="1" x14ac:dyDescent="0.3">
      <c r="A180" t="s">
        <v>306</v>
      </c>
      <c r="B180" t="s">
        <v>306</v>
      </c>
      <c r="C180" t="s">
        <v>869</v>
      </c>
    </row>
    <row r="181" spans="1:3" ht="15" customHeight="1" x14ac:dyDescent="0.3">
      <c r="A181" t="s">
        <v>308</v>
      </c>
      <c r="B181" t="s">
        <v>308</v>
      </c>
      <c r="C181" t="s">
        <v>869</v>
      </c>
    </row>
    <row r="182" spans="1:3" ht="15" customHeight="1" x14ac:dyDescent="0.3">
      <c r="A182" t="s">
        <v>310</v>
      </c>
      <c r="B182" t="s">
        <v>310</v>
      </c>
      <c r="C182" t="s">
        <v>869</v>
      </c>
    </row>
    <row r="183" spans="1:3" ht="15" customHeight="1" x14ac:dyDescent="0.3">
      <c r="A183" t="s">
        <v>311</v>
      </c>
      <c r="B183" t="s">
        <v>311</v>
      </c>
      <c r="C183" t="s">
        <v>869</v>
      </c>
    </row>
    <row r="184" spans="1:3" ht="15" customHeight="1" x14ac:dyDescent="0.3">
      <c r="A184" t="s">
        <v>312</v>
      </c>
      <c r="B184" t="s">
        <v>312</v>
      </c>
      <c r="C184" t="s">
        <v>869</v>
      </c>
    </row>
    <row r="185" spans="1:3" ht="15" customHeight="1" x14ac:dyDescent="0.3">
      <c r="A185" t="s">
        <v>313</v>
      </c>
      <c r="B185" t="s">
        <v>313</v>
      </c>
      <c r="C185" t="s">
        <v>869</v>
      </c>
    </row>
    <row r="186" spans="1:3" ht="15" customHeight="1" x14ac:dyDescent="0.3">
      <c r="A186" t="s">
        <v>314</v>
      </c>
      <c r="B186" t="s">
        <v>314</v>
      </c>
      <c r="C186" t="s">
        <v>869</v>
      </c>
    </row>
    <row r="187" spans="1:3" ht="15" customHeight="1" x14ac:dyDescent="0.3">
      <c r="A187" t="s">
        <v>315</v>
      </c>
      <c r="B187" t="s">
        <v>315</v>
      </c>
      <c r="C187" t="s">
        <v>869</v>
      </c>
    </row>
    <row r="188" spans="1:3" ht="15" customHeight="1" x14ac:dyDescent="0.3">
      <c r="A188" t="s">
        <v>316</v>
      </c>
      <c r="B188" t="s">
        <v>316</v>
      </c>
      <c r="C188" t="s">
        <v>869</v>
      </c>
    </row>
    <row r="189" spans="1:3" ht="15" customHeight="1" x14ac:dyDescent="0.3">
      <c r="A189" t="s">
        <v>317</v>
      </c>
      <c r="B189" t="s">
        <v>756</v>
      </c>
      <c r="C189" t="s">
        <v>870</v>
      </c>
    </row>
    <row r="190" spans="1:3" ht="15" customHeight="1" x14ac:dyDescent="0.3">
      <c r="A190" t="s">
        <v>318</v>
      </c>
      <c r="B190" t="s">
        <v>318</v>
      </c>
      <c r="C190" t="s">
        <v>869</v>
      </c>
    </row>
    <row r="191" spans="1:3" ht="15" customHeight="1" x14ac:dyDescent="0.3">
      <c r="A191" t="s">
        <v>319</v>
      </c>
      <c r="B191" t="s">
        <v>319</v>
      </c>
      <c r="C191" t="s">
        <v>869</v>
      </c>
    </row>
    <row r="192" spans="1:3" ht="15" customHeight="1" x14ac:dyDescent="0.3">
      <c r="A192" t="s">
        <v>236</v>
      </c>
      <c r="B192" t="s">
        <v>840</v>
      </c>
      <c r="C192" t="s">
        <v>872</v>
      </c>
    </row>
    <row r="193" spans="1:3" ht="15" customHeight="1" x14ac:dyDescent="0.3">
      <c r="A193" t="s">
        <v>237</v>
      </c>
      <c r="B193" t="s">
        <v>840</v>
      </c>
      <c r="C193" t="s">
        <v>870</v>
      </c>
    </row>
    <row r="194" spans="1:3" ht="15" customHeight="1" x14ac:dyDescent="0.3">
      <c r="A194" t="s">
        <v>238</v>
      </c>
    </row>
    <row r="195" spans="1:3" ht="15" customHeight="1" x14ac:dyDescent="0.3">
      <c r="A195" t="s">
        <v>239</v>
      </c>
      <c r="B195" t="s">
        <v>841</v>
      </c>
      <c r="C195" t="s">
        <v>870</v>
      </c>
    </row>
    <row r="196" spans="1:3" ht="15" customHeight="1" x14ac:dyDescent="0.3">
      <c r="A196" t="s">
        <v>240</v>
      </c>
      <c r="B196" t="s">
        <v>841</v>
      </c>
      <c r="C196" t="s">
        <v>870</v>
      </c>
    </row>
    <row r="197" spans="1:3" ht="15" customHeight="1" x14ac:dyDescent="0.3">
      <c r="A197" t="s">
        <v>241</v>
      </c>
      <c r="B197" t="s">
        <v>841</v>
      </c>
      <c r="C197" t="s">
        <v>870</v>
      </c>
    </row>
    <row r="198" spans="1:3" ht="15" customHeight="1" x14ac:dyDescent="0.3">
      <c r="A198" t="s">
        <v>242</v>
      </c>
      <c r="B198" t="s">
        <v>841</v>
      </c>
      <c r="C198" t="s">
        <v>870</v>
      </c>
    </row>
    <row r="199" spans="1:3" ht="15" customHeight="1" x14ac:dyDescent="0.3">
      <c r="A199" t="s">
        <v>243</v>
      </c>
      <c r="B199" t="s">
        <v>841</v>
      </c>
      <c r="C199" t="s">
        <v>870</v>
      </c>
    </row>
    <row r="200" spans="1:3" ht="15" customHeight="1" x14ac:dyDescent="0.3">
      <c r="A200" t="s">
        <v>244</v>
      </c>
      <c r="B200" t="s">
        <v>841</v>
      </c>
      <c r="C200" t="s">
        <v>870</v>
      </c>
    </row>
    <row r="201" spans="1:3" ht="15" customHeight="1" x14ac:dyDescent="0.3">
      <c r="A201" t="s">
        <v>245</v>
      </c>
      <c r="B201" t="s">
        <v>841</v>
      </c>
      <c r="C201" t="s">
        <v>870</v>
      </c>
    </row>
    <row r="202" spans="1:3" ht="15" customHeight="1" x14ac:dyDescent="0.3">
      <c r="A202" t="s">
        <v>246</v>
      </c>
      <c r="B202" t="s">
        <v>841</v>
      </c>
      <c r="C202" t="s">
        <v>870</v>
      </c>
    </row>
    <row r="203" spans="1:3" ht="15" customHeight="1" x14ac:dyDescent="0.3">
      <c r="A203" t="s">
        <v>247</v>
      </c>
      <c r="B203" t="s">
        <v>841</v>
      </c>
      <c r="C203" t="s">
        <v>870</v>
      </c>
    </row>
    <row r="204" spans="1:3" ht="15" customHeight="1" x14ac:dyDescent="0.3">
      <c r="A204" t="s">
        <v>248</v>
      </c>
      <c r="B204" t="s">
        <v>841</v>
      </c>
      <c r="C204" t="s">
        <v>870</v>
      </c>
    </row>
    <row r="205" spans="1:3" ht="15" customHeight="1" x14ac:dyDescent="0.3">
      <c r="A205" t="s">
        <v>321</v>
      </c>
    </row>
    <row r="206" spans="1:3" ht="15" customHeight="1" x14ac:dyDescent="0.3">
      <c r="A206" t="s">
        <v>322</v>
      </c>
    </row>
    <row r="207" spans="1:3" ht="15" customHeight="1" x14ac:dyDescent="0.3">
      <c r="A207" t="s">
        <v>325</v>
      </c>
      <c r="B207" t="s">
        <v>325</v>
      </c>
      <c r="C207" t="s">
        <v>869</v>
      </c>
    </row>
    <row r="208" spans="1:3" ht="15" customHeight="1" x14ac:dyDescent="0.3">
      <c r="A208" t="s">
        <v>326</v>
      </c>
      <c r="B208" t="s">
        <v>326</v>
      </c>
      <c r="C208" t="s">
        <v>869</v>
      </c>
    </row>
    <row r="209" spans="1:3" ht="15" customHeight="1" x14ac:dyDescent="0.3">
      <c r="A209" t="s">
        <v>327</v>
      </c>
      <c r="B209" t="s">
        <v>327</v>
      </c>
      <c r="C209" t="s">
        <v>869</v>
      </c>
    </row>
    <row r="210" spans="1:3" ht="15" customHeight="1" x14ac:dyDescent="0.3">
      <c r="A210" t="s">
        <v>328</v>
      </c>
      <c r="B210" t="s">
        <v>328</v>
      </c>
      <c r="C210" t="s">
        <v>869</v>
      </c>
    </row>
    <row r="211" spans="1:3" ht="15" customHeight="1" x14ac:dyDescent="0.3">
      <c r="A211" t="s">
        <v>329</v>
      </c>
      <c r="B211" t="s">
        <v>329</v>
      </c>
      <c r="C211" t="s">
        <v>869</v>
      </c>
    </row>
    <row r="212" spans="1:3" ht="15" customHeight="1" x14ac:dyDescent="0.3">
      <c r="A212" t="s">
        <v>330</v>
      </c>
      <c r="B212" t="s">
        <v>330</v>
      </c>
      <c r="C212" t="s">
        <v>869</v>
      </c>
    </row>
    <row r="213" spans="1:3" ht="15" customHeight="1" x14ac:dyDescent="0.3">
      <c r="A213" t="s">
        <v>331</v>
      </c>
      <c r="B213" t="s">
        <v>331</v>
      </c>
      <c r="C213" t="s">
        <v>869</v>
      </c>
    </row>
    <row r="214" spans="1:3" ht="15" customHeight="1" x14ac:dyDescent="0.3">
      <c r="A214" t="s">
        <v>332</v>
      </c>
      <c r="B214" t="s">
        <v>332</v>
      </c>
      <c r="C214" t="s">
        <v>869</v>
      </c>
    </row>
    <row r="215" spans="1:3" ht="15" customHeight="1" x14ac:dyDescent="0.3">
      <c r="A215" t="s">
        <v>333</v>
      </c>
      <c r="B215" t="s">
        <v>333</v>
      </c>
      <c r="C215" t="s">
        <v>869</v>
      </c>
    </row>
    <row r="216" spans="1:3" ht="15" customHeight="1" x14ac:dyDescent="0.3">
      <c r="A216" t="s">
        <v>334</v>
      </c>
      <c r="B216" t="s">
        <v>334</v>
      </c>
      <c r="C216" t="s">
        <v>869</v>
      </c>
    </row>
    <row r="217" spans="1:3" ht="15" customHeight="1" x14ac:dyDescent="0.3">
      <c r="A217" t="s">
        <v>335</v>
      </c>
      <c r="B217" t="s">
        <v>335</v>
      </c>
      <c r="C217" t="s">
        <v>869</v>
      </c>
    </row>
    <row r="218" spans="1:3" ht="15" customHeight="1" x14ac:dyDescent="0.3">
      <c r="A218" t="s">
        <v>336</v>
      </c>
      <c r="B218" t="s">
        <v>336</v>
      </c>
      <c r="C218" t="s">
        <v>869</v>
      </c>
    </row>
    <row r="219" spans="1:3" ht="15" customHeight="1" x14ac:dyDescent="0.3">
      <c r="A219" t="s">
        <v>337</v>
      </c>
      <c r="B219" t="s">
        <v>337</v>
      </c>
      <c r="C219" t="s">
        <v>869</v>
      </c>
    </row>
    <row r="220" spans="1:3" ht="15" customHeight="1" x14ac:dyDescent="0.3">
      <c r="A220" t="s">
        <v>338</v>
      </c>
      <c r="B220" t="s">
        <v>338</v>
      </c>
      <c r="C220" t="s">
        <v>869</v>
      </c>
    </row>
    <row r="221" spans="1:3" ht="15" customHeight="1" x14ac:dyDescent="0.3">
      <c r="A221" t="s">
        <v>339</v>
      </c>
      <c r="B221" t="s">
        <v>339</v>
      </c>
      <c r="C221" t="s">
        <v>869</v>
      </c>
    </row>
    <row r="222" spans="1:3" ht="15" customHeight="1" x14ac:dyDescent="0.3">
      <c r="A222" t="s">
        <v>367</v>
      </c>
      <c r="B222" t="s">
        <v>367</v>
      </c>
      <c r="C222" t="s">
        <v>869</v>
      </c>
    </row>
    <row r="223" spans="1:3" ht="15" customHeight="1" x14ac:dyDescent="0.3">
      <c r="A223" t="s">
        <v>368</v>
      </c>
      <c r="B223" t="s">
        <v>368</v>
      </c>
      <c r="C223" t="s">
        <v>869</v>
      </c>
    </row>
    <row r="224" spans="1:3" ht="15" customHeight="1" x14ac:dyDescent="0.3">
      <c r="A224" t="s">
        <v>369</v>
      </c>
      <c r="B224" t="s">
        <v>369</v>
      </c>
      <c r="C224" t="s">
        <v>869</v>
      </c>
    </row>
    <row r="225" spans="1:3" ht="15" customHeight="1" x14ac:dyDescent="0.3">
      <c r="A225" t="s">
        <v>370</v>
      </c>
      <c r="B225" t="s">
        <v>370</v>
      </c>
      <c r="C225" t="s">
        <v>869</v>
      </c>
    </row>
    <row r="226" spans="1:3" ht="15" customHeight="1" x14ac:dyDescent="0.3">
      <c r="A226" t="s">
        <v>371</v>
      </c>
      <c r="B226" t="s">
        <v>371</v>
      </c>
      <c r="C226" t="s">
        <v>869</v>
      </c>
    </row>
    <row r="227" spans="1:3" ht="15" customHeight="1" x14ac:dyDescent="0.3">
      <c r="A227" t="s">
        <v>372</v>
      </c>
      <c r="B227" t="s">
        <v>372</v>
      </c>
      <c r="C227" t="s">
        <v>869</v>
      </c>
    </row>
    <row r="228" spans="1:3" ht="15" customHeight="1" x14ac:dyDescent="0.3">
      <c r="A228" t="s">
        <v>373</v>
      </c>
      <c r="B228" t="s">
        <v>373</v>
      </c>
      <c r="C228" t="s">
        <v>869</v>
      </c>
    </row>
    <row r="229" spans="1:3" ht="15" customHeight="1" x14ac:dyDescent="0.3">
      <c r="A229" t="s">
        <v>374</v>
      </c>
      <c r="B229" t="s">
        <v>374</v>
      </c>
      <c r="C229" t="s">
        <v>869</v>
      </c>
    </row>
    <row r="230" spans="1:3" ht="15" customHeight="1" x14ac:dyDescent="0.3">
      <c r="A230" t="s">
        <v>375</v>
      </c>
      <c r="B230" t="s">
        <v>375</v>
      </c>
      <c r="C230" t="s">
        <v>869</v>
      </c>
    </row>
    <row r="231" spans="1:3" ht="15" customHeight="1" x14ac:dyDescent="0.3">
      <c r="A231" t="s">
        <v>376</v>
      </c>
      <c r="B231" t="s">
        <v>376</v>
      </c>
      <c r="C231" t="s">
        <v>869</v>
      </c>
    </row>
    <row r="232" spans="1:3" ht="15" customHeight="1" x14ac:dyDescent="0.3">
      <c r="A232" t="s">
        <v>377</v>
      </c>
      <c r="B232" t="s">
        <v>377</v>
      </c>
      <c r="C232" t="s">
        <v>869</v>
      </c>
    </row>
    <row r="233" spans="1:3" ht="15" customHeight="1" x14ac:dyDescent="0.3">
      <c r="A233" t="s">
        <v>378</v>
      </c>
      <c r="B233" t="s">
        <v>378</v>
      </c>
      <c r="C233" t="s">
        <v>869</v>
      </c>
    </row>
    <row r="234" spans="1:3" ht="15" customHeight="1" x14ac:dyDescent="0.3">
      <c r="A234" t="s">
        <v>379</v>
      </c>
      <c r="B234" t="s">
        <v>379</v>
      </c>
      <c r="C234" t="s">
        <v>869</v>
      </c>
    </row>
    <row r="235" spans="1:3" ht="15" customHeight="1" x14ac:dyDescent="0.3">
      <c r="A235" t="s">
        <v>380</v>
      </c>
      <c r="B235" t="s">
        <v>380</v>
      </c>
      <c r="C235" t="s">
        <v>869</v>
      </c>
    </row>
    <row r="236" spans="1:3" ht="15" customHeight="1" x14ac:dyDescent="0.3">
      <c r="A236" t="s">
        <v>381</v>
      </c>
      <c r="B236" t="s">
        <v>381</v>
      </c>
      <c r="C236" t="s">
        <v>869</v>
      </c>
    </row>
    <row r="237" spans="1:3" ht="15" customHeight="1" x14ac:dyDescent="0.3">
      <c r="A237" t="s">
        <v>382</v>
      </c>
      <c r="B237" t="s">
        <v>382</v>
      </c>
      <c r="C237" t="s">
        <v>869</v>
      </c>
    </row>
    <row r="238" spans="1:3" ht="15" customHeight="1" x14ac:dyDescent="0.3">
      <c r="A238" t="s">
        <v>383</v>
      </c>
      <c r="B238" t="s">
        <v>383</v>
      </c>
      <c r="C238" t="s">
        <v>869</v>
      </c>
    </row>
    <row r="239" spans="1:3" ht="15" customHeight="1" x14ac:dyDescent="0.3">
      <c r="A239" t="s">
        <v>384</v>
      </c>
      <c r="B239" t="s">
        <v>384</v>
      </c>
      <c r="C239" t="s">
        <v>869</v>
      </c>
    </row>
    <row r="240" spans="1:3" ht="15" customHeight="1" x14ac:dyDescent="0.3">
      <c r="A240" t="s">
        <v>345</v>
      </c>
      <c r="B240" t="s">
        <v>345</v>
      </c>
      <c r="C240" t="s">
        <v>869</v>
      </c>
    </row>
    <row r="241" spans="1:3" ht="15" customHeight="1" x14ac:dyDescent="0.3">
      <c r="A241" t="s">
        <v>346</v>
      </c>
      <c r="B241" t="s">
        <v>346</v>
      </c>
      <c r="C241" t="s">
        <v>869</v>
      </c>
    </row>
    <row r="242" spans="1:3" ht="15" customHeight="1" x14ac:dyDescent="0.3">
      <c r="A242" t="s">
        <v>349</v>
      </c>
      <c r="B242" t="s">
        <v>349</v>
      </c>
      <c r="C242" t="s">
        <v>869</v>
      </c>
    </row>
    <row r="243" spans="1:3" ht="15" customHeight="1" x14ac:dyDescent="0.3">
      <c r="A243" t="s">
        <v>350</v>
      </c>
      <c r="B243" t="s">
        <v>350</v>
      </c>
      <c r="C243" t="s">
        <v>869</v>
      </c>
    </row>
    <row r="244" spans="1:3" ht="15" customHeight="1" x14ac:dyDescent="0.3">
      <c r="A244" t="s">
        <v>351</v>
      </c>
      <c r="B244" t="s">
        <v>351</v>
      </c>
      <c r="C244" t="s">
        <v>869</v>
      </c>
    </row>
    <row r="245" spans="1:3" ht="15" customHeight="1" x14ac:dyDescent="0.3">
      <c r="A245" t="s">
        <v>352</v>
      </c>
      <c r="B245" t="s">
        <v>352</v>
      </c>
      <c r="C245" t="s">
        <v>869</v>
      </c>
    </row>
    <row r="246" spans="1:3" ht="15" customHeight="1" x14ac:dyDescent="0.3">
      <c r="A246" t="s">
        <v>359</v>
      </c>
      <c r="B246" t="s">
        <v>359</v>
      </c>
      <c r="C246" t="s">
        <v>869</v>
      </c>
    </row>
    <row r="247" spans="1:3" ht="15" customHeight="1" x14ac:dyDescent="0.3">
      <c r="A247" t="s">
        <v>364</v>
      </c>
      <c r="B247" t="s">
        <v>364</v>
      </c>
      <c r="C247" t="s">
        <v>869</v>
      </c>
    </row>
    <row r="248" spans="1:3" ht="15" customHeight="1" x14ac:dyDescent="0.3">
      <c r="A248" t="s">
        <v>365</v>
      </c>
      <c r="B248" t="s">
        <v>365</v>
      </c>
      <c r="C248" t="s">
        <v>869</v>
      </c>
    </row>
    <row r="249" spans="1:3" ht="15" customHeight="1" x14ac:dyDescent="0.3">
      <c r="A249" t="s">
        <v>341</v>
      </c>
      <c r="B249" t="s">
        <v>341</v>
      </c>
      <c r="C249" t="s">
        <v>869</v>
      </c>
    </row>
    <row r="250" spans="1:3" ht="15" customHeight="1" x14ac:dyDescent="0.3">
      <c r="A250" t="s">
        <v>451</v>
      </c>
      <c r="B250" t="s">
        <v>451</v>
      </c>
      <c r="C250" t="s">
        <v>869</v>
      </c>
    </row>
    <row r="251" spans="1:3" ht="15" customHeight="1" x14ac:dyDescent="0.3">
      <c r="A251" t="s">
        <v>452</v>
      </c>
      <c r="B251" t="s">
        <v>452</v>
      </c>
      <c r="C251" t="s">
        <v>869</v>
      </c>
    </row>
    <row r="252" spans="1:3" ht="15" customHeight="1" x14ac:dyDescent="0.3">
      <c r="A252" t="s">
        <v>453</v>
      </c>
      <c r="B252" t="s">
        <v>453</v>
      </c>
      <c r="C252" t="s">
        <v>869</v>
      </c>
    </row>
    <row r="253" spans="1:3" ht="15" customHeight="1" x14ac:dyDescent="0.3">
      <c r="A253" t="s">
        <v>454</v>
      </c>
      <c r="B253" t="s">
        <v>454</v>
      </c>
      <c r="C253" t="s">
        <v>869</v>
      </c>
    </row>
    <row r="254" spans="1:3" ht="15" customHeight="1" x14ac:dyDescent="0.3">
      <c r="A254" t="s">
        <v>455</v>
      </c>
      <c r="B254" t="s">
        <v>455</v>
      </c>
      <c r="C254" t="s">
        <v>869</v>
      </c>
    </row>
    <row r="255" spans="1:3" ht="15" customHeight="1" x14ac:dyDescent="0.3">
      <c r="A255" t="s">
        <v>456</v>
      </c>
      <c r="B255" t="s">
        <v>456</v>
      </c>
      <c r="C255" t="s">
        <v>869</v>
      </c>
    </row>
    <row r="256" spans="1:3" ht="15" customHeight="1" x14ac:dyDescent="0.3">
      <c r="A256" t="s">
        <v>457</v>
      </c>
      <c r="B256" t="s">
        <v>457</v>
      </c>
      <c r="C256" t="s">
        <v>869</v>
      </c>
    </row>
    <row r="257" spans="1:3" ht="15" customHeight="1" x14ac:dyDescent="0.3">
      <c r="A257" t="s">
        <v>458</v>
      </c>
      <c r="B257" t="s">
        <v>458</v>
      </c>
      <c r="C257" t="s">
        <v>869</v>
      </c>
    </row>
    <row r="258" spans="1:3" ht="15" customHeight="1" x14ac:dyDescent="0.3">
      <c r="A258" t="s">
        <v>459</v>
      </c>
      <c r="B258" t="s">
        <v>459</v>
      </c>
      <c r="C258" t="s">
        <v>869</v>
      </c>
    </row>
    <row r="259" spans="1:3" ht="15" customHeight="1" x14ac:dyDescent="0.3">
      <c r="A259" t="s">
        <v>460</v>
      </c>
      <c r="B259" t="s">
        <v>460</v>
      </c>
      <c r="C259" t="s">
        <v>869</v>
      </c>
    </row>
    <row r="260" spans="1:3" ht="15" customHeight="1" x14ac:dyDescent="0.3">
      <c r="A260" t="s">
        <v>461</v>
      </c>
      <c r="B260" t="s">
        <v>461</v>
      </c>
      <c r="C260" t="s">
        <v>869</v>
      </c>
    </row>
    <row r="261" spans="1:3" ht="15" customHeight="1" x14ac:dyDescent="0.3">
      <c r="A261" t="s">
        <v>408</v>
      </c>
      <c r="B261" t="s">
        <v>408</v>
      </c>
      <c r="C261" t="s">
        <v>869</v>
      </c>
    </row>
    <row r="262" spans="1:3" ht="15" customHeight="1" x14ac:dyDescent="0.3">
      <c r="A262" t="s">
        <v>409</v>
      </c>
      <c r="B262" t="s">
        <v>409</v>
      </c>
      <c r="C262" t="s">
        <v>869</v>
      </c>
    </row>
    <row r="263" spans="1:3" ht="15" customHeight="1" x14ac:dyDescent="0.3">
      <c r="A263" t="s">
        <v>410</v>
      </c>
      <c r="B263" t="s">
        <v>410</v>
      </c>
      <c r="C263" t="s">
        <v>869</v>
      </c>
    </row>
    <row r="264" spans="1:3" ht="15" customHeight="1" x14ac:dyDescent="0.3">
      <c r="A264" t="s">
        <v>411</v>
      </c>
      <c r="B264" t="s">
        <v>411</v>
      </c>
      <c r="C264" t="s">
        <v>869</v>
      </c>
    </row>
    <row r="265" spans="1:3" ht="15" customHeight="1" x14ac:dyDescent="0.3">
      <c r="A265" t="s">
        <v>412</v>
      </c>
      <c r="B265" t="s">
        <v>412</v>
      </c>
      <c r="C265" t="s">
        <v>869</v>
      </c>
    </row>
    <row r="266" spans="1:3" ht="15" customHeight="1" x14ac:dyDescent="0.3">
      <c r="A266" t="s">
        <v>413</v>
      </c>
      <c r="B266" t="s">
        <v>413</v>
      </c>
      <c r="C266" t="s">
        <v>869</v>
      </c>
    </row>
    <row r="267" spans="1:3" ht="15" customHeight="1" x14ac:dyDescent="0.3">
      <c r="A267" t="s">
        <v>414</v>
      </c>
      <c r="B267" t="s">
        <v>414</v>
      </c>
      <c r="C267" t="s">
        <v>869</v>
      </c>
    </row>
    <row r="268" spans="1:3" ht="15" customHeight="1" x14ac:dyDescent="0.3">
      <c r="A268" t="s">
        <v>415</v>
      </c>
      <c r="B268" t="s">
        <v>415</v>
      </c>
      <c r="C268" t="s">
        <v>869</v>
      </c>
    </row>
    <row r="269" spans="1:3" ht="15" customHeight="1" x14ac:dyDescent="0.3">
      <c r="A269" t="s">
        <v>416</v>
      </c>
      <c r="B269" t="s">
        <v>416</v>
      </c>
      <c r="C269" t="s">
        <v>869</v>
      </c>
    </row>
    <row r="270" spans="1:3" ht="15" customHeight="1" x14ac:dyDescent="0.3">
      <c r="A270" t="s">
        <v>417</v>
      </c>
      <c r="B270" t="s">
        <v>417</v>
      </c>
      <c r="C270" t="s">
        <v>869</v>
      </c>
    </row>
    <row r="271" spans="1:3" ht="15" customHeight="1" x14ac:dyDescent="0.3">
      <c r="A271" t="s">
        <v>418</v>
      </c>
      <c r="B271" t="s">
        <v>418</v>
      </c>
      <c r="C271" t="s">
        <v>869</v>
      </c>
    </row>
    <row r="272" spans="1:3" ht="15" customHeight="1" x14ac:dyDescent="0.3">
      <c r="A272" t="s">
        <v>420</v>
      </c>
      <c r="B272" t="s">
        <v>420</v>
      </c>
      <c r="C272" t="s">
        <v>869</v>
      </c>
    </row>
    <row r="273" spans="1:3" ht="15" customHeight="1" x14ac:dyDescent="0.3">
      <c r="A273" t="s">
        <v>421</v>
      </c>
      <c r="B273" t="s">
        <v>421</v>
      </c>
      <c r="C273" t="s">
        <v>869</v>
      </c>
    </row>
    <row r="274" spans="1:3" ht="15" customHeight="1" x14ac:dyDescent="0.3">
      <c r="A274" t="s">
        <v>422</v>
      </c>
      <c r="B274" t="s">
        <v>422</v>
      </c>
      <c r="C274" t="s">
        <v>869</v>
      </c>
    </row>
    <row r="275" spans="1:3" ht="15" customHeight="1" x14ac:dyDescent="0.3">
      <c r="A275" t="s">
        <v>393</v>
      </c>
      <c r="B275" t="s">
        <v>393</v>
      </c>
      <c r="C275" t="s">
        <v>869</v>
      </c>
    </row>
    <row r="276" spans="1:3" ht="15" customHeight="1" x14ac:dyDescent="0.3">
      <c r="A276" t="s">
        <v>394</v>
      </c>
      <c r="B276" t="s">
        <v>394</v>
      </c>
      <c r="C276" t="s">
        <v>869</v>
      </c>
    </row>
    <row r="277" spans="1:3" ht="15" customHeight="1" x14ac:dyDescent="0.3">
      <c r="A277" t="s">
        <v>395</v>
      </c>
      <c r="B277" t="s">
        <v>395</v>
      </c>
      <c r="C277" t="s">
        <v>869</v>
      </c>
    </row>
    <row r="278" spans="1:3" ht="15" customHeight="1" x14ac:dyDescent="0.3">
      <c r="A278" t="s">
        <v>396</v>
      </c>
      <c r="B278" t="s">
        <v>396</v>
      </c>
      <c r="C278" t="s">
        <v>869</v>
      </c>
    </row>
    <row r="279" spans="1:3" ht="15" customHeight="1" x14ac:dyDescent="0.3">
      <c r="A279" t="s">
        <v>397</v>
      </c>
      <c r="B279" t="s">
        <v>397</v>
      </c>
      <c r="C279" t="s">
        <v>869</v>
      </c>
    </row>
    <row r="280" spans="1:3" ht="15" customHeight="1" x14ac:dyDescent="0.3">
      <c r="A280" t="s">
        <v>398</v>
      </c>
      <c r="B280" t="s">
        <v>398</v>
      </c>
      <c r="C280" t="s">
        <v>869</v>
      </c>
    </row>
    <row r="281" spans="1:3" ht="15" customHeight="1" x14ac:dyDescent="0.3">
      <c r="A281" t="s">
        <v>399</v>
      </c>
      <c r="B281" t="s">
        <v>399</v>
      </c>
      <c r="C281" t="s">
        <v>869</v>
      </c>
    </row>
    <row r="282" spans="1:3" ht="15" customHeight="1" x14ac:dyDescent="0.3">
      <c r="A282" t="s">
        <v>400</v>
      </c>
      <c r="B282" t="s">
        <v>400</v>
      </c>
      <c r="C282" t="s">
        <v>869</v>
      </c>
    </row>
    <row r="283" spans="1:3" ht="15" customHeight="1" x14ac:dyDescent="0.3">
      <c r="A283" t="s">
        <v>401</v>
      </c>
      <c r="B283" t="s">
        <v>401</v>
      </c>
      <c r="C283" t="s">
        <v>869</v>
      </c>
    </row>
    <row r="284" spans="1:3" ht="15" customHeight="1" x14ac:dyDescent="0.3">
      <c r="A284" t="s">
        <v>402</v>
      </c>
      <c r="B284" t="s">
        <v>758</v>
      </c>
      <c r="C284" t="s">
        <v>872</v>
      </c>
    </row>
    <row r="285" spans="1:3" ht="15" customHeight="1" x14ac:dyDescent="0.3">
      <c r="A285" t="s">
        <v>403</v>
      </c>
      <c r="B285" t="s">
        <v>758</v>
      </c>
      <c r="C285" t="s">
        <v>872</v>
      </c>
    </row>
    <row r="286" spans="1:3" ht="15" customHeight="1" x14ac:dyDescent="0.3">
      <c r="A286" t="s">
        <v>404</v>
      </c>
      <c r="B286" t="s">
        <v>404</v>
      </c>
      <c r="C286" t="s">
        <v>869</v>
      </c>
    </row>
    <row r="287" spans="1:3" ht="15" customHeight="1" x14ac:dyDescent="0.3">
      <c r="A287" t="s">
        <v>405</v>
      </c>
      <c r="B287" t="s">
        <v>405</v>
      </c>
      <c r="C287" t="s">
        <v>869</v>
      </c>
    </row>
    <row r="288" spans="1:3" ht="15" customHeight="1" x14ac:dyDescent="0.3">
      <c r="A288" t="s">
        <v>463</v>
      </c>
      <c r="B288" t="s">
        <v>463</v>
      </c>
      <c r="C288" t="s">
        <v>869</v>
      </c>
    </row>
    <row r="289" spans="1:3" ht="15" customHeight="1" x14ac:dyDescent="0.3">
      <c r="A289" t="s">
        <v>464</v>
      </c>
      <c r="B289" t="s">
        <v>759</v>
      </c>
      <c r="C289" t="s">
        <v>870</v>
      </c>
    </row>
    <row r="290" spans="1:3" ht="15" customHeight="1" x14ac:dyDescent="0.3">
      <c r="A290" t="s">
        <v>465</v>
      </c>
      <c r="B290" t="s">
        <v>759</v>
      </c>
      <c r="C290" t="s">
        <v>870</v>
      </c>
    </row>
    <row r="291" spans="1:3" ht="15" customHeight="1" x14ac:dyDescent="0.3">
      <c r="A291" t="s">
        <v>466</v>
      </c>
      <c r="B291" t="s">
        <v>759</v>
      </c>
      <c r="C291" t="s">
        <v>870</v>
      </c>
    </row>
    <row r="292" spans="1:3" ht="15" customHeight="1" x14ac:dyDescent="0.3">
      <c r="A292" t="s">
        <v>467</v>
      </c>
      <c r="B292" t="s">
        <v>759</v>
      </c>
      <c r="C292" t="s">
        <v>870</v>
      </c>
    </row>
    <row r="293" spans="1:3" ht="15" customHeight="1" x14ac:dyDescent="0.3">
      <c r="A293" t="s">
        <v>468</v>
      </c>
      <c r="B293" t="s">
        <v>761</v>
      </c>
      <c r="C293" t="s">
        <v>870</v>
      </c>
    </row>
    <row r="294" spans="1:3" ht="15" customHeight="1" x14ac:dyDescent="0.3">
      <c r="A294" t="s">
        <v>469</v>
      </c>
      <c r="B294" t="s">
        <v>761</v>
      </c>
      <c r="C294" t="s">
        <v>870</v>
      </c>
    </row>
    <row r="295" spans="1:3" ht="15" customHeight="1" x14ac:dyDescent="0.3">
      <c r="A295" t="s">
        <v>470</v>
      </c>
      <c r="B295" t="s">
        <v>761</v>
      </c>
      <c r="C295" t="s">
        <v>870</v>
      </c>
    </row>
    <row r="296" spans="1:3" ht="15" customHeight="1" x14ac:dyDescent="0.3">
      <c r="A296" t="s">
        <v>471</v>
      </c>
      <c r="B296" t="s">
        <v>761</v>
      </c>
      <c r="C296" t="s">
        <v>870</v>
      </c>
    </row>
    <row r="297" spans="1:3" ht="15" customHeight="1" x14ac:dyDescent="0.3">
      <c r="A297" t="s">
        <v>472</v>
      </c>
      <c r="B297" t="s">
        <v>762</v>
      </c>
      <c r="C297" t="s">
        <v>870</v>
      </c>
    </row>
    <row r="298" spans="1:3" ht="15" customHeight="1" x14ac:dyDescent="0.3">
      <c r="A298" t="s">
        <v>473</v>
      </c>
      <c r="B298" t="s">
        <v>762</v>
      </c>
      <c r="C298" t="s">
        <v>870</v>
      </c>
    </row>
    <row r="299" spans="1:3" ht="15" customHeight="1" x14ac:dyDescent="0.3">
      <c r="A299" t="s">
        <v>474</v>
      </c>
      <c r="B299" t="s">
        <v>762</v>
      </c>
      <c r="C299" t="s">
        <v>870</v>
      </c>
    </row>
    <row r="300" spans="1:3" ht="15" customHeight="1" x14ac:dyDescent="0.3">
      <c r="A300" t="s">
        <v>475</v>
      </c>
      <c r="B300" t="s">
        <v>762</v>
      </c>
      <c r="C300" t="s">
        <v>870</v>
      </c>
    </row>
    <row r="301" spans="1:3" ht="15" customHeight="1" x14ac:dyDescent="0.3">
      <c r="A301" t="s">
        <v>476</v>
      </c>
      <c r="B301" t="s">
        <v>763</v>
      </c>
      <c r="C301" t="s">
        <v>870</v>
      </c>
    </row>
    <row r="302" spans="1:3" ht="15" customHeight="1" x14ac:dyDescent="0.3">
      <c r="A302" t="s">
        <v>477</v>
      </c>
      <c r="B302" t="s">
        <v>763</v>
      </c>
      <c r="C302" t="s">
        <v>870</v>
      </c>
    </row>
    <row r="303" spans="1:3" ht="15" customHeight="1" x14ac:dyDescent="0.3">
      <c r="A303" t="s">
        <v>478</v>
      </c>
      <c r="B303" t="s">
        <v>764</v>
      </c>
      <c r="C303" t="s">
        <v>870</v>
      </c>
    </row>
    <row r="304" spans="1:3" ht="15" customHeight="1" x14ac:dyDescent="0.3">
      <c r="A304" t="s">
        <v>479</v>
      </c>
      <c r="B304" t="s">
        <v>764</v>
      </c>
      <c r="C304" t="s">
        <v>870</v>
      </c>
    </row>
    <row r="305" spans="1:3" ht="15" customHeight="1" x14ac:dyDescent="0.3">
      <c r="A305" t="s">
        <v>480</v>
      </c>
      <c r="B305" t="s">
        <v>764</v>
      </c>
      <c r="C305" t="s">
        <v>870</v>
      </c>
    </row>
    <row r="306" spans="1:3" ht="15" customHeight="1" x14ac:dyDescent="0.3">
      <c r="A306" t="s">
        <v>481</v>
      </c>
      <c r="B306" t="s">
        <v>765</v>
      </c>
      <c r="C306" t="s">
        <v>870</v>
      </c>
    </row>
    <row r="307" spans="1:3" ht="15" customHeight="1" x14ac:dyDescent="0.3">
      <c r="A307" t="s">
        <v>482</v>
      </c>
      <c r="B307" t="s">
        <v>765</v>
      </c>
      <c r="C307" t="s">
        <v>870</v>
      </c>
    </row>
    <row r="308" spans="1:3" ht="15" customHeight="1" x14ac:dyDescent="0.3">
      <c r="A308" t="s">
        <v>483</v>
      </c>
      <c r="B308" t="s">
        <v>765</v>
      </c>
      <c r="C308" t="s">
        <v>870</v>
      </c>
    </row>
    <row r="309" spans="1:3" ht="15" customHeight="1" x14ac:dyDescent="0.3">
      <c r="A309" t="s">
        <v>484</v>
      </c>
      <c r="B309" t="s">
        <v>484</v>
      </c>
      <c r="C309" t="s">
        <v>869</v>
      </c>
    </row>
    <row r="310" spans="1:3" ht="15" customHeight="1" x14ac:dyDescent="0.3">
      <c r="A310" t="s">
        <v>485</v>
      </c>
      <c r="B310" t="s">
        <v>766</v>
      </c>
      <c r="C310" t="s">
        <v>870</v>
      </c>
    </row>
    <row r="311" spans="1:3" ht="15" customHeight="1" x14ac:dyDescent="0.3">
      <c r="A311" t="s">
        <v>486</v>
      </c>
      <c r="B311" t="s">
        <v>766</v>
      </c>
      <c r="C311" t="s">
        <v>870</v>
      </c>
    </row>
    <row r="312" spans="1:3" ht="15" customHeight="1" x14ac:dyDescent="0.3">
      <c r="A312" t="s">
        <v>487</v>
      </c>
      <c r="B312" t="s">
        <v>766</v>
      </c>
      <c r="C312" t="s">
        <v>870</v>
      </c>
    </row>
    <row r="313" spans="1:3" ht="15" customHeight="1" x14ac:dyDescent="0.3">
      <c r="A313" t="s">
        <v>424</v>
      </c>
      <c r="B313" t="s">
        <v>424</v>
      </c>
      <c r="C313" t="s">
        <v>869</v>
      </c>
    </row>
    <row r="314" spans="1:3" ht="15" customHeight="1" x14ac:dyDescent="0.3">
      <c r="A314" t="s">
        <v>425</v>
      </c>
      <c r="B314" t="s">
        <v>425</v>
      </c>
      <c r="C314" t="s">
        <v>869</v>
      </c>
    </row>
    <row r="315" spans="1:3" ht="15" customHeight="1" x14ac:dyDescent="0.3">
      <c r="A315" t="s">
        <v>426</v>
      </c>
      <c r="B315" t="s">
        <v>426</v>
      </c>
      <c r="C315" t="s">
        <v>869</v>
      </c>
    </row>
    <row r="316" spans="1:3" ht="15" customHeight="1" x14ac:dyDescent="0.3">
      <c r="A316" t="s">
        <v>427</v>
      </c>
      <c r="B316" t="s">
        <v>427</v>
      </c>
      <c r="C316" t="s">
        <v>869</v>
      </c>
    </row>
    <row r="317" spans="1:3" ht="15" customHeight="1" x14ac:dyDescent="0.3">
      <c r="A317" t="s">
        <v>428</v>
      </c>
      <c r="B317" t="s">
        <v>428</v>
      </c>
      <c r="C317" t="s">
        <v>869</v>
      </c>
    </row>
    <row r="318" spans="1:3" ht="15" customHeight="1" x14ac:dyDescent="0.3">
      <c r="A318" t="s">
        <v>429</v>
      </c>
      <c r="B318" t="s">
        <v>767</v>
      </c>
      <c r="C318" t="s">
        <v>872</v>
      </c>
    </row>
    <row r="319" spans="1:3" ht="15" customHeight="1" x14ac:dyDescent="0.3">
      <c r="A319" t="s">
        <v>430</v>
      </c>
      <c r="B319" t="s">
        <v>767</v>
      </c>
      <c r="C319" t="s">
        <v>871</v>
      </c>
    </row>
    <row r="320" spans="1:3" ht="15" customHeight="1" x14ac:dyDescent="0.3">
      <c r="A320" t="s">
        <v>431</v>
      </c>
      <c r="B320" t="s">
        <v>431</v>
      </c>
      <c r="C320" t="s">
        <v>869</v>
      </c>
    </row>
    <row r="321" spans="1:3" ht="15" customHeight="1" x14ac:dyDescent="0.3">
      <c r="A321" t="s">
        <v>432</v>
      </c>
      <c r="B321" t="s">
        <v>432</v>
      </c>
      <c r="C321" t="s">
        <v>869</v>
      </c>
    </row>
    <row r="322" spans="1:3" ht="15" customHeight="1" x14ac:dyDescent="0.3">
      <c r="A322" t="s">
        <v>433</v>
      </c>
      <c r="B322" t="s">
        <v>433</v>
      </c>
      <c r="C322" t="s">
        <v>869</v>
      </c>
    </row>
    <row r="323" spans="1:3" ht="15" customHeight="1" x14ac:dyDescent="0.3">
      <c r="A323" t="s">
        <v>434</v>
      </c>
      <c r="B323" t="s">
        <v>434</v>
      </c>
      <c r="C323" t="s">
        <v>869</v>
      </c>
    </row>
    <row r="324" spans="1:3" ht="15" customHeight="1" x14ac:dyDescent="0.3">
      <c r="A324" t="s">
        <v>435</v>
      </c>
      <c r="B324" t="s">
        <v>435</v>
      </c>
      <c r="C324" t="s">
        <v>869</v>
      </c>
    </row>
    <row r="325" spans="1:3" ht="15" customHeight="1" x14ac:dyDescent="0.3">
      <c r="A325" t="s">
        <v>436</v>
      </c>
      <c r="B325" t="s">
        <v>436</v>
      </c>
      <c r="C325" t="s">
        <v>869</v>
      </c>
    </row>
    <row r="326" spans="1:3" ht="15" customHeight="1" x14ac:dyDescent="0.3">
      <c r="A326" t="s">
        <v>437</v>
      </c>
      <c r="B326" t="s">
        <v>437</v>
      </c>
      <c r="C326" t="s">
        <v>869</v>
      </c>
    </row>
    <row r="327" spans="1:3" ht="15" customHeight="1" x14ac:dyDescent="0.3">
      <c r="A327" t="s">
        <v>438</v>
      </c>
      <c r="B327" t="s">
        <v>438</v>
      </c>
      <c r="C327" t="s">
        <v>869</v>
      </c>
    </row>
    <row r="328" spans="1:3" ht="15" customHeight="1" x14ac:dyDescent="0.3">
      <c r="A328" t="s">
        <v>439</v>
      </c>
      <c r="B328" t="s">
        <v>768</v>
      </c>
      <c r="C328" t="s">
        <v>872</v>
      </c>
    </row>
    <row r="329" spans="1:3" ht="15" customHeight="1" x14ac:dyDescent="0.3">
      <c r="A329" t="s">
        <v>440</v>
      </c>
      <c r="B329" t="s">
        <v>768</v>
      </c>
      <c r="C329" t="s">
        <v>872</v>
      </c>
    </row>
    <row r="330" spans="1:3" ht="15" customHeight="1" x14ac:dyDescent="0.3">
      <c r="A330" t="s">
        <v>442</v>
      </c>
      <c r="B330" t="s">
        <v>769</v>
      </c>
      <c r="C330" t="s">
        <v>872</v>
      </c>
    </row>
    <row r="331" spans="1:3" ht="15" customHeight="1" x14ac:dyDescent="0.3">
      <c r="A331" t="s">
        <v>443</v>
      </c>
      <c r="B331" t="s">
        <v>769</v>
      </c>
      <c r="C331" t="s">
        <v>872</v>
      </c>
    </row>
    <row r="332" spans="1:3" ht="15" customHeight="1" x14ac:dyDescent="0.3">
      <c r="A332" t="s">
        <v>444</v>
      </c>
      <c r="B332" t="s">
        <v>444</v>
      </c>
      <c r="C332" t="s">
        <v>869</v>
      </c>
    </row>
    <row r="333" spans="1:3" ht="15" customHeight="1" x14ac:dyDescent="0.3">
      <c r="A333" t="s">
        <v>446</v>
      </c>
      <c r="B333" t="s">
        <v>446</v>
      </c>
      <c r="C333" t="s">
        <v>869</v>
      </c>
    </row>
    <row r="334" spans="1:3" ht="15" customHeight="1" x14ac:dyDescent="0.3">
      <c r="A334" t="s">
        <v>445</v>
      </c>
      <c r="B334" t="s">
        <v>770</v>
      </c>
      <c r="C334" t="s">
        <v>872</v>
      </c>
    </row>
    <row r="335" spans="1:3" ht="15" customHeight="1" x14ac:dyDescent="0.3">
      <c r="A335" t="s">
        <v>447</v>
      </c>
      <c r="B335" t="s">
        <v>770</v>
      </c>
      <c r="C335" t="s">
        <v>872</v>
      </c>
    </row>
    <row r="336" spans="1:3" ht="15" customHeight="1" x14ac:dyDescent="0.3">
      <c r="A336" t="s">
        <v>448</v>
      </c>
      <c r="B336" t="s">
        <v>770</v>
      </c>
      <c r="C336" t="s">
        <v>872</v>
      </c>
    </row>
    <row r="337" spans="1:3" ht="15" customHeight="1" x14ac:dyDescent="0.3">
      <c r="A337" t="s">
        <v>449</v>
      </c>
      <c r="B337" t="s">
        <v>449</v>
      </c>
      <c r="C337" t="s">
        <v>869</v>
      </c>
    </row>
    <row r="338" spans="1:3" ht="15" customHeight="1" x14ac:dyDescent="0.3">
      <c r="A338" t="s">
        <v>522</v>
      </c>
      <c r="B338" t="s">
        <v>522</v>
      </c>
      <c r="C338" t="s">
        <v>869</v>
      </c>
    </row>
    <row r="339" spans="1:3" ht="15" customHeight="1" x14ac:dyDescent="0.3">
      <c r="A339" t="s">
        <v>523</v>
      </c>
      <c r="B339" t="s">
        <v>771</v>
      </c>
      <c r="C339" t="s">
        <v>872</v>
      </c>
    </row>
    <row r="340" spans="1:3" ht="15" customHeight="1" x14ac:dyDescent="0.3">
      <c r="A340" t="s">
        <v>524</v>
      </c>
      <c r="B340" t="s">
        <v>772</v>
      </c>
      <c r="C340" t="s">
        <v>872</v>
      </c>
    </row>
    <row r="341" spans="1:3" ht="15" customHeight="1" x14ac:dyDescent="0.3">
      <c r="A341" t="s">
        <v>525</v>
      </c>
      <c r="B341" t="s">
        <v>772</v>
      </c>
      <c r="C341" t="s">
        <v>872</v>
      </c>
    </row>
    <row r="342" spans="1:3" ht="15" customHeight="1" x14ac:dyDescent="0.3">
      <c r="A342" t="s">
        <v>526</v>
      </c>
      <c r="B342" t="s">
        <v>773</v>
      </c>
      <c r="C342" t="s">
        <v>872</v>
      </c>
    </row>
    <row r="343" spans="1:3" ht="15" customHeight="1" x14ac:dyDescent="0.3">
      <c r="A343" t="s">
        <v>527</v>
      </c>
      <c r="B343" t="s">
        <v>772</v>
      </c>
      <c r="C343" t="s">
        <v>872</v>
      </c>
    </row>
    <row r="344" spans="1:3" ht="15" customHeight="1" x14ac:dyDescent="0.3">
      <c r="A344" t="s">
        <v>528</v>
      </c>
      <c r="B344" t="s">
        <v>528</v>
      </c>
      <c r="C344" t="s">
        <v>869</v>
      </c>
    </row>
    <row r="345" spans="1:3" ht="15" customHeight="1" x14ac:dyDescent="0.3">
      <c r="A345" t="s">
        <v>529</v>
      </c>
      <c r="B345" t="s">
        <v>774</v>
      </c>
      <c r="C345" t="s">
        <v>872</v>
      </c>
    </row>
    <row r="346" spans="1:3" ht="15" customHeight="1" x14ac:dyDescent="0.3">
      <c r="A346" t="s">
        <v>530</v>
      </c>
      <c r="B346" t="s">
        <v>774</v>
      </c>
      <c r="C346" t="s">
        <v>872</v>
      </c>
    </row>
    <row r="347" spans="1:3" ht="15" customHeight="1" x14ac:dyDescent="0.3">
      <c r="A347" t="s">
        <v>531</v>
      </c>
      <c r="B347" t="s">
        <v>773</v>
      </c>
      <c r="C347" t="s">
        <v>872</v>
      </c>
    </row>
    <row r="348" spans="1:3" ht="15" customHeight="1" x14ac:dyDescent="0.3">
      <c r="A348" t="s">
        <v>532</v>
      </c>
      <c r="B348" t="s">
        <v>775</v>
      </c>
      <c r="C348" t="s">
        <v>872</v>
      </c>
    </row>
    <row r="349" spans="1:3" ht="15" customHeight="1" x14ac:dyDescent="0.3">
      <c r="A349" t="s">
        <v>533</v>
      </c>
      <c r="B349" t="s">
        <v>775</v>
      </c>
      <c r="C349" t="s">
        <v>872</v>
      </c>
    </row>
    <row r="350" spans="1:3" ht="15" customHeight="1" x14ac:dyDescent="0.3">
      <c r="A350" t="s">
        <v>534</v>
      </c>
      <c r="B350" t="s">
        <v>776</v>
      </c>
      <c r="C350" t="s">
        <v>872</v>
      </c>
    </row>
    <row r="351" spans="1:3" ht="15" customHeight="1" x14ac:dyDescent="0.3">
      <c r="A351" t="s">
        <v>535</v>
      </c>
      <c r="B351" t="s">
        <v>776</v>
      </c>
      <c r="C351" t="s">
        <v>872</v>
      </c>
    </row>
    <row r="352" spans="1:3" ht="15" customHeight="1" x14ac:dyDescent="0.3">
      <c r="A352" t="s">
        <v>536</v>
      </c>
      <c r="B352" t="s">
        <v>776</v>
      </c>
      <c r="C352" t="s">
        <v>872</v>
      </c>
    </row>
    <row r="353" spans="1:3" ht="15" customHeight="1" x14ac:dyDescent="0.3">
      <c r="A353" t="s">
        <v>505</v>
      </c>
      <c r="B353" t="s">
        <v>777</v>
      </c>
      <c r="C353" t="s">
        <v>872</v>
      </c>
    </row>
    <row r="354" spans="1:3" ht="15" customHeight="1" x14ac:dyDescent="0.3">
      <c r="A354" t="s">
        <v>506</v>
      </c>
      <c r="B354" t="s">
        <v>777</v>
      </c>
      <c r="C354" t="s">
        <v>872</v>
      </c>
    </row>
    <row r="355" spans="1:3" ht="15" customHeight="1" x14ac:dyDescent="0.3">
      <c r="A355" t="s">
        <v>507</v>
      </c>
      <c r="B355" t="s">
        <v>507</v>
      </c>
      <c r="C355" t="s">
        <v>869</v>
      </c>
    </row>
    <row r="356" spans="1:3" ht="15" customHeight="1" x14ac:dyDescent="0.3">
      <c r="A356" t="s">
        <v>508</v>
      </c>
      <c r="B356" t="s">
        <v>778</v>
      </c>
      <c r="C356" t="s">
        <v>872</v>
      </c>
    </row>
    <row r="357" spans="1:3" ht="15" customHeight="1" x14ac:dyDescent="0.3">
      <c r="A357" t="s">
        <v>509</v>
      </c>
      <c r="B357" t="s">
        <v>509</v>
      </c>
      <c r="C357" t="s">
        <v>869</v>
      </c>
    </row>
    <row r="358" spans="1:3" ht="15" customHeight="1" x14ac:dyDescent="0.3">
      <c r="A358" t="s">
        <v>510</v>
      </c>
      <c r="B358" t="s">
        <v>510</v>
      </c>
      <c r="C358" t="s">
        <v>869</v>
      </c>
    </row>
    <row r="359" spans="1:3" ht="15" customHeight="1" x14ac:dyDescent="0.3">
      <c r="A359" t="s">
        <v>511</v>
      </c>
      <c r="B359" t="s">
        <v>511</v>
      </c>
      <c r="C359" t="s">
        <v>869</v>
      </c>
    </row>
    <row r="360" spans="1:3" ht="15" customHeight="1" x14ac:dyDescent="0.3">
      <c r="A360" t="s">
        <v>512</v>
      </c>
      <c r="B360" t="s">
        <v>779</v>
      </c>
      <c r="C360" t="s">
        <v>872</v>
      </c>
    </row>
    <row r="361" spans="1:3" ht="15" customHeight="1" x14ac:dyDescent="0.3">
      <c r="A361" t="s">
        <v>513</v>
      </c>
      <c r="B361" t="s">
        <v>779</v>
      </c>
      <c r="C361" t="s">
        <v>872</v>
      </c>
    </row>
    <row r="362" spans="1:3" ht="15" customHeight="1" x14ac:dyDescent="0.3">
      <c r="A362" t="s">
        <v>514</v>
      </c>
      <c r="B362" t="s">
        <v>779</v>
      </c>
      <c r="C362" t="s">
        <v>872</v>
      </c>
    </row>
    <row r="363" spans="1:3" ht="15" customHeight="1" x14ac:dyDescent="0.3">
      <c r="A363" t="s">
        <v>515</v>
      </c>
      <c r="B363" t="s">
        <v>515</v>
      </c>
      <c r="C363" t="s">
        <v>869</v>
      </c>
    </row>
    <row r="364" spans="1:3" ht="15" customHeight="1" x14ac:dyDescent="0.3">
      <c r="A364" t="s">
        <v>516</v>
      </c>
      <c r="B364" t="s">
        <v>516</v>
      </c>
      <c r="C364" t="s">
        <v>869</v>
      </c>
    </row>
    <row r="365" spans="1:3" ht="15" customHeight="1" x14ac:dyDescent="0.3">
      <c r="A365" t="s">
        <v>517</v>
      </c>
      <c r="B365" t="s">
        <v>517</v>
      </c>
      <c r="C365" t="s">
        <v>869</v>
      </c>
    </row>
    <row r="366" spans="1:3" ht="15" customHeight="1" x14ac:dyDescent="0.3">
      <c r="A366" t="s">
        <v>518</v>
      </c>
      <c r="B366" t="s">
        <v>518</v>
      </c>
      <c r="C366" t="s">
        <v>869</v>
      </c>
    </row>
    <row r="367" spans="1:3" ht="15" customHeight="1" x14ac:dyDescent="0.3">
      <c r="A367" t="s">
        <v>519</v>
      </c>
      <c r="B367" t="s">
        <v>519</v>
      </c>
      <c r="C367" t="s">
        <v>869</v>
      </c>
    </row>
    <row r="368" spans="1:3" ht="15" customHeight="1" x14ac:dyDescent="0.3">
      <c r="A368" t="s">
        <v>520</v>
      </c>
      <c r="B368" t="s">
        <v>520</v>
      </c>
      <c r="C368" t="s">
        <v>869</v>
      </c>
    </row>
    <row r="369" spans="1:3" ht="15" customHeight="1" x14ac:dyDescent="0.3">
      <c r="A369" t="s">
        <v>540</v>
      </c>
      <c r="B369" t="s">
        <v>540</v>
      </c>
      <c r="C369" t="s">
        <v>869</v>
      </c>
    </row>
    <row r="370" spans="1:3" ht="15" customHeight="1" x14ac:dyDescent="0.3">
      <c r="A370" t="s">
        <v>541</v>
      </c>
      <c r="B370" t="s">
        <v>541</v>
      </c>
      <c r="C370" t="s">
        <v>869</v>
      </c>
    </row>
    <row r="371" spans="1:3" ht="15" customHeight="1" x14ac:dyDescent="0.3">
      <c r="A371" t="s">
        <v>542</v>
      </c>
      <c r="B371" t="s">
        <v>542</v>
      </c>
      <c r="C371" t="s">
        <v>869</v>
      </c>
    </row>
    <row r="372" spans="1:3" ht="15" customHeight="1" x14ac:dyDescent="0.3">
      <c r="A372" t="s">
        <v>543</v>
      </c>
      <c r="B372" t="s">
        <v>782</v>
      </c>
      <c r="C372" t="s">
        <v>870</v>
      </c>
    </row>
    <row r="373" spans="1:3" ht="15" customHeight="1" x14ac:dyDescent="0.3">
      <c r="A373" t="s">
        <v>544</v>
      </c>
      <c r="B373" t="s">
        <v>783</v>
      </c>
      <c r="C373" t="s">
        <v>872</v>
      </c>
    </row>
    <row r="374" spans="1:3" ht="15" customHeight="1" x14ac:dyDescent="0.3">
      <c r="A374" t="s">
        <v>545</v>
      </c>
      <c r="B374" t="s">
        <v>783</v>
      </c>
      <c r="C374" t="s">
        <v>870</v>
      </c>
    </row>
    <row r="375" spans="1:3" ht="15" customHeight="1" x14ac:dyDescent="0.3">
      <c r="A375" t="s">
        <v>546</v>
      </c>
      <c r="B375" t="s">
        <v>546</v>
      </c>
      <c r="C375" t="s">
        <v>869</v>
      </c>
    </row>
    <row r="376" spans="1:3" ht="15" customHeight="1" x14ac:dyDescent="0.3">
      <c r="A376" t="s">
        <v>547</v>
      </c>
      <c r="B376" t="s">
        <v>547</v>
      </c>
      <c r="C376" t="s">
        <v>869</v>
      </c>
    </row>
    <row r="377" spans="1:3" ht="15" customHeight="1" x14ac:dyDescent="0.3">
      <c r="A377" t="s">
        <v>548</v>
      </c>
      <c r="B377" t="s">
        <v>548</v>
      </c>
      <c r="C377" t="s">
        <v>869</v>
      </c>
    </row>
    <row r="378" spans="1:3" ht="15" customHeight="1" x14ac:dyDescent="0.3">
      <c r="A378" t="s">
        <v>549</v>
      </c>
      <c r="B378" t="s">
        <v>549</v>
      </c>
      <c r="C378" t="s">
        <v>869</v>
      </c>
    </row>
    <row r="379" spans="1:3" ht="15" customHeight="1" x14ac:dyDescent="0.3">
      <c r="A379" t="s">
        <v>550</v>
      </c>
      <c r="B379" t="s">
        <v>550</v>
      </c>
      <c r="C379" t="s">
        <v>869</v>
      </c>
    </row>
    <row r="380" spans="1:3" ht="15" customHeight="1" x14ac:dyDescent="0.3">
      <c r="A380" t="s">
        <v>538</v>
      </c>
      <c r="B380" t="s">
        <v>538</v>
      </c>
      <c r="C380" t="s">
        <v>869</v>
      </c>
    </row>
    <row r="381" spans="1:3" ht="15" customHeight="1" x14ac:dyDescent="0.3">
      <c r="A381" t="s">
        <v>490</v>
      </c>
      <c r="B381" t="s">
        <v>784</v>
      </c>
      <c r="C381" t="s">
        <v>872</v>
      </c>
    </row>
    <row r="382" spans="1:3" ht="15" customHeight="1" x14ac:dyDescent="0.3">
      <c r="A382" t="s">
        <v>491</v>
      </c>
      <c r="B382" t="s">
        <v>784</v>
      </c>
      <c r="C382" t="s">
        <v>872</v>
      </c>
    </row>
    <row r="383" spans="1:3" ht="15" customHeight="1" x14ac:dyDescent="0.3">
      <c r="A383" t="s">
        <v>492</v>
      </c>
      <c r="B383" t="s">
        <v>785</v>
      </c>
      <c r="C383" t="s">
        <v>872</v>
      </c>
    </row>
    <row r="384" spans="1:3" ht="15" customHeight="1" x14ac:dyDescent="0.3">
      <c r="A384" t="s">
        <v>493</v>
      </c>
      <c r="B384" t="s">
        <v>786</v>
      </c>
      <c r="C384" t="s">
        <v>872</v>
      </c>
    </row>
    <row r="385" spans="1:3" ht="15" customHeight="1" x14ac:dyDescent="0.3">
      <c r="A385" t="s">
        <v>494</v>
      </c>
      <c r="B385" t="s">
        <v>787</v>
      </c>
      <c r="C385" t="s">
        <v>872</v>
      </c>
    </row>
    <row r="386" spans="1:3" ht="15" customHeight="1" x14ac:dyDescent="0.3">
      <c r="A386" t="s">
        <v>495</v>
      </c>
      <c r="B386" t="s">
        <v>787</v>
      </c>
      <c r="C386" t="s">
        <v>872</v>
      </c>
    </row>
    <row r="387" spans="1:3" ht="15" customHeight="1" x14ac:dyDescent="0.3">
      <c r="A387" t="s">
        <v>496</v>
      </c>
      <c r="B387" t="s">
        <v>496</v>
      </c>
      <c r="C387" t="s">
        <v>869</v>
      </c>
    </row>
    <row r="388" spans="1:3" ht="15" customHeight="1" x14ac:dyDescent="0.3">
      <c r="A388" t="s">
        <v>497</v>
      </c>
      <c r="B388" t="s">
        <v>788</v>
      </c>
      <c r="C388" t="s">
        <v>872</v>
      </c>
    </row>
    <row r="389" spans="1:3" ht="15" customHeight="1" x14ac:dyDescent="0.3">
      <c r="A389" t="s">
        <v>498</v>
      </c>
      <c r="B389" t="s">
        <v>788</v>
      </c>
      <c r="C389" t="s">
        <v>872</v>
      </c>
    </row>
    <row r="390" spans="1:3" ht="15" customHeight="1" x14ac:dyDescent="0.3">
      <c r="A390" t="s">
        <v>499</v>
      </c>
      <c r="B390" t="s">
        <v>785</v>
      </c>
      <c r="C390" t="s">
        <v>872</v>
      </c>
    </row>
    <row r="391" spans="1:3" ht="15" customHeight="1" x14ac:dyDescent="0.3">
      <c r="A391" t="s">
        <v>500</v>
      </c>
      <c r="B391" t="s">
        <v>788</v>
      </c>
      <c r="C391" t="s">
        <v>872</v>
      </c>
    </row>
    <row r="392" spans="1:3" ht="15" customHeight="1" x14ac:dyDescent="0.3">
      <c r="A392" t="s">
        <v>501</v>
      </c>
      <c r="B392" t="s">
        <v>789</v>
      </c>
      <c r="C392" t="s">
        <v>872</v>
      </c>
    </row>
    <row r="393" spans="1:3" ht="15" customHeight="1" x14ac:dyDescent="0.3">
      <c r="A393" t="s">
        <v>502</v>
      </c>
      <c r="B393" t="s">
        <v>789</v>
      </c>
      <c r="C393" t="s">
        <v>872</v>
      </c>
    </row>
    <row r="394" spans="1:3" ht="15" customHeight="1" x14ac:dyDescent="0.3">
      <c r="A394" t="s">
        <v>503</v>
      </c>
      <c r="B394" t="s">
        <v>786</v>
      </c>
      <c r="C394" t="s">
        <v>872</v>
      </c>
    </row>
    <row r="395" spans="1:3" ht="15" customHeight="1" x14ac:dyDescent="0.3">
      <c r="A395" t="s">
        <v>552</v>
      </c>
      <c r="B395" t="s">
        <v>771</v>
      </c>
      <c r="C395" t="s">
        <v>872</v>
      </c>
    </row>
    <row r="396" spans="1:3" ht="15" customHeight="1" x14ac:dyDescent="0.3">
      <c r="A396" t="s">
        <v>387</v>
      </c>
      <c r="B396" t="s">
        <v>387</v>
      </c>
      <c r="C396" t="s">
        <v>869</v>
      </c>
    </row>
    <row r="397" spans="1:3" ht="15" customHeight="1" x14ac:dyDescent="0.3">
      <c r="A397" t="s">
        <v>388</v>
      </c>
      <c r="B397" t="s">
        <v>790</v>
      </c>
      <c r="C397" t="s">
        <v>872</v>
      </c>
    </row>
    <row r="398" spans="1:3" ht="15" customHeight="1" x14ac:dyDescent="0.3">
      <c r="A398" t="s">
        <v>389</v>
      </c>
    </row>
    <row r="399" spans="1:3" ht="15" customHeight="1" x14ac:dyDescent="0.3">
      <c r="A399" t="s">
        <v>390</v>
      </c>
      <c r="B399" t="s">
        <v>390</v>
      </c>
      <c r="C399" t="s">
        <v>869</v>
      </c>
    </row>
    <row r="400" spans="1:3" ht="15" customHeight="1" x14ac:dyDescent="0.3">
      <c r="A400" t="s">
        <v>648</v>
      </c>
      <c r="B400" t="s">
        <v>792</v>
      </c>
      <c r="C400" t="s">
        <v>872</v>
      </c>
    </row>
    <row r="401" spans="1:3" ht="15" customHeight="1" x14ac:dyDescent="0.3">
      <c r="A401" t="s">
        <v>649</v>
      </c>
      <c r="B401" t="s">
        <v>792</v>
      </c>
      <c r="C401" t="s">
        <v>870</v>
      </c>
    </row>
    <row r="402" spans="1:3" ht="15" customHeight="1" x14ac:dyDescent="0.3">
      <c r="A402" t="s">
        <v>650</v>
      </c>
      <c r="B402" t="s">
        <v>792</v>
      </c>
      <c r="C402" t="s">
        <v>872</v>
      </c>
    </row>
    <row r="403" spans="1:3" ht="15" customHeight="1" x14ac:dyDescent="0.3">
      <c r="A403" t="s">
        <v>651</v>
      </c>
      <c r="B403" t="s">
        <v>793</v>
      </c>
      <c r="C403" t="s">
        <v>872</v>
      </c>
    </row>
    <row r="404" spans="1:3" ht="15" customHeight="1" x14ac:dyDescent="0.3">
      <c r="A404" t="s">
        <v>653</v>
      </c>
      <c r="B404" t="s">
        <v>794</v>
      </c>
      <c r="C404" t="s">
        <v>872</v>
      </c>
    </row>
    <row r="405" spans="1:3" ht="15" customHeight="1" x14ac:dyDescent="0.3">
      <c r="A405" t="s">
        <v>654</v>
      </c>
      <c r="B405" t="s">
        <v>793</v>
      </c>
      <c r="C405" t="s">
        <v>872</v>
      </c>
    </row>
    <row r="406" spans="1:3" ht="15" customHeight="1" x14ac:dyDescent="0.3">
      <c r="A406" t="s">
        <v>655</v>
      </c>
      <c r="B406" t="s">
        <v>794</v>
      </c>
      <c r="C406" t="s">
        <v>872</v>
      </c>
    </row>
    <row r="407" spans="1:3" ht="15" customHeight="1" x14ac:dyDescent="0.3">
      <c r="A407" t="s">
        <v>657</v>
      </c>
      <c r="B407" t="s">
        <v>795</v>
      </c>
      <c r="C407" t="s">
        <v>872</v>
      </c>
    </row>
    <row r="408" spans="1:3" ht="15" customHeight="1" x14ac:dyDescent="0.3">
      <c r="A408" t="s">
        <v>658</v>
      </c>
      <c r="B408" t="s">
        <v>796</v>
      </c>
      <c r="C408" t="s">
        <v>872</v>
      </c>
    </row>
    <row r="409" spans="1:3" ht="15" customHeight="1" x14ac:dyDescent="0.3">
      <c r="A409" t="s">
        <v>659</v>
      </c>
      <c r="B409" t="s">
        <v>796</v>
      </c>
      <c r="C409" t="s">
        <v>870</v>
      </c>
    </row>
    <row r="410" spans="1:3" ht="15" customHeight="1" x14ac:dyDescent="0.3">
      <c r="A410" t="s">
        <v>660</v>
      </c>
      <c r="B410" t="s">
        <v>660</v>
      </c>
      <c r="C410" t="s">
        <v>869</v>
      </c>
    </row>
    <row r="411" spans="1:3" ht="15" customHeight="1" x14ac:dyDescent="0.3">
      <c r="A411" t="s">
        <v>661</v>
      </c>
      <c r="B411" t="s">
        <v>797</v>
      </c>
      <c r="C411" t="s">
        <v>872</v>
      </c>
    </row>
    <row r="412" spans="1:3" ht="15" customHeight="1" x14ac:dyDescent="0.3">
      <c r="A412" t="s">
        <v>662</v>
      </c>
    </row>
    <row r="413" spans="1:3" ht="15" customHeight="1" x14ac:dyDescent="0.3">
      <c r="A413" t="s">
        <v>663</v>
      </c>
      <c r="B413" t="s">
        <v>663</v>
      </c>
      <c r="C413" t="s">
        <v>869</v>
      </c>
    </row>
    <row r="414" spans="1:3" ht="15" customHeight="1" x14ac:dyDescent="0.3">
      <c r="A414" t="s">
        <v>664</v>
      </c>
      <c r="B414" t="s">
        <v>664</v>
      </c>
      <c r="C414" t="s">
        <v>869</v>
      </c>
    </row>
    <row r="415" spans="1:3" ht="15" customHeight="1" x14ac:dyDescent="0.3">
      <c r="A415" t="s">
        <v>665</v>
      </c>
      <c r="B415" t="s">
        <v>665</v>
      </c>
      <c r="C415" t="s">
        <v>869</v>
      </c>
    </row>
    <row r="416" spans="1:3" ht="15" customHeight="1" x14ac:dyDescent="0.3">
      <c r="A416" t="s">
        <v>667</v>
      </c>
      <c r="B416" t="s">
        <v>667</v>
      </c>
      <c r="C416" t="s">
        <v>869</v>
      </c>
    </row>
    <row r="417" spans="1:3" ht="15" customHeight="1" x14ac:dyDescent="0.3">
      <c r="A417" t="s">
        <v>668</v>
      </c>
      <c r="B417" t="s">
        <v>798</v>
      </c>
      <c r="C417" t="s">
        <v>872</v>
      </c>
    </row>
    <row r="418" spans="1:3" ht="15" customHeight="1" x14ac:dyDescent="0.3">
      <c r="A418" t="s">
        <v>669</v>
      </c>
      <c r="B418" t="s">
        <v>798</v>
      </c>
      <c r="C418" t="s">
        <v>872</v>
      </c>
    </row>
    <row r="419" spans="1:3" ht="15" customHeight="1" x14ac:dyDescent="0.3">
      <c r="A419" t="s">
        <v>670</v>
      </c>
      <c r="B419" t="s">
        <v>798</v>
      </c>
      <c r="C419" t="s">
        <v>872</v>
      </c>
    </row>
    <row r="420" spans="1:3" ht="15" customHeight="1" x14ac:dyDescent="0.3">
      <c r="A420" t="s">
        <v>672</v>
      </c>
      <c r="B420" t="s">
        <v>799</v>
      </c>
      <c r="C420" t="s">
        <v>872</v>
      </c>
    </row>
    <row r="421" spans="1:3" ht="15" customHeight="1" x14ac:dyDescent="0.3">
      <c r="A421" t="s">
        <v>673</v>
      </c>
    </row>
    <row r="422" spans="1:3" ht="15" customHeight="1" x14ac:dyDescent="0.3">
      <c r="A422" t="s">
        <v>674</v>
      </c>
      <c r="B422" t="s">
        <v>800</v>
      </c>
      <c r="C422" t="s">
        <v>872</v>
      </c>
    </row>
    <row r="423" spans="1:3" ht="15" customHeight="1" x14ac:dyDescent="0.3">
      <c r="A423" t="s">
        <v>675</v>
      </c>
    </row>
    <row r="424" spans="1:3" ht="15" customHeight="1" x14ac:dyDescent="0.3">
      <c r="A424" t="s">
        <v>676</v>
      </c>
      <c r="B424" t="s">
        <v>801</v>
      </c>
      <c r="C424" t="s">
        <v>872</v>
      </c>
    </row>
    <row r="425" spans="1:3" ht="15" customHeight="1" x14ac:dyDescent="0.3">
      <c r="A425" t="s">
        <v>677</v>
      </c>
    </row>
    <row r="426" spans="1:3" ht="15" customHeight="1" x14ac:dyDescent="0.3">
      <c r="A426" t="s">
        <v>679</v>
      </c>
      <c r="B426" t="s">
        <v>802</v>
      </c>
      <c r="C426" t="s">
        <v>872</v>
      </c>
    </row>
    <row r="427" spans="1:3" ht="15" customHeight="1" x14ac:dyDescent="0.3">
      <c r="A427" t="s">
        <v>680</v>
      </c>
      <c r="B427" t="s">
        <v>802</v>
      </c>
      <c r="C427" t="s">
        <v>870</v>
      </c>
    </row>
    <row r="428" spans="1:3" ht="15" customHeight="1" x14ac:dyDescent="0.3">
      <c r="A428" t="s">
        <v>681</v>
      </c>
      <c r="B428" t="s">
        <v>802</v>
      </c>
      <c r="C428" t="s">
        <v>870</v>
      </c>
    </row>
    <row r="429" spans="1:3" ht="15" customHeight="1" x14ac:dyDescent="0.3">
      <c r="A429" t="s">
        <v>682</v>
      </c>
      <c r="B429" t="s">
        <v>682</v>
      </c>
      <c r="C429" t="s">
        <v>869</v>
      </c>
    </row>
    <row r="430" spans="1:3" ht="15" customHeight="1" x14ac:dyDescent="0.3">
      <c r="A430" t="s">
        <v>555</v>
      </c>
      <c r="B430" t="s">
        <v>803</v>
      </c>
      <c r="C430" t="s">
        <v>872</v>
      </c>
    </row>
    <row r="431" spans="1:3" ht="15" customHeight="1" x14ac:dyDescent="0.3">
      <c r="A431" t="s">
        <v>556</v>
      </c>
      <c r="B431" t="s">
        <v>803</v>
      </c>
      <c r="C431" t="s">
        <v>870</v>
      </c>
    </row>
    <row r="432" spans="1:3" ht="15" customHeight="1" x14ac:dyDescent="0.3">
      <c r="A432" t="s">
        <v>557</v>
      </c>
      <c r="B432" t="s">
        <v>804</v>
      </c>
      <c r="C432" t="s">
        <v>872</v>
      </c>
    </row>
    <row r="433" spans="1:3" ht="15" customHeight="1" x14ac:dyDescent="0.3">
      <c r="A433" t="s">
        <v>558</v>
      </c>
      <c r="B433" t="s">
        <v>805</v>
      </c>
      <c r="C433" t="s">
        <v>872</v>
      </c>
    </row>
    <row r="434" spans="1:3" ht="15" customHeight="1" x14ac:dyDescent="0.3">
      <c r="A434" t="s">
        <v>559</v>
      </c>
      <c r="B434" t="s">
        <v>806</v>
      </c>
      <c r="C434" t="s">
        <v>872</v>
      </c>
    </row>
    <row r="435" spans="1:3" ht="15" customHeight="1" x14ac:dyDescent="0.3">
      <c r="A435" t="s">
        <v>560</v>
      </c>
      <c r="B435" t="s">
        <v>560</v>
      </c>
      <c r="C435" t="s">
        <v>869</v>
      </c>
    </row>
    <row r="436" spans="1:3" ht="15" customHeight="1" x14ac:dyDescent="0.3">
      <c r="A436" t="s">
        <v>561</v>
      </c>
      <c r="B436" t="s">
        <v>804</v>
      </c>
      <c r="C436" t="s">
        <v>870</v>
      </c>
    </row>
    <row r="437" spans="1:3" ht="15" customHeight="1" x14ac:dyDescent="0.3">
      <c r="A437" t="s">
        <v>562</v>
      </c>
      <c r="B437" t="s">
        <v>873</v>
      </c>
      <c r="C437" t="s">
        <v>870</v>
      </c>
    </row>
    <row r="438" spans="1:3" ht="15" customHeight="1" x14ac:dyDescent="0.3">
      <c r="A438" t="s">
        <v>563</v>
      </c>
      <c r="B438" t="s">
        <v>804</v>
      </c>
      <c r="C438" t="s">
        <v>870</v>
      </c>
    </row>
    <row r="439" spans="1:3" ht="15" customHeight="1" x14ac:dyDescent="0.3">
      <c r="A439" t="s">
        <v>564</v>
      </c>
      <c r="B439" t="s">
        <v>807</v>
      </c>
      <c r="C439" t="s">
        <v>870</v>
      </c>
    </row>
    <row r="440" spans="1:3" ht="15" customHeight="1" x14ac:dyDescent="0.3">
      <c r="A440" t="s">
        <v>565</v>
      </c>
      <c r="B440" t="s">
        <v>807</v>
      </c>
      <c r="C440" t="s">
        <v>870</v>
      </c>
    </row>
    <row r="441" spans="1:3" ht="15" customHeight="1" x14ac:dyDescent="0.3">
      <c r="A441" t="s">
        <v>566</v>
      </c>
      <c r="B441" t="s">
        <v>807</v>
      </c>
      <c r="C441" t="s">
        <v>870</v>
      </c>
    </row>
    <row r="442" spans="1:3" ht="15" customHeight="1" x14ac:dyDescent="0.3">
      <c r="A442" t="s">
        <v>567</v>
      </c>
      <c r="B442" t="s">
        <v>807</v>
      </c>
      <c r="C442" t="s">
        <v>870</v>
      </c>
    </row>
    <row r="443" spans="1:3" ht="15" customHeight="1" x14ac:dyDescent="0.3">
      <c r="A443" t="s">
        <v>568</v>
      </c>
      <c r="B443" t="s">
        <v>803</v>
      </c>
      <c r="C443" t="s">
        <v>870</v>
      </c>
    </row>
    <row r="444" spans="1:3" ht="15" customHeight="1" x14ac:dyDescent="0.3">
      <c r="A444" t="s">
        <v>569</v>
      </c>
      <c r="B444" t="s">
        <v>874</v>
      </c>
      <c r="C444" t="s">
        <v>870</v>
      </c>
    </row>
    <row r="445" spans="1:3" ht="15" customHeight="1" x14ac:dyDescent="0.3">
      <c r="A445" t="s">
        <v>570</v>
      </c>
      <c r="B445" t="s">
        <v>804</v>
      </c>
      <c r="C445" t="s">
        <v>870</v>
      </c>
    </row>
    <row r="446" spans="1:3" ht="15" customHeight="1" x14ac:dyDescent="0.3">
      <c r="A446" t="s">
        <v>572</v>
      </c>
    </row>
    <row r="447" spans="1:3" ht="15" customHeight="1" x14ac:dyDescent="0.3">
      <c r="A447" t="s">
        <v>573</v>
      </c>
    </row>
    <row r="448" spans="1:3" ht="15" customHeight="1" x14ac:dyDescent="0.3">
      <c r="A448" t="s">
        <v>574</v>
      </c>
    </row>
    <row r="449" spans="1:3" ht="15" customHeight="1" x14ac:dyDescent="0.3">
      <c r="A449" t="s">
        <v>575</v>
      </c>
    </row>
    <row r="450" spans="1:3" ht="15" customHeight="1" x14ac:dyDescent="0.3">
      <c r="A450" t="s">
        <v>576</v>
      </c>
    </row>
    <row r="451" spans="1:3" ht="15" customHeight="1" x14ac:dyDescent="0.3">
      <c r="A451" t="s">
        <v>577</v>
      </c>
    </row>
    <row r="452" spans="1:3" ht="15" customHeight="1" x14ac:dyDescent="0.3">
      <c r="A452" t="s">
        <v>578</v>
      </c>
    </row>
    <row r="453" spans="1:3" ht="15" customHeight="1" x14ac:dyDescent="0.3">
      <c r="A453" t="s">
        <v>579</v>
      </c>
    </row>
    <row r="454" spans="1:3" ht="15" customHeight="1" x14ac:dyDescent="0.3">
      <c r="A454" t="s">
        <v>580</v>
      </c>
    </row>
    <row r="455" spans="1:3" ht="15" customHeight="1" x14ac:dyDescent="0.3">
      <c r="A455" t="s">
        <v>582</v>
      </c>
      <c r="B455" t="s">
        <v>810</v>
      </c>
      <c r="C455" t="s">
        <v>872</v>
      </c>
    </row>
    <row r="456" spans="1:3" ht="15" customHeight="1" x14ac:dyDescent="0.3">
      <c r="A456" t="s">
        <v>583</v>
      </c>
    </row>
    <row r="457" spans="1:3" ht="15" customHeight="1" x14ac:dyDescent="0.3">
      <c r="A457" t="s">
        <v>690</v>
      </c>
    </row>
    <row r="458" spans="1:3" ht="15" customHeight="1" x14ac:dyDescent="0.3">
      <c r="A458" t="s">
        <v>691</v>
      </c>
    </row>
    <row r="459" spans="1:3" ht="15" customHeight="1" x14ac:dyDescent="0.3">
      <c r="A459" t="s">
        <v>692</v>
      </c>
    </row>
    <row r="460" spans="1:3" ht="15" customHeight="1" x14ac:dyDescent="0.3">
      <c r="A460" t="s">
        <v>693</v>
      </c>
    </row>
    <row r="461" spans="1:3" ht="15" customHeight="1" x14ac:dyDescent="0.3">
      <c r="A461" t="s">
        <v>694</v>
      </c>
      <c r="B461" t="s">
        <v>813</v>
      </c>
      <c r="C461" t="s">
        <v>872</v>
      </c>
    </row>
    <row r="462" spans="1:3" ht="15" customHeight="1" x14ac:dyDescent="0.3">
      <c r="A462" t="s">
        <v>695</v>
      </c>
      <c r="B462" t="s">
        <v>812</v>
      </c>
      <c r="C462" t="s">
        <v>872</v>
      </c>
    </row>
    <row r="463" spans="1:3" ht="15" customHeight="1" x14ac:dyDescent="0.3">
      <c r="A463" t="s">
        <v>696</v>
      </c>
    </row>
    <row r="464" spans="1:3" ht="15" customHeight="1" x14ac:dyDescent="0.3">
      <c r="A464" t="s">
        <v>697</v>
      </c>
      <c r="B464" t="s">
        <v>813</v>
      </c>
      <c r="C464" t="s">
        <v>872</v>
      </c>
    </row>
    <row r="465" spans="1:3" ht="15" customHeight="1" x14ac:dyDescent="0.3">
      <c r="A465" t="s">
        <v>698</v>
      </c>
    </row>
    <row r="466" spans="1:3" ht="15" customHeight="1" x14ac:dyDescent="0.3">
      <c r="A466" t="s">
        <v>699</v>
      </c>
    </row>
    <row r="467" spans="1:3" ht="15" customHeight="1" x14ac:dyDescent="0.3">
      <c r="A467" t="s">
        <v>700</v>
      </c>
    </row>
    <row r="468" spans="1:3" ht="15" customHeight="1" x14ac:dyDescent="0.3">
      <c r="A468" t="s">
        <v>701</v>
      </c>
    </row>
    <row r="469" spans="1:3" ht="15" customHeight="1" x14ac:dyDescent="0.3">
      <c r="A469" t="s">
        <v>702</v>
      </c>
    </row>
    <row r="470" spans="1:3" ht="15" customHeight="1" x14ac:dyDescent="0.3">
      <c r="A470" t="s">
        <v>703</v>
      </c>
    </row>
    <row r="471" spans="1:3" ht="15" customHeight="1" x14ac:dyDescent="0.3">
      <c r="A471" t="s">
        <v>704</v>
      </c>
    </row>
    <row r="472" spans="1:3" ht="15" customHeight="1" x14ac:dyDescent="0.3">
      <c r="A472" t="s">
        <v>705</v>
      </c>
    </row>
    <row r="473" spans="1:3" ht="15" customHeight="1" x14ac:dyDescent="0.3">
      <c r="A473" t="s">
        <v>706</v>
      </c>
      <c r="B473" t="s">
        <v>814</v>
      </c>
      <c r="C473" t="s">
        <v>872</v>
      </c>
    </row>
    <row r="474" spans="1:3" ht="15" customHeight="1" x14ac:dyDescent="0.3">
      <c r="A474" t="s">
        <v>707</v>
      </c>
      <c r="B474" t="s">
        <v>814</v>
      </c>
      <c r="C474" t="s">
        <v>872</v>
      </c>
    </row>
    <row r="475" spans="1:3" ht="15" customHeight="1" x14ac:dyDescent="0.3">
      <c r="A475" t="s">
        <v>709</v>
      </c>
      <c r="B475" t="s">
        <v>816</v>
      </c>
      <c r="C475" t="s">
        <v>872</v>
      </c>
    </row>
    <row r="476" spans="1:3" ht="15" customHeight="1" x14ac:dyDescent="0.3">
      <c r="A476" t="s">
        <v>710</v>
      </c>
    </row>
    <row r="477" spans="1:3" ht="15" customHeight="1" x14ac:dyDescent="0.3">
      <c r="A477" t="s">
        <v>711</v>
      </c>
    </row>
    <row r="478" spans="1:3" ht="15" customHeight="1" x14ac:dyDescent="0.3">
      <c r="A478" t="s">
        <v>712</v>
      </c>
    </row>
    <row r="479" spans="1:3" ht="15" customHeight="1" x14ac:dyDescent="0.3">
      <c r="A479" t="s">
        <v>713</v>
      </c>
    </row>
    <row r="480" spans="1:3" ht="15" customHeight="1" x14ac:dyDescent="0.3">
      <c r="A480" t="s">
        <v>714</v>
      </c>
    </row>
    <row r="481" spans="1:3" ht="15" customHeight="1" x14ac:dyDescent="0.3">
      <c r="A481" t="s">
        <v>715</v>
      </c>
    </row>
    <row r="482" spans="1:3" ht="15" customHeight="1" x14ac:dyDescent="0.3">
      <c r="A482" t="s">
        <v>716</v>
      </c>
      <c r="B482" t="s">
        <v>816</v>
      </c>
      <c r="C482" t="s">
        <v>872</v>
      </c>
    </row>
    <row r="483" spans="1:3" ht="15" customHeight="1" x14ac:dyDescent="0.3">
      <c r="A483" t="s">
        <v>688</v>
      </c>
    </row>
    <row r="484" spans="1:3" ht="15" customHeight="1" x14ac:dyDescent="0.3">
      <c r="A484" t="s">
        <v>726</v>
      </c>
    </row>
    <row r="485" spans="1:3" ht="15" customHeight="1" x14ac:dyDescent="0.3">
      <c r="A485" t="s">
        <v>727</v>
      </c>
      <c r="B485" t="s">
        <v>727</v>
      </c>
      <c r="C485" t="s">
        <v>869</v>
      </c>
    </row>
    <row r="486" spans="1:3" ht="15" customHeight="1" x14ac:dyDescent="0.3">
      <c r="A486" t="s">
        <v>728</v>
      </c>
    </row>
    <row r="487" spans="1:3" ht="15" customHeight="1" x14ac:dyDescent="0.3">
      <c r="A487" t="s">
        <v>729</v>
      </c>
    </row>
    <row r="488" spans="1:3" ht="15" customHeight="1" x14ac:dyDescent="0.3">
      <c r="A488" t="s">
        <v>730</v>
      </c>
    </row>
    <row r="489" spans="1:3" ht="15" customHeight="1" x14ac:dyDescent="0.3">
      <c r="A489" t="s">
        <v>731</v>
      </c>
    </row>
    <row r="490" spans="1:3" ht="15" customHeight="1" x14ac:dyDescent="0.3">
      <c r="A490" t="s">
        <v>732</v>
      </c>
    </row>
    <row r="491" spans="1:3" ht="15" customHeight="1" x14ac:dyDescent="0.3">
      <c r="A491" t="s">
        <v>733</v>
      </c>
    </row>
    <row r="492" spans="1:3" ht="15" customHeight="1" x14ac:dyDescent="0.3">
      <c r="A492" t="s">
        <v>734</v>
      </c>
    </row>
    <row r="493" spans="1:3" ht="15" customHeight="1" x14ac:dyDescent="0.3">
      <c r="A493" t="s">
        <v>735</v>
      </c>
    </row>
    <row r="494" spans="1:3" ht="15" customHeight="1" x14ac:dyDescent="0.3">
      <c r="A494" t="s">
        <v>736</v>
      </c>
    </row>
    <row r="495" spans="1:3" ht="15" customHeight="1" x14ac:dyDescent="0.3">
      <c r="A495" t="s">
        <v>737</v>
      </c>
    </row>
    <row r="496" spans="1:3" ht="15" customHeight="1" x14ac:dyDescent="0.3">
      <c r="A496" t="s">
        <v>738</v>
      </c>
    </row>
    <row r="497" spans="1:3" ht="15" customHeight="1" x14ac:dyDescent="0.3">
      <c r="A497" t="s">
        <v>718</v>
      </c>
    </row>
    <row r="498" spans="1:3" ht="15" customHeight="1" x14ac:dyDescent="0.3">
      <c r="A498" t="s">
        <v>719</v>
      </c>
      <c r="B498" t="s">
        <v>818</v>
      </c>
      <c r="C498" t="s">
        <v>872</v>
      </c>
    </row>
    <row r="499" spans="1:3" ht="15" customHeight="1" x14ac:dyDescent="0.3">
      <c r="A499" t="s">
        <v>720</v>
      </c>
    </row>
    <row r="500" spans="1:3" ht="15" customHeight="1" x14ac:dyDescent="0.3">
      <c r="A500" t="s">
        <v>721</v>
      </c>
    </row>
    <row r="501" spans="1:3" ht="15" customHeight="1" x14ac:dyDescent="0.3">
      <c r="A501" t="s">
        <v>722</v>
      </c>
      <c r="B501" t="s">
        <v>819</v>
      </c>
      <c r="C501" t="s">
        <v>872</v>
      </c>
    </row>
    <row r="502" spans="1:3" ht="15" customHeight="1" x14ac:dyDescent="0.3">
      <c r="A502" t="s">
        <v>723</v>
      </c>
    </row>
    <row r="503" spans="1:3" ht="15" customHeight="1" x14ac:dyDescent="0.3">
      <c r="A503" t="s">
        <v>724</v>
      </c>
    </row>
    <row r="504" spans="1:3" ht="15" customHeight="1" x14ac:dyDescent="0.3">
      <c r="A504" t="s">
        <v>685</v>
      </c>
      <c r="B504" t="s">
        <v>685</v>
      </c>
      <c r="C504" t="s">
        <v>869</v>
      </c>
    </row>
    <row r="505" spans="1:3" ht="15" customHeight="1" x14ac:dyDescent="0.3">
      <c r="A505" t="s">
        <v>586</v>
      </c>
      <c r="B505" t="s">
        <v>822</v>
      </c>
      <c r="C505" t="s">
        <v>872</v>
      </c>
    </row>
    <row r="506" spans="1:3" ht="15" customHeight="1" x14ac:dyDescent="0.3">
      <c r="A506" t="s">
        <v>587</v>
      </c>
      <c r="B506" t="s">
        <v>824</v>
      </c>
      <c r="C506" t="s">
        <v>872</v>
      </c>
    </row>
    <row r="507" spans="1:3" ht="15" customHeight="1" x14ac:dyDescent="0.3">
      <c r="A507" t="s">
        <v>588</v>
      </c>
    </row>
    <row r="508" spans="1:3" ht="15" customHeight="1" x14ac:dyDescent="0.3">
      <c r="A508" t="s">
        <v>589</v>
      </c>
      <c r="B508" t="s">
        <v>825</v>
      </c>
      <c r="C508" t="s">
        <v>872</v>
      </c>
    </row>
    <row r="509" spans="1:3" ht="15" customHeight="1" x14ac:dyDescent="0.3">
      <c r="A509" t="s">
        <v>590</v>
      </c>
      <c r="B509" t="s">
        <v>821</v>
      </c>
      <c r="C509" t="s">
        <v>872</v>
      </c>
    </row>
    <row r="510" spans="1:3" ht="15" customHeight="1" x14ac:dyDescent="0.3">
      <c r="A510" t="s">
        <v>591</v>
      </c>
      <c r="B510" t="s">
        <v>825</v>
      </c>
      <c r="C510" t="s">
        <v>872</v>
      </c>
    </row>
    <row r="511" spans="1:3" ht="15" customHeight="1" x14ac:dyDescent="0.3">
      <c r="A511" t="s">
        <v>592</v>
      </c>
    </row>
    <row r="512" spans="1:3" ht="15" customHeight="1" x14ac:dyDescent="0.3">
      <c r="A512" t="s">
        <v>593</v>
      </c>
      <c r="B512" t="s">
        <v>825</v>
      </c>
      <c r="C512" t="s">
        <v>872</v>
      </c>
    </row>
    <row r="513" spans="1:3" ht="15" customHeight="1" x14ac:dyDescent="0.3">
      <c r="A513" t="s">
        <v>594</v>
      </c>
      <c r="B513" t="s">
        <v>826</v>
      </c>
      <c r="C513" t="s">
        <v>872</v>
      </c>
    </row>
    <row r="514" spans="1:3" ht="15" customHeight="1" x14ac:dyDescent="0.3">
      <c r="A514" t="s">
        <v>595</v>
      </c>
      <c r="B514" t="s">
        <v>595</v>
      </c>
      <c r="C514" t="s">
        <v>869</v>
      </c>
    </row>
    <row r="515" spans="1:3" ht="15" customHeight="1" x14ac:dyDescent="0.3">
      <c r="A515" t="s">
        <v>596</v>
      </c>
      <c r="B515" t="s">
        <v>826</v>
      </c>
      <c r="C515" t="s">
        <v>872</v>
      </c>
    </row>
    <row r="516" spans="1:3" ht="15" customHeight="1" x14ac:dyDescent="0.3">
      <c r="A516" t="s">
        <v>597</v>
      </c>
      <c r="B516" t="s">
        <v>826</v>
      </c>
      <c r="C516" t="s">
        <v>872</v>
      </c>
    </row>
    <row r="517" spans="1:3" ht="15" customHeight="1" x14ac:dyDescent="0.3">
      <c r="A517" t="s">
        <v>598</v>
      </c>
      <c r="B517" t="s">
        <v>827</v>
      </c>
      <c r="C517" t="s">
        <v>872</v>
      </c>
    </row>
    <row r="518" spans="1:3" ht="15" customHeight="1" x14ac:dyDescent="0.3">
      <c r="A518" t="s">
        <v>599</v>
      </c>
      <c r="B518" t="s">
        <v>827</v>
      </c>
      <c r="C518" t="s">
        <v>872</v>
      </c>
    </row>
    <row r="519" spans="1:3" ht="15" customHeight="1" x14ac:dyDescent="0.3">
      <c r="A519" t="s">
        <v>600</v>
      </c>
      <c r="B519" t="s">
        <v>828</v>
      </c>
      <c r="C519" t="s">
        <v>872</v>
      </c>
    </row>
    <row r="520" spans="1:3" ht="15" customHeight="1" x14ac:dyDescent="0.3">
      <c r="A520" t="s">
        <v>601</v>
      </c>
    </row>
    <row r="521" spans="1:3" ht="15" customHeight="1" x14ac:dyDescent="0.3">
      <c r="A521" t="s">
        <v>602</v>
      </c>
    </row>
    <row r="522" spans="1:3" ht="15" customHeight="1" x14ac:dyDescent="0.3">
      <c r="A522" t="s">
        <v>603</v>
      </c>
      <c r="B522" t="s">
        <v>828</v>
      </c>
      <c r="C522" t="s">
        <v>872</v>
      </c>
    </row>
    <row r="523" spans="1:3" ht="15" customHeight="1" x14ac:dyDescent="0.3">
      <c r="A523" t="s">
        <v>604</v>
      </c>
    </row>
    <row r="524" spans="1:3" ht="15" customHeight="1" x14ac:dyDescent="0.3">
      <c r="A524" t="s">
        <v>605</v>
      </c>
    </row>
    <row r="525" spans="1:3" ht="15" customHeight="1" x14ac:dyDescent="0.3">
      <c r="A525" t="s">
        <v>606</v>
      </c>
      <c r="B525" t="s">
        <v>829</v>
      </c>
      <c r="C525" t="s">
        <v>872</v>
      </c>
    </row>
    <row r="526" spans="1:3" ht="15" customHeight="1" x14ac:dyDescent="0.3">
      <c r="A526" t="s">
        <v>607</v>
      </c>
      <c r="B526" t="s">
        <v>607</v>
      </c>
      <c r="C526" t="s">
        <v>869</v>
      </c>
    </row>
    <row r="527" spans="1:3" ht="15" customHeight="1" x14ac:dyDescent="0.3">
      <c r="A527" t="s">
        <v>608</v>
      </c>
      <c r="B527" t="s">
        <v>829</v>
      </c>
      <c r="C527" t="s">
        <v>872</v>
      </c>
    </row>
    <row r="528" spans="1:3" ht="15" customHeight="1" x14ac:dyDescent="0.3">
      <c r="A528" t="s">
        <v>609</v>
      </c>
      <c r="B528" t="s">
        <v>820</v>
      </c>
      <c r="C528" t="s">
        <v>872</v>
      </c>
    </row>
    <row r="529" spans="1:3" ht="15" customHeight="1" x14ac:dyDescent="0.3">
      <c r="A529" t="s">
        <v>610</v>
      </c>
    </row>
    <row r="530" spans="1:3" ht="15" customHeight="1" x14ac:dyDescent="0.3">
      <c r="A530" t="s">
        <v>611</v>
      </c>
      <c r="B530" t="s">
        <v>830</v>
      </c>
      <c r="C530" t="s">
        <v>872</v>
      </c>
    </row>
    <row r="531" spans="1:3" ht="15" customHeight="1" x14ac:dyDescent="0.3">
      <c r="A531" t="s">
        <v>612</v>
      </c>
      <c r="B531" t="s">
        <v>830</v>
      </c>
      <c r="C531" t="s">
        <v>872</v>
      </c>
    </row>
    <row r="532" spans="1:3" ht="15" customHeight="1" x14ac:dyDescent="0.3">
      <c r="A532" t="s">
        <v>613</v>
      </c>
    </row>
    <row r="533" spans="1:3" ht="15" customHeight="1" x14ac:dyDescent="0.3">
      <c r="A533" t="s">
        <v>614</v>
      </c>
      <c r="B533" t="s">
        <v>823</v>
      </c>
      <c r="C533" t="s">
        <v>872</v>
      </c>
    </row>
    <row r="534" spans="1:3" ht="15" customHeight="1" x14ac:dyDescent="0.3">
      <c r="A534" t="s">
        <v>615</v>
      </c>
      <c r="B534" t="s">
        <v>833</v>
      </c>
      <c r="C534" t="s">
        <v>872</v>
      </c>
    </row>
    <row r="535" spans="1:3" ht="15" customHeight="1" x14ac:dyDescent="0.3">
      <c r="A535" t="s">
        <v>616</v>
      </c>
    </row>
    <row r="536" spans="1:3" ht="15" customHeight="1" x14ac:dyDescent="0.3">
      <c r="A536" t="s">
        <v>617</v>
      </c>
    </row>
    <row r="537" spans="1:3" ht="15" customHeight="1" x14ac:dyDescent="0.3">
      <c r="A537" t="s">
        <v>618</v>
      </c>
      <c r="B537" t="s">
        <v>834</v>
      </c>
      <c r="C537" t="s">
        <v>872</v>
      </c>
    </row>
    <row r="538" spans="1:3" ht="15" customHeight="1" x14ac:dyDescent="0.3">
      <c r="A538" t="s">
        <v>619</v>
      </c>
      <c r="B538" t="s">
        <v>834</v>
      </c>
      <c r="C538" t="s">
        <v>871</v>
      </c>
    </row>
    <row r="539" spans="1:3" ht="15" customHeight="1" x14ac:dyDescent="0.3">
      <c r="A539" t="s">
        <v>620</v>
      </c>
      <c r="B539" t="s">
        <v>831</v>
      </c>
      <c r="C539" t="s">
        <v>872</v>
      </c>
    </row>
    <row r="540" spans="1:3" ht="15" customHeight="1" x14ac:dyDescent="0.3">
      <c r="A540" t="s">
        <v>621</v>
      </c>
      <c r="B540" t="s">
        <v>831</v>
      </c>
      <c r="C540" t="s">
        <v>872</v>
      </c>
    </row>
    <row r="541" spans="1:3" ht="15" customHeight="1" x14ac:dyDescent="0.3">
      <c r="A541" t="s">
        <v>622</v>
      </c>
      <c r="B541" t="s">
        <v>622</v>
      </c>
      <c r="C541" t="s">
        <v>869</v>
      </c>
    </row>
    <row r="542" spans="1:3" ht="15" customHeight="1" x14ac:dyDescent="0.3">
      <c r="A542" t="s">
        <v>623</v>
      </c>
      <c r="B542" t="s">
        <v>835</v>
      </c>
      <c r="C542" t="s">
        <v>872</v>
      </c>
    </row>
    <row r="543" spans="1:3" ht="15" customHeight="1" x14ac:dyDescent="0.3">
      <c r="A543" t="s">
        <v>624</v>
      </c>
      <c r="B543" t="s">
        <v>835</v>
      </c>
      <c r="C543" t="s">
        <v>872</v>
      </c>
    </row>
    <row r="544" spans="1:3" ht="15" customHeight="1" x14ac:dyDescent="0.3">
      <c r="A544" t="s">
        <v>625</v>
      </c>
    </row>
    <row r="545" spans="1:3" ht="15" customHeight="1" x14ac:dyDescent="0.3">
      <c r="A545" t="s">
        <v>626</v>
      </c>
    </row>
    <row r="546" spans="1:3" ht="15" customHeight="1" x14ac:dyDescent="0.3">
      <c r="A546" t="s">
        <v>628</v>
      </c>
      <c r="B546" t="s">
        <v>836</v>
      </c>
      <c r="C546" t="s">
        <v>872</v>
      </c>
    </row>
    <row r="547" spans="1:3" ht="15" customHeight="1" x14ac:dyDescent="0.3">
      <c r="A547" t="s">
        <v>629</v>
      </c>
      <c r="B547" t="s">
        <v>629</v>
      </c>
      <c r="C547" t="s">
        <v>869</v>
      </c>
    </row>
    <row r="548" spans="1:3" ht="15" customHeight="1" x14ac:dyDescent="0.3">
      <c r="A548" t="s">
        <v>630</v>
      </c>
      <c r="B548" t="s">
        <v>837</v>
      </c>
      <c r="C548" t="s">
        <v>872</v>
      </c>
    </row>
    <row r="549" spans="1:3" ht="15" customHeight="1" x14ac:dyDescent="0.3">
      <c r="A549" t="s">
        <v>631</v>
      </c>
    </row>
    <row r="550" spans="1:3" ht="15" customHeight="1" x14ac:dyDescent="0.3">
      <c r="A550" t="s">
        <v>632</v>
      </c>
    </row>
    <row r="551" spans="1:3" ht="15" customHeight="1" x14ac:dyDescent="0.3">
      <c r="A551" t="s">
        <v>633</v>
      </c>
      <c r="B551" t="s">
        <v>837</v>
      </c>
      <c r="C551" t="s">
        <v>872</v>
      </c>
    </row>
    <row r="552" spans="1:3" ht="15" customHeight="1" x14ac:dyDescent="0.3">
      <c r="A552" t="s">
        <v>634</v>
      </c>
    </row>
    <row r="553" spans="1:3" ht="15" customHeight="1" x14ac:dyDescent="0.3">
      <c r="A553" t="s">
        <v>635</v>
      </c>
    </row>
    <row r="554" spans="1:3" ht="15" customHeight="1" x14ac:dyDescent="0.3">
      <c r="A554" t="s">
        <v>636</v>
      </c>
    </row>
    <row r="555" spans="1:3" ht="15" customHeight="1" x14ac:dyDescent="0.3">
      <c r="A555" t="s">
        <v>637</v>
      </c>
    </row>
    <row r="556" spans="1:3" ht="15" customHeight="1" x14ac:dyDescent="0.3">
      <c r="A556" t="s">
        <v>638</v>
      </c>
    </row>
    <row r="557" spans="1:3" ht="15" customHeight="1" x14ac:dyDescent="0.3">
      <c r="A557" t="s">
        <v>639</v>
      </c>
    </row>
    <row r="558" spans="1:3" ht="15" customHeight="1" x14ac:dyDescent="0.3">
      <c r="A558" t="s">
        <v>640</v>
      </c>
    </row>
    <row r="559" spans="1:3" ht="15" customHeight="1" x14ac:dyDescent="0.3">
      <c r="A559" t="s">
        <v>641</v>
      </c>
    </row>
    <row r="560" spans="1:3" ht="15" customHeight="1" x14ac:dyDescent="0.3">
      <c r="A560" t="s">
        <v>642</v>
      </c>
    </row>
    <row r="561" spans="1:3" ht="15" customHeight="1" x14ac:dyDescent="0.3">
      <c r="A561" t="s">
        <v>643</v>
      </c>
      <c r="B561" t="s">
        <v>643</v>
      </c>
      <c r="C561" t="s">
        <v>869</v>
      </c>
    </row>
    <row r="562" spans="1:3" ht="15" customHeight="1" x14ac:dyDescent="0.3">
      <c r="A562" t="s">
        <v>644</v>
      </c>
    </row>
    <row r="563" spans="1:3" ht="15" customHeight="1" x14ac:dyDescent="0.3">
      <c r="A563" t="s">
        <v>645</v>
      </c>
      <c r="B563" t="s">
        <v>837</v>
      </c>
      <c r="C563" t="s">
        <v>872</v>
      </c>
    </row>
    <row r="564" spans="1:3" ht="15" customHeight="1" x14ac:dyDescent="0.3">
      <c r="A564" t="s">
        <v>353</v>
      </c>
      <c r="B564" t="s">
        <v>353</v>
      </c>
      <c r="C564" t="s">
        <v>869</v>
      </c>
    </row>
    <row r="565" spans="1:3" ht="15" customHeight="1" x14ac:dyDescent="0.3">
      <c r="A565" t="s">
        <v>355</v>
      </c>
      <c r="B565" t="s">
        <v>355</v>
      </c>
      <c r="C565" t="s">
        <v>869</v>
      </c>
    </row>
    <row r="566" spans="1:3" ht="15" customHeight="1" x14ac:dyDescent="0.3">
      <c r="A566" t="s">
        <v>362</v>
      </c>
      <c r="B566" t="s">
        <v>362</v>
      </c>
      <c r="C566" t="s">
        <v>869</v>
      </c>
    </row>
    <row r="567" spans="1:3" ht="15" customHeight="1" x14ac:dyDescent="0.3">
      <c r="A567" t="s">
        <v>360</v>
      </c>
      <c r="B567" t="s">
        <v>360</v>
      </c>
      <c r="C567" t="s">
        <v>869</v>
      </c>
    </row>
    <row r="568" spans="1:3" ht="15" customHeight="1" x14ac:dyDescent="0.3">
      <c r="A568" t="s">
        <v>343</v>
      </c>
      <c r="B568" t="s">
        <v>343</v>
      </c>
      <c r="C568" t="s">
        <v>869</v>
      </c>
    </row>
    <row r="569" spans="1:3" ht="15" customHeight="1" x14ac:dyDescent="0.3">
      <c r="A569" t="s">
        <v>357</v>
      </c>
      <c r="B569" t="s">
        <v>357</v>
      </c>
      <c r="C569" t="s">
        <v>869</v>
      </c>
    </row>
    <row r="570" spans="1:3" ht="15" customHeight="1" x14ac:dyDescent="0.3">
      <c r="A570" t="s">
        <v>347</v>
      </c>
      <c r="B570" t="s">
        <v>347</v>
      </c>
      <c r="C570" t="s">
        <v>869</v>
      </c>
    </row>
    <row r="571" spans="1:3" ht="15" customHeight="1" x14ac:dyDescent="0.3">
      <c r="A571" t="s">
        <v>364</v>
      </c>
      <c r="B571" t="s">
        <v>364</v>
      </c>
      <c r="C571" t="s">
        <v>869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1"/>
  <sheetViews>
    <sheetView zoomScaleNormal="100" workbookViewId="0">
      <pane ySplit="1" topLeftCell="A73" activePane="bottomLeft" state="frozen"/>
      <selection pane="bottomLeft" activeCell="I17" sqref="I17"/>
    </sheetView>
  </sheetViews>
  <sheetFormatPr baseColWidth="10" defaultColWidth="8.6640625" defaultRowHeight="15" customHeight="1" x14ac:dyDescent="0.3"/>
  <cols>
    <col min="1" max="1" width="34" customWidth="1"/>
    <col min="2" max="2" width="22" customWidth="1"/>
    <col min="3" max="3" width="28" customWidth="1"/>
    <col min="4" max="4" width="18" customWidth="1"/>
    <col min="5" max="5" width="48" customWidth="1"/>
    <col min="6" max="6" width="14" customWidth="1"/>
  </cols>
  <sheetData>
    <row r="1" spans="1:6" ht="15" customHeight="1" x14ac:dyDescent="0.3">
      <c r="A1" s="34" t="s">
        <v>875</v>
      </c>
      <c r="B1" s="34" t="s">
        <v>876</v>
      </c>
      <c r="C1" s="34" t="s">
        <v>877</v>
      </c>
      <c r="D1" s="34" t="s">
        <v>878</v>
      </c>
      <c r="E1" s="34" t="s">
        <v>879</v>
      </c>
      <c r="F1" s="34" t="s">
        <v>880</v>
      </c>
    </row>
    <row r="2" spans="1:6" ht="15" customHeight="1" x14ac:dyDescent="0.3">
      <c r="A2" s="35" t="s">
        <v>0</v>
      </c>
      <c r="B2" s="35" t="s">
        <v>881</v>
      </c>
      <c r="C2" s="35" t="s">
        <v>882</v>
      </c>
      <c r="D2" s="35" t="s">
        <v>883</v>
      </c>
      <c r="E2" s="35" t="s">
        <v>884</v>
      </c>
      <c r="F2" s="35" t="s">
        <v>885</v>
      </c>
    </row>
    <row r="3" spans="1:6" ht="15" customHeight="1" x14ac:dyDescent="0.3">
      <c r="A3" s="36" t="s">
        <v>1</v>
      </c>
      <c r="B3" s="36" t="s">
        <v>881</v>
      </c>
      <c r="C3" s="36" t="s">
        <v>882</v>
      </c>
      <c r="D3" s="36" t="s">
        <v>883</v>
      </c>
      <c r="E3" s="36" t="s">
        <v>886</v>
      </c>
      <c r="F3" s="36" t="s">
        <v>885</v>
      </c>
    </row>
    <row r="4" spans="1:6" ht="15" customHeight="1" x14ac:dyDescent="0.3">
      <c r="A4" s="35" t="s">
        <v>2</v>
      </c>
      <c r="B4" s="35" t="s">
        <v>881</v>
      </c>
      <c r="C4" s="35" t="s">
        <v>882</v>
      </c>
      <c r="D4" s="35" t="s">
        <v>883</v>
      </c>
      <c r="E4" s="35" t="s">
        <v>887</v>
      </c>
      <c r="F4" s="35" t="s">
        <v>885</v>
      </c>
    </row>
    <row r="5" spans="1:6" ht="15" customHeight="1" x14ac:dyDescent="0.3">
      <c r="A5" s="36" t="s">
        <v>3</v>
      </c>
      <c r="B5" s="36" t="s">
        <v>881</v>
      </c>
      <c r="C5" s="36" t="s">
        <v>882</v>
      </c>
      <c r="D5" s="36" t="s">
        <v>883</v>
      </c>
      <c r="E5" s="36" t="s">
        <v>888</v>
      </c>
      <c r="F5" s="36" t="s">
        <v>885</v>
      </c>
    </row>
    <row r="6" spans="1:6" ht="15" customHeight="1" x14ac:dyDescent="0.3">
      <c r="A6" s="35" t="s">
        <v>4</v>
      </c>
      <c r="B6" s="35" t="s">
        <v>881</v>
      </c>
      <c r="C6" s="35" t="s">
        <v>882</v>
      </c>
      <c r="D6" s="35" t="s">
        <v>883</v>
      </c>
      <c r="E6" s="35" t="s">
        <v>889</v>
      </c>
      <c r="F6" s="35" t="s">
        <v>885</v>
      </c>
    </row>
    <row r="7" spans="1:6" ht="15" customHeight="1" x14ac:dyDescent="0.3">
      <c r="A7" s="36" t="s">
        <v>5</v>
      </c>
      <c r="B7" s="36" t="s">
        <v>890</v>
      </c>
      <c r="C7" s="36" t="s">
        <v>891</v>
      </c>
      <c r="D7" s="36"/>
      <c r="E7" s="36" t="s">
        <v>892</v>
      </c>
      <c r="F7" s="36" t="s">
        <v>885</v>
      </c>
    </row>
    <row r="8" spans="1:6" ht="15" customHeight="1" x14ac:dyDescent="0.3">
      <c r="A8" s="35" t="s">
        <v>6</v>
      </c>
      <c r="B8" s="35" t="s">
        <v>890</v>
      </c>
      <c r="C8" s="35" t="s">
        <v>891</v>
      </c>
      <c r="D8" s="35"/>
      <c r="E8" s="35" t="s">
        <v>892</v>
      </c>
      <c r="F8" s="35" t="s">
        <v>885</v>
      </c>
    </row>
    <row r="9" spans="1:6" ht="15" customHeight="1" x14ac:dyDescent="0.3">
      <c r="A9" s="36" t="s">
        <v>7</v>
      </c>
      <c r="B9" s="36" t="s">
        <v>890</v>
      </c>
      <c r="C9" s="36" t="s">
        <v>893</v>
      </c>
      <c r="D9" s="36" t="s">
        <v>894</v>
      </c>
      <c r="E9" s="36" t="s">
        <v>892</v>
      </c>
      <c r="F9" s="36" t="s">
        <v>885</v>
      </c>
    </row>
    <row r="10" spans="1:6" ht="15" customHeight="1" x14ac:dyDescent="0.3">
      <c r="A10" s="35" t="s">
        <v>8</v>
      </c>
      <c r="B10" s="35" t="s">
        <v>890</v>
      </c>
      <c r="C10" s="35" t="s">
        <v>893</v>
      </c>
      <c r="D10" s="35" t="s">
        <v>895</v>
      </c>
      <c r="E10" s="35" t="s">
        <v>892</v>
      </c>
      <c r="F10" s="35" t="s">
        <v>885</v>
      </c>
    </row>
    <row r="11" spans="1:6" ht="15" customHeight="1" x14ac:dyDescent="0.3">
      <c r="A11" s="36" t="s">
        <v>9</v>
      </c>
      <c r="B11" s="36" t="s">
        <v>890</v>
      </c>
      <c r="C11" s="36" t="s">
        <v>893</v>
      </c>
      <c r="D11" s="36" t="s">
        <v>896</v>
      </c>
      <c r="E11" s="36" t="s">
        <v>892</v>
      </c>
      <c r="F11" s="36" t="s">
        <v>885</v>
      </c>
    </row>
    <row r="12" spans="1:6" ht="15" customHeight="1" x14ac:dyDescent="0.3">
      <c r="A12" s="35" t="s">
        <v>10</v>
      </c>
      <c r="B12" s="35" t="s">
        <v>890</v>
      </c>
      <c r="C12" s="35" t="s">
        <v>893</v>
      </c>
      <c r="D12" s="35" t="s">
        <v>896</v>
      </c>
      <c r="E12" s="35" t="s">
        <v>892</v>
      </c>
      <c r="F12" s="35" t="s">
        <v>885</v>
      </c>
    </row>
    <row r="13" spans="1:6" ht="15" customHeight="1" x14ac:dyDescent="0.3">
      <c r="A13" s="36" t="s">
        <v>11</v>
      </c>
      <c r="B13" s="36" t="s">
        <v>890</v>
      </c>
      <c r="C13" s="36" t="s">
        <v>893</v>
      </c>
      <c r="D13" s="36" t="s">
        <v>896</v>
      </c>
      <c r="E13" s="36" t="s">
        <v>892</v>
      </c>
      <c r="F13" s="36" t="s">
        <v>885</v>
      </c>
    </row>
    <row r="14" spans="1:6" ht="15" customHeight="1" x14ac:dyDescent="0.3">
      <c r="A14" s="35" t="s">
        <v>12</v>
      </c>
      <c r="B14" s="35" t="s">
        <v>890</v>
      </c>
      <c r="C14" s="35" t="s">
        <v>893</v>
      </c>
      <c r="D14" s="35" t="s">
        <v>896</v>
      </c>
      <c r="E14" s="35" t="s">
        <v>892</v>
      </c>
      <c r="F14" s="35" t="s">
        <v>885</v>
      </c>
    </row>
    <row r="15" spans="1:6" ht="15" customHeight="1" x14ac:dyDescent="0.3">
      <c r="A15" s="36" t="s">
        <v>13</v>
      </c>
      <c r="B15" s="36" t="s">
        <v>890</v>
      </c>
      <c r="C15" s="36" t="s">
        <v>893</v>
      </c>
      <c r="D15" s="36" t="s">
        <v>896</v>
      </c>
      <c r="E15" s="36" t="s">
        <v>892</v>
      </c>
      <c r="F15" s="36" t="s">
        <v>885</v>
      </c>
    </row>
    <row r="16" spans="1:6" ht="15" customHeight="1" x14ac:dyDescent="0.3">
      <c r="A16" s="35" t="s">
        <v>14</v>
      </c>
      <c r="B16" s="35" t="s">
        <v>890</v>
      </c>
      <c r="C16" s="35" t="s">
        <v>893</v>
      </c>
      <c r="D16" s="35" t="s">
        <v>896</v>
      </c>
      <c r="E16" s="35" t="s">
        <v>892</v>
      </c>
      <c r="F16" s="35" t="s">
        <v>885</v>
      </c>
    </row>
    <row r="17" spans="1:6" ht="15" customHeight="1" x14ac:dyDescent="0.3">
      <c r="A17" s="36" t="s">
        <v>15</v>
      </c>
      <c r="B17" s="36" t="s">
        <v>890</v>
      </c>
      <c r="C17" s="36" t="s">
        <v>893</v>
      </c>
      <c r="D17" s="36" t="s">
        <v>896</v>
      </c>
      <c r="E17" s="36" t="s">
        <v>892</v>
      </c>
      <c r="F17" s="36" t="s">
        <v>885</v>
      </c>
    </row>
    <row r="18" spans="1:6" ht="15" customHeight="1" x14ac:dyDescent="0.3">
      <c r="A18" s="35" t="s">
        <v>16</v>
      </c>
      <c r="B18" s="35" t="s">
        <v>890</v>
      </c>
      <c r="C18" s="35" t="s">
        <v>893</v>
      </c>
      <c r="D18" s="35" t="s">
        <v>896</v>
      </c>
      <c r="E18" s="35" t="s">
        <v>892</v>
      </c>
      <c r="F18" s="35" t="s">
        <v>885</v>
      </c>
    </row>
    <row r="19" spans="1:6" ht="15" customHeight="1" x14ac:dyDescent="0.3">
      <c r="A19" s="36" t="s">
        <v>17</v>
      </c>
      <c r="B19" s="36" t="s">
        <v>890</v>
      </c>
      <c r="C19" s="36" t="s">
        <v>893</v>
      </c>
      <c r="D19" s="36" t="s">
        <v>896</v>
      </c>
      <c r="E19" s="36" t="s">
        <v>892</v>
      </c>
      <c r="F19" s="36" t="s">
        <v>885</v>
      </c>
    </row>
    <row r="20" spans="1:6" ht="15" customHeight="1" x14ac:dyDescent="0.3">
      <c r="A20" s="35" t="s">
        <v>18</v>
      </c>
      <c r="B20" s="35" t="s">
        <v>890</v>
      </c>
      <c r="C20" s="35" t="s">
        <v>893</v>
      </c>
      <c r="D20" s="35" t="s">
        <v>896</v>
      </c>
      <c r="E20" s="35" t="s">
        <v>892</v>
      </c>
      <c r="F20" s="35" t="s">
        <v>885</v>
      </c>
    </row>
    <row r="21" spans="1:6" ht="15" customHeight="1" x14ac:dyDescent="0.3">
      <c r="A21" s="36" t="s">
        <v>19</v>
      </c>
      <c r="B21" s="36" t="s">
        <v>890</v>
      </c>
      <c r="C21" s="36" t="s">
        <v>893</v>
      </c>
      <c r="D21" s="36" t="s">
        <v>896</v>
      </c>
      <c r="E21" s="36" t="s">
        <v>892</v>
      </c>
      <c r="F21" s="36" t="s">
        <v>885</v>
      </c>
    </row>
    <row r="22" spans="1:6" ht="15" customHeight="1" x14ac:dyDescent="0.3">
      <c r="A22" s="35" t="s">
        <v>20</v>
      </c>
      <c r="B22" s="35" t="s">
        <v>890</v>
      </c>
      <c r="C22" s="35" t="s">
        <v>893</v>
      </c>
      <c r="D22" s="35" t="s">
        <v>896</v>
      </c>
      <c r="E22" s="35" t="s">
        <v>892</v>
      </c>
      <c r="F22" s="35" t="s">
        <v>885</v>
      </c>
    </row>
    <row r="23" spans="1:6" ht="15" customHeight="1" x14ac:dyDescent="0.3">
      <c r="A23" s="36" t="s">
        <v>21</v>
      </c>
      <c r="B23" s="36" t="s">
        <v>890</v>
      </c>
      <c r="C23" s="36" t="s">
        <v>893</v>
      </c>
      <c r="D23" s="36" t="s">
        <v>897</v>
      </c>
      <c r="E23" s="36" t="s">
        <v>892</v>
      </c>
      <c r="F23" s="36" t="s">
        <v>885</v>
      </c>
    </row>
    <row r="24" spans="1:6" ht="15" customHeight="1" x14ac:dyDescent="0.3">
      <c r="A24" s="35" t="s">
        <v>22</v>
      </c>
      <c r="B24" s="35" t="s">
        <v>890</v>
      </c>
      <c r="C24" s="35" t="s">
        <v>898</v>
      </c>
      <c r="D24" s="35" t="s">
        <v>899</v>
      </c>
      <c r="E24" s="35" t="s">
        <v>892</v>
      </c>
      <c r="F24" s="35" t="s">
        <v>885</v>
      </c>
    </row>
    <row r="25" spans="1:6" ht="15" customHeight="1" x14ac:dyDescent="0.3">
      <c r="A25" s="36" t="s">
        <v>23</v>
      </c>
      <c r="B25" s="36" t="s">
        <v>890</v>
      </c>
      <c r="C25" s="36" t="s">
        <v>898</v>
      </c>
      <c r="D25" s="36" t="s">
        <v>899</v>
      </c>
      <c r="E25" s="36" t="s">
        <v>892</v>
      </c>
      <c r="F25" s="36" t="s">
        <v>885</v>
      </c>
    </row>
    <row r="26" spans="1:6" ht="15" customHeight="1" x14ac:dyDescent="0.3">
      <c r="A26" s="35" t="s">
        <v>24</v>
      </c>
      <c r="B26" s="35" t="s">
        <v>890</v>
      </c>
      <c r="C26" s="35" t="s">
        <v>898</v>
      </c>
      <c r="D26" s="35" t="s">
        <v>899</v>
      </c>
      <c r="E26" s="35" t="s">
        <v>892</v>
      </c>
      <c r="F26" s="35" t="s">
        <v>885</v>
      </c>
    </row>
    <row r="27" spans="1:6" ht="15" customHeight="1" x14ac:dyDescent="0.3">
      <c r="A27" s="36" t="s">
        <v>25</v>
      </c>
      <c r="B27" s="36" t="s">
        <v>890</v>
      </c>
      <c r="C27" s="36" t="s">
        <v>898</v>
      </c>
      <c r="D27" s="36" t="s">
        <v>899</v>
      </c>
      <c r="E27" s="36" t="s">
        <v>892</v>
      </c>
      <c r="F27" s="36" t="s">
        <v>885</v>
      </c>
    </row>
    <row r="28" spans="1:6" ht="15" customHeight="1" x14ac:dyDescent="0.3">
      <c r="A28" s="35" t="s">
        <v>26</v>
      </c>
      <c r="B28" s="35" t="s">
        <v>890</v>
      </c>
      <c r="C28" s="35" t="s">
        <v>898</v>
      </c>
      <c r="D28" s="35" t="s">
        <v>897</v>
      </c>
      <c r="E28" s="35" t="s">
        <v>892</v>
      </c>
      <c r="F28" s="35" t="s">
        <v>885</v>
      </c>
    </row>
    <row r="29" spans="1:6" ht="15" customHeight="1" x14ac:dyDescent="0.3">
      <c r="A29" s="36" t="s">
        <v>27</v>
      </c>
      <c r="B29" s="36" t="s">
        <v>890</v>
      </c>
      <c r="C29" s="36" t="s">
        <v>898</v>
      </c>
      <c r="D29" s="36" t="s">
        <v>899</v>
      </c>
      <c r="E29" s="36" t="s">
        <v>892</v>
      </c>
      <c r="F29" s="36" t="s">
        <v>885</v>
      </c>
    </row>
    <row r="30" spans="1:6" ht="15" customHeight="1" x14ac:dyDescent="0.3">
      <c r="A30" s="35" t="s">
        <v>28</v>
      </c>
      <c r="B30" s="35" t="s">
        <v>890</v>
      </c>
      <c r="C30" s="35" t="s">
        <v>898</v>
      </c>
      <c r="D30" s="35" t="s">
        <v>897</v>
      </c>
      <c r="E30" s="35" t="s">
        <v>892</v>
      </c>
      <c r="F30" s="35" t="s">
        <v>885</v>
      </c>
    </row>
    <row r="31" spans="1:6" ht="15" customHeight="1" x14ac:dyDescent="0.3">
      <c r="A31" s="36" t="s">
        <v>29</v>
      </c>
      <c r="B31" s="36" t="s">
        <v>890</v>
      </c>
      <c r="C31" s="36" t="s">
        <v>898</v>
      </c>
      <c r="D31" s="36" t="s">
        <v>897</v>
      </c>
      <c r="E31" s="36" t="s">
        <v>892</v>
      </c>
      <c r="F31" s="36" t="s">
        <v>885</v>
      </c>
    </row>
    <row r="32" spans="1:6" ht="15" customHeight="1" x14ac:dyDescent="0.3">
      <c r="A32" s="35" t="s">
        <v>30</v>
      </c>
      <c r="B32" s="35" t="s">
        <v>890</v>
      </c>
      <c r="C32" s="35" t="s">
        <v>898</v>
      </c>
      <c r="D32" s="35" t="s">
        <v>897</v>
      </c>
      <c r="E32" s="35" t="s">
        <v>892</v>
      </c>
      <c r="F32" s="35" t="s">
        <v>885</v>
      </c>
    </row>
    <row r="33" spans="1:6" ht="15" customHeight="1" x14ac:dyDescent="0.3">
      <c r="A33" s="36" t="s">
        <v>31</v>
      </c>
      <c r="B33" s="36" t="s">
        <v>890</v>
      </c>
      <c r="C33" s="36" t="s">
        <v>898</v>
      </c>
      <c r="D33" s="36" t="s">
        <v>897</v>
      </c>
      <c r="E33" s="36" t="s">
        <v>892</v>
      </c>
      <c r="F33" s="36" t="s">
        <v>885</v>
      </c>
    </row>
    <row r="34" spans="1:6" ht="15" customHeight="1" x14ac:dyDescent="0.3">
      <c r="A34" s="35" t="s">
        <v>32</v>
      </c>
      <c r="B34" s="35" t="s">
        <v>890</v>
      </c>
      <c r="C34" s="35" t="s">
        <v>898</v>
      </c>
      <c r="D34" s="35" t="s">
        <v>899</v>
      </c>
      <c r="E34" s="35" t="s">
        <v>892</v>
      </c>
      <c r="F34" s="35" t="s">
        <v>885</v>
      </c>
    </row>
    <row r="35" spans="1:6" ht="15" customHeight="1" x14ac:dyDescent="0.3">
      <c r="A35" s="36" t="s">
        <v>33</v>
      </c>
      <c r="B35" s="36" t="s">
        <v>890</v>
      </c>
      <c r="C35" s="36" t="s">
        <v>898</v>
      </c>
      <c r="D35" s="36" t="s">
        <v>899</v>
      </c>
      <c r="E35" s="36" t="s">
        <v>892</v>
      </c>
      <c r="F35" s="36" t="s">
        <v>885</v>
      </c>
    </row>
    <row r="36" spans="1:6" ht="15" customHeight="1" x14ac:dyDescent="0.3">
      <c r="A36" s="35" t="s">
        <v>34</v>
      </c>
      <c r="B36" s="35" t="s">
        <v>890</v>
      </c>
      <c r="C36" s="35" t="s">
        <v>898</v>
      </c>
      <c r="D36" s="35" t="s">
        <v>897</v>
      </c>
      <c r="E36" s="35" t="s">
        <v>892</v>
      </c>
      <c r="F36" s="35" t="s">
        <v>885</v>
      </c>
    </row>
    <row r="37" spans="1:6" ht="15" customHeight="1" x14ac:dyDescent="0.3">
      <c r="A37" s="36" t="s">
        <v>35</v>
      </c>
      <c r="B37" s="36" t="s">
        <v>890</v>
      </c>
      <c r="C37" s="36" t="s">
        <v>898</v>
      </c>
      <c r="D37" s="36" t="s">
        <v>899</v>
      </c>
      <c r="E37" s="36" t="s">
        <v>892</v>
      </c>
      <c r="F37" s="36" t="s">
        <v>885</v>
      </c>
    </row>
    <row r="38" spans="1:6" ht="15" customHeight="1" x14ac:dyDescent="0.3">
      <c r="A38" s="35" t="s">
        <v>36</v>
      </c>
      <c r="B38" s="35" t="s">
        <v>890</v>
      </c>
      <c r="C38" s="35" t="s">
        <v>898</v>
      </c>
      <c r="D38" s="35" t="s">
        <v>897</v>
      </c>
      <c r="E38" s="35" t="s">
        <v>892</v>
      </c>
      <c r="F38" s="35" t="s">
        <v>885</v>
      </c>
    </row>
    <row r="39" spans="1:6" ht="15" customHeight="1" x14ac:dyDescent="0.3">
      <c r="A39" s="36" t="s">
        <v>37</v>
      </c>
      <c r="B39" s="36" t="s">
        <v>890</v>
      </c>
      <c r="C39" s="36" t="s">
        <v>900</v>
      </c>
      <c r="D39" s="36" t="s">
        <v>897</v>
      </c>
      <c r="E39" s="36" t="s">
        <v>892</v>
      </c>
      <c r="F39" s="36" t="s">
        <v>885</v>
      </c>
    </row>
    <row r="40" spans="1:6" ht="15" customHeight="1" x14ac:dyDescent="0.3">
      <c r="A40" s="35" t="s">
        <v>38</v>
      </c>
      <c r="B40" s="35" t="s">
        <v>890</v>
      </c>
      <c r="C40" s="35" t="s">
        <v>900</v>
      </c>
      <c r="D40" s="35" t="s">
        <v>897</v>
      </c>
      <c r="E40" s="35" t="s">
        <v>892</v>
      </c>
      <c r="F40" s="35" t="s">
        <v>885</v>
      </c>
    </row>
    <row r="41" spans="1:6" ht="15" customHeight="1" x14ac:dyDescent="0.3">
      <c r="A41" s="36" t="s">
        <v>39</v>
      </c>
      <c r="B41" s="36" t="s">
        <v>890</v>
      </c>
      <c r="C41" s="36" t="s">
        <v>900</v>
      </c>
      <c r="D41" s="36" t="s">
        <v>897</v>
      </c>
      <c r="E41" s="36" t="s">
        <v>892</v>
      </c>
      <c r="F41" s="36" t="s">
        <v>885</v>
      </c>
    </row>
    <row r="42" spans="1:6" ht="15" customHeight="1" x14ac:dyDescent="0.3">
      <c r="A42" s="35" t="s">
        <v>40</v>
      </c>
      <c r="B42" s="35" t="s">
        <v>890</v>
      </c>
      <c r="C42" s="35" t="s">
        <v>900</v>
      </c>
      <c r="D42" s="35" t="s">
        <v>899</v>
      </c>
      <c r="E42" s="35" t="s">
        <v>892</v>
      </c>
      <c r="F42" s="35" t="s">
        <v>885</v>
      </c>
    </row>
    <row r="43" spans="1:6" ht="15" customHeight="1" x14ac:dyDescent="0.3">
      <c r="A43" s="36" t="s">
        <v>41</v>
      </c>
      <c r="B43" s="36" t="s">
        <v>890</v>
      </c>
      <c r="C43" s="36" t="s">
        <v>900</v>
      </c>
      <c r="D43" s="36" t="s">
        <v>897</v>
      </c>
      <c r="E43" s="36" t="s">
        <v>892</v>
      </c>
      <c r="F43" s="36" t="s">
        <v>885</v>
      </c>
    </row>
    <row r="44" spans="1:6" ht="15" customHeight="1" x14ac:dyDescent="0.3">
      <c r="A44" s="35" t="s">
        <v>42</v>
      </c>
      <c r="B44" s="35" t="s">
        <v>890</v>
      </c>
      <c r="C44" s="35" t="s">
        <v>900</v>
      </c>
      <c r="D44" s="35" t="s">
        <v>897</v>
      </c>
      <c r="E44" s="35" t="s">
        <v>892</v>
      </c>
      <c r="F44" s="35" t="s">
        <v>885</v>
      </c>
    </row>
    <row r="45" spans="1:6" ht="15" customHeight="1" x14ac:dyDescent="0.3">
      <c r="A45" s="36" t="s">
        <v>43</v>
      </c>
      <c r="B45" s="36" t="s">
        <v>890</v>
      </c>
      <c r="C45" s="36" t="s">
        <v>900</v>
      </c>
      <c r="D45" s="36" t="s">
        <v>897</v>
      </c>
      <c r="E45" s="36" t="s">
        <v>892</v>
      </c>
      <c r="F45" s="36" t="s">
        <v>885</v>
      </c>
    </row>
    <row r="46" spans="1:6" ht="15" customHeight="1" x14ac:dyDescent="0.3">
      <c r="A46" s="35" t="s">
        <v>44</v>
      </c>
      <c r="B46" s="35" t="s">
        <v>890</v>
      </c>
      <c r="C46" s="35" t="s">
        <v>900</v>
      </c>
      <c r="D46" s="35" t="s">
        <v>897</v>
      </c>
      <c r="E46" s="35" t="s">
        <v>892</v>
      </c>
      <c r="F46" s="35" t="s">
        <v>885</v>
      </c>
    </row>
    <row r="47" spans="1:6" ht="15" customHeight="1" x14ac:dyDescent="0.3">
      <c r="A47" s="36" t="s">
        <v>45</v>
      </c>
      <c r="B47" s="36" t="s">
        <v>890</v>
      </c>
      <c r="C47" s="36" t="s">
        <v>900</v>
      </c>
      <c r="D47" s="36" t="s">
        <v>897</v>
      </c>
      <c r="E47" s="36" t="s">
        <v>892</v>
      </c>
      <c r="F47" s="36" t="s">
        <v>885</v>
      </c>
    </row>
    <row r="48" spans="1:6" ht="15" customHeight="1" x14ac:dyDescent="0.3">
      <c r="A48" s="35" t="s">
        <v>46</v>
      </c>
      <c r="B48" s="35" t="s">
        <v>890</v>
      </c>
      <c r="C48" s="35" t="s">
        <v>900</v>
      </c>
      <c r="D48" s="35" t="s">
        <v>897</v>
      </c>
      <c r="E48" s="35" t="s">
        <v>892</v>
      </c>
      <c r="F48" s="35" t="s">
        <v>885</v>
      </c>
    </row>
    <row r="49" spans="1:6" ht="15" customHeight="1" x14ac:dyDescent="0.3">
      <c r="A49" s="36" t="s">
        <v>47</v>
      </c>
      <c r="B49" s="36" t="s">
        <v>890</v>
      </c>
      <c r="C49" s="36" t="s">
        <v>900</v>
      </c>
      <c r="D49" s="36" t="s">
        <v>899</v>
      </c>
      <c r="E49" s="36" t="s">
        <v>892</v>
      </c>
      <c r="F49" s="36" t="s">
        <v>885</v>
      </c>
    </row>
    <row r="50" spans="1:6" ht="28.35" customHeight="1" x14ac:dyDescent="0.3">
      <c r="A50" s="35" t="s">
        <v>48</v>
      </c>
      <c r="B50" s="35" t="s">
        <v>890</v>
      </c>
      <c r="C50" s="35" t="s">
        <v>901</v>
      </c>
      <c r="D50" s="35" t="s">
        <v>896</v>
      </c>
      <c r="E50" s="35" t="s">
        <v>902</v>
      </c>
      <c r="F50" s="35" t="s">
        <v>885</v>
      </c>
    </row>
    <row r="51" spans="1:6" ht="28.35" customHeight="1" x14ac:dyDescent="0.3">
      <c r="A51" s="36" t="s">
        <v>49</v>
      </c>
      <c r="B51" s="36" t="s">
        <v>881</v>
      </c>
      <c r="C51" s="36" t="s">
        <v>901</v>
      </c>
      <c r="D51" s="36" t="s">
        <v>883</v>
      </c>
      <c r="E51" s="36" t="s">
        <v>903</v>
      </c>
      <c r="F51" s="36" t="s">
        <v>885</v>
      </c>
    </row>
    <row r="52" spans="1:6" ht="15" customHeight="1" x14ac:dyDescent="0.3">
      <c r="A52" s="35" t="s">
        <v>50</v>
      </c>
      <c r="B52" s="35" t="s">
        <v>890</v>
      </c>
      <c r="C52" s="35" t="s">
        <v>901</v>
      </c>
      <c r="D52" s="35" t="s">
        <v>896</v>
      </c>
      <c r="E52" s="35" t="s">
        <v>904</v>
      </c>
      <c r="F52" s="35" t="s">
        <v>885</v>
      </c>
    </row>
    <row r="53" spans="1:6" ht="15" customHeight="1" x14ac:dyDescent="0.3">
      <c r="A53" s="36" t="s">
        <v>51</v>
      </c>
      <c r="B53" s="36" t="s">
        <v>890</v>
      </c>
      <c r="C53" s="36" t="s">
        <v>901</v>
      </c>
      <c r="D53" s="36" t="s">
        <v>897</v>
      </c>
      <c r="E53" s="36" t="s">
        <v>905</v>
      </c>
      <c r="F53" s="36" t="s">
        <v>885</v>
      </c>
    </row>
    <row r="54" spans="1:6" ht="15" customHeight="1" x14ac:dyDescent="0.3">
      <c r="A54" s="35" t="s">
        <v>52</v>
      </c>
      <c r="B54" s="35" t="s">
        <v>890</v>
      </c>
      <c r="C54" s="35" t="s">
        <v>901</v>
      </c>
      <c r="D54" s="35" t="s">
        <v>906</v>
      </c>
      <c r="E54" s="35" t="s">
        <v>907</v>
      </c>
      <c r="F54" s="35" t="s">
        <v>885</v>
      </c>
    </row>
    <row r="55" spans="1:6" s="33" customFormat="1" ht="15" customHeight="1" x14ac:dyDescent="0.3">
      <c r="A55" s="37" t="s">
        <v>53</v>
      </c>
      <c r="B55" s="37" t="s">
        <v>890</v>
      </c>
      <c r="C55" s="37" t="s">
        <v>908</v>
      </c>
      <c r="D55" s="37" t="s">
        <v>909</v>
      </c>
      <c r="E55" s="37" t="s">
        <v>910</v>
      </c>
      <c r="F55" s="37" t="s">
        <v>911</v>
      </c>
    </row>
    <row r="56" spans="1:6" s="33" customFormat="1" ht="15" customHeight="1" x14ac:dyDescent="0.3">
      <c r="A56" s="38" t="s">
        <v>54</v>
      </c>
      <c r="B56" s="38" t="s">
        <v>890</v>
      </c>
      <c r="C56" s="38" t="s">
        <v>908</v>
      </c>
      <c r="D56" s="38" t="s">
        <v>909</v>
      </c>
      <c r="E56" s="38" t="s">
        <v>910</v>
      </c>
      <c r="F56" s="38" t="s">
        <v>911</v>
      </c>
    </row>
    <row r="57" spans="1:6" s="33" customFormat="1" ht="15" customHeight="1" x14ac:dyDescent="0.3">
      <c r="A57" s="37" t="s">
        <v>55</v>
      </c>
      <c r="B57" s="37" t="s">
        <v>890</v>
      </c>
      <c r="C57" s="37" t="s">
        <v>908</v>
      </c>
      <c r="D57" s="37" t="s">
        <v>909</v>
      </c>
      <c r="E57" s="37" t="s">
        <v>910</v>
      </c>
      <c r="F57" s="37" t="s">
        <v>911</v>
      </c>
    </row>
    <row r="58" spans="1:6" s="33" customFormat="1" ht="15" customHeight="1" x14ac:dyDescent="0.3">
      <c r="A58" s="38" t="s">
        <v>56</v>
      </c>
      <c r="B58" s="38" t="s">
        <v>890</v>
      </c>
      <c r="C58" s="38" t="s">
        <v>908</v>
      </c>
      <c r="D58" s="38" t="s">
        <v>909</v>
      </c>
      <c r="E58" s="38" t="s">
        <v>910</v>
      </c>
      <c r="F58" s="38" t="s">
        <v>911</v>
      </c>
    </row>
    <row r="59" spans="1:6" s="33" customFormat="1" ht="15" customHeight="1" x14ac:dyDescent="0.3">
      <c r="A59" s="37" t="s">
        <v>57</v>
      </c>
      <c r="B59" s="37" t="s">
        <v>890</v>
      </c>
      <c r="C59" s="37" t="s">
        <v>908</v>
      </c>
      <c r="D59" s="37" t="s">
        <v>909</v>
      </c>
      <c r="E59" s="37" t="s">
        <v>910</v>
      </c>
      <c r="F59" s="37" t="s">
        <v>911</v>
      </c>
    </row>
    <row r="60" spans="1:6" s="33" customFormat="1" ht="15" customHeight="1" x14ac:dyDescent="0.3">
      <c r="A60" s="38" t="s">
        <v>58</v>
      </c>
      <c r="B60" s="38" t="s">
        <v>890</v>
      </c>
      <c r="C60" s="38" t="s">
        <v>908</v>
      </c>
      <c r="D60" s="38" t="s">
        <v>912</v>
      </c>
      <c r="E60" s="38" t="s">
        <v>910</v>
      </c>
      <c r="F60" s="38" t="s">
        <v>911</v>
      </c>
    </row>
    <row r="61" spans="1:6" s="33" customFormat="1" ht="15" customHeight="1" x14ac:dyDescent="0.3">
      <c r="A61" s="37" t="s">
        <v>59</v>
      </c>
      <c r="B61" s="37" t="s">
        <v>890</v>
      </c>
      <c r="C61" s="37" t="s">
        <v>908</v>
      </c>
      <c r="D61" s="37" t="s">
        <v>912</v>
      </c>
      <c r="E61" s="37" t="s">
        <v>910</v>
      </c>
      <c r="F61" s="37" t="s">
        <v>911</v>
      </c>
    </row>
    <row r="62" spans="1:6" s="33" customFormat="1" ht="15" customHeight="1" x14ac:dyDescent="0.3">
      <c r="A62" s="38" t="s">
        <v>60</v>
      </c>
      <c r="B62" s="38" t="s">
        <v>890</v>
      </c>
      <c r="C62" s="38" t="s">
        <v>908</v>
      </c>
      <c r="D62" s="38"/>
      <c r="E62" s="38" t="s">
        <v>910</v>
      </c>
      <c r="F62" s="38" t="s">
        <v>911</v>
      </c>
    </row>
    <row r="63" spans="1:6" s="33" customFormat="1" ht="15" customHeight="1" x14ac:dyDescent="0.3">
      <c r="A63" s="37" t="s">
        <v>61</v>
      </c>
      <c r="B63" s="37" t="s">
        <v>890</v>
      </c>
      <c r="C63" s="37" t="s">
        <v>908</v>
      </c>
      <c r="D63" s="37" t="s">
        <v>912</v>
      </c>
      <c r="E63" s="37" t="s">
        <v>910</v>
      </c>
      <c r="F63" s="37" t="s">
        <v>911</v>
      </c>
    </row>
    <row r="64" spans="1:6" s="33" customFormat="1" ht="28.35" customHeight="1" x14ac:dyDescent="0.3">
      <c r="A64" s="38" t="s">
        <v>62</v>
      </c>
      <c r="B64" s="38" t="s">
        <v>890</v>
      </c>
      <c r="C64" s="38" t="s">
        <v>908</v>
      </c>
      <c r="D64" s="38" t="s">
        <v>912</v>
      </c>
      <c r="E64" s="38" t="s">
        <v>910</v>
      </c>
      <c r="F64" s="38" t="s">
        <v>911</v>
      </c>
    </row>
    <row r="65" spans="1:6" s="33" customFormat="1" ht="15" customHeight="1" x14ac:dyDescent="0.3">
      <c r="A65" s="37" t="s">
        <v>63</v>
      </c>
      <c r="B65" s="37" t="s">
        <v>890</v>
      </c>
      <c r="C65" s="37" t="s">
        <v>908</v>
      </c>
      <c r="D65" s="37" t="s">
        <v>912</v>
      </c>
      <c r="E65" s="37" t="s">
        <v>910</v>
      </c>
      <c r="F65" s="37" t="s">
        <v>911</v>
      </c>
    </row>
    <row r="66" spans="1:6" s="33" customFormat="1" ht="28.35" customHeight="1" x14ac:dyDescent="0.3">
      <c r="A66" s="38" t="s">
        <v>64</v>
      </c>
      <c r="B66" s="38" t="s">
        <v>890</v>
      </c>
      <c r="C66" s="38" t="s">
        <v>908</v>
      </c>
      <c r="D66" s="38" t="s">
        <v>913</v>
      </c>
      <c r="E66" s="38" t="s">
        <v>910</v>
      </c>
      <c r="F66" s="38" t="s">
        <v>911</v>
      </c>
    </row>
    <row r="67" spans="1:6" s="33" customFormat="1" ht="15" customHeight="1" x14ac:dyDescent="0.3">
      <c r="A67" s="37" t="s">
        <v>65</v>
      </c>
      <c r="B67" s="37" t="s">
        <v>890</v>
      </c>
      <c r="C67" s="37" t="s">
        <v>908</v>
      </c>
      <c r="D67" s="37" t="s">
        <v>909</v>
      </c>
      <c r="E67" s="37" t="s">
        <v>910</v>
      </c>
      <c r="F67" s="37" t="s">
        <v>911</v>
      </c>
    </row>
    <row r="68" spans="1:6" ht="15" customHeight="1" x14ac:dyDescent="0.3">
      <c r="A68" s="39" t="s">
        <v>66</v>
      </c>
      <c r="B68" s="39" t="s">
        <v>881</v>
      </c>
      <c r="C68" s="39" t="s">
        <v>914</v>
      </c>
      <c r="D68" s="39" t="s">
        <v>909</v>
      </c>
      <c r="E68" s="39" t="s">
        <v>915</v>
      </c>
      <c r="F68" s="39" t="s">
        <v>911</v>
      </c>
    </row>
    <row r="69" spans="1:6" ht="15" customHeight="1" x14ac:dyDescent="0.3">
      <c r="A69" s="40" t="s">
        <v>67</v>
      </c>
      <c r="B69" s="40" t="s">
        <v>881</v>
      </c>
      <c r="C69" s="40" t="s">
        <v>914</v>
      </c>
      <c r="D69" s="40" t="s">
        <v>909</v>
      </c>
      <c r="E69" s="40" t="s">
        <v>915</v>
      </c>
      <c r="F69" s="40" t="s">
        <v>911</v>
      </c>
    </row>
    <row r="70" spans="1:6" ht="15" customHeight="1" x14ac:dyDescent="0.3">
      <c r="A70" s="39" t="s">
        <v>68</v>
      </c>
      <c r="B70" s="39" t="s">
        <v>881</v>
      </c>
      <c r="C70" s="39" t="s">
        <v>914</v>
      </c>
      <c r="D70" s="39" t="s">
        <v>909</v>
      </c>
      <c r="E70" s="39" t="s">
        <v>915</v>
      </c>
      <c r="F70" s="39" t="s">
        <v>911</v>
      </c>
    </row>
    <row r="71" spans="1:6" ht="15" customHeight="1" x14ac:dyDescent="0.3">
      <c r="A71" s="40" t="s">
        <v>69</v>
      </c>
      <c r="B71" s="40" t="s">
        <v>881</v>
      </c>
      <c r="C71" s="40" t="s">
        <v>914</v>
      </c>
      <c r="D71" s="40" t="s">
        <v>909</v>
      </c>
      <c r="E71" s="40" t="s">
        <v>915</v>
      </c>
      <c r="F71" s="40" t="s">
        <v>911</v>
      </c>
    </row>
    <row r="72" spans="1:6" ht="15" customHeight="1" x14ac:dyDescent="0.3">
      <c r="A72" s="39" t="s">
        <v>70</v>
      </c>
      <c r="B72" s="39" t="s">
        <v>881</v>
      </c>
      <c r="C72" s="39" t="s">
        <v>914</v>
      </c>
      <c r="D72" s="39" t="s">
        <v>909</v>
      </c>
      <c r="E72" s="39" t="s">
        <v>915</v>
      </c>
      <c r="F72" s="39" t="s">
        <v>911</v>
      </c>
    </row>
    <row r="73" spans="1:6" ht="15" customHeight="1" x14ac:dyDescent="0.3">
      <c r="A73" s="40" t="s">
        <v>71</v>
      </c>
      <c r="B73" s="40" t="s">
        <v>881</v>
      </c>
      <c r="C73" s="40" t="s">
        <v>914</v>
      </c>
      <c r="D73" s="40" t="s">
        <v>883</v>
      </c>
      <c r="E73" s="40" t="s">
        <v>915</v>
      </c>
      <c r="F73" s="40" t="s">
        <v>911</v>
      </c>
    </row>
    <row r="74" spans="1:6" ht="28.35" customHeight="1" x14ac:dyDescent="0.3">
      <c r="A74" s="39" t="s">
        <v>72</v>
      </c>
      <c r="B74" s="39" t="s">
        <v>881</v>
      </c>
      <c r="C74" s="39" t="s">
        <v>914</v>
      </c>
      <c r="D74" s="39" t="s">
        <v>913</v>
      </c>
      <c r="E74" s="39" t="s">
        <v>915</v>
      </c>
      <c r="F74" s="39" t="s">
        <v>911</v>
      </c>
    </row>
    <row r="75" spans="1:6" ht="15" customHeight="1" x14ac:dyDescent="0.3">
      <c r="A75" s="40" t="s">
        <v>73</v>
      </c>
      <c r="B75" s="40" t="s">
        <v>881</v>
      </c>
      <c r="C75" s="40" t="s">
        <v>914</v>
      </c>
      <c r="D75" s="40" t="s">
        <v>916</v>
      </c>
      <c r="E75" s="40" t="s">
        <v>915</v>
      </c>
      <c r="F75" s="40" t="s">
        <v>911</v>
      </c>
    </row>
    <row r="76" spans="1:6" ht="15" customHeight="1" x14ac:dyDescent="0.3">
      <c r="A76" s="39" t="s">
        <v>74</v>
      </c>
      <c r="B76" s="39" t="s">
        <v>881</v>
      </c>
      <c r="C76" s="39" t="s">
        <v>914</v>
      </c>
      <c r="D76" s="39" t="s">
        <v>909</v>
      </c>
      <c r="E76" s="39" t="s">
        <v>915</v>
      </c>
      <c r="F76" s="39" t="s">
        <v>911</v>
      </c>
    </row>
    <row r="77" spans="1:6" ht="15" customHeight="1" x14ac:dyDescent="0.3">
      <c r="A77" s="40" t="s">
        <v>75</v>
      </c>
      <c r="B77" s="40" t="s">
        <v>881</v>
      </c>
      <c r="C77" s="40" t="s">
        <v>914</v>
      </c>
      <c r="D77" s="40" t="s">
        <v>883</v>
      </c>
      <c r="E77" s="40" t="s">
        <v>915</v>
      </c>
      <c r="F77" s="40" t="s">
        <v>911</v>
      </c>
    </row>
    <row r="78" spans="1:6" ht="15" customHeight="1" x14ac:dyDescent="0.3">
      <c r="A78" s="39" t="s">
        <v>76</v>
      </c>
      <c r="B78" s="39" t="s">
        <v>881</v>
      </c>
      <c r="C78" s="39" t="s">
        <v>914</v>
      </c>
      <c r="D78" s="39" t="s">
        <v>883</v>
      </c>
      <c r="E78" s="39" t="s">
        <v>915</v>
      </c>
      <c r="F78" s="39" t="s">
        <v>911</v>
      </c>
    </row>
    <row r="79" spans="1:6" ht="15" customHeight="1" x14ac:dyDescent="0.3">
      <c r="A79" s="40" t="s">
        <v>77</v>
      </c>
      <c r="B79" s="40" t="s">
        <v>881</v>
      </c>
      <c r="C79" s="40" t="s">
        <v>914</v>
      </c>
      <c r="D79" s="40" t="s">
        <v>883</v>
      </c>
      <c r="E79" s="40" t="s">
        <v>915</v>
      </c>
      <c r="F79" s="40" t="s">
        <v>911</v>
      </c>
    </row>
    <row r="80" spans="1:6" ht="15" customHeight="1" x14ac:dyDescent="0.3">
      <c r="A80" s="39" t="s">
        <v>78</v>
      </c>
      <c r="B80" s="39" t="s">
        <v>881</v>
      </c>
      <c r="C80" s="39" t="s">
        <v>914</v>
      </c>
      <c r="D80" s="39" t="s">
        <v>883</v>
      </c>
      <c r="E80" s="39" t="s">
        <v>915</v>
      </c>
      <c r="F80" s="39" t="s">
        <v>911</v>
      </c>
    </row>
    <row r="81" spans="1:6" ht="15" customHeight="1" x14ac:dyDescent="0.3">
      <c r="A81" s="40" t="s">
        <v>79</v>
      </c>
      <c r="B81" s="40" t="s">
        <v>881</v>
      </c>
      <c r="C81" s="40" t="s">
        <v>914</v>
      </c>
      <c r="D81" s="40" t="s">
        <v>883</v>
      </c>
      <c r="E81" s="40" t="s">
        <v>915</v>
      </c>
      <c r="F81" s="40" t="s">
        <v>911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54DA-9F85-44CB-9DFB-3CD6F15C9ABF}">
  <dimension ref="A1:H83"/>
  <sheetViews>
    <sheetView workbookViewId="0">
      <selection activeCell="I1" sqref="I1:I1048576"/>
    </sheetView>
  </sheetViews>
  <sheetFormatPr baseColWidth="10" defaultColWidth="8.88671875" defaultRowHeight="10.199999999999999" x14ac:dyDescent="0.2"/>
  <cols>
    <col min="1" max="1" width="5.33203125" style="41" customWidth="1"/>
    <col min="2" max="2" width="27" style="41" customWidth="1"/>
    <col min="3" max="3" width="25.33203125" style="41" customWidth="1"/>
    <col min="4" max="4" width="26" style="41" customWidth="1"/>
    <col min="5" max="5" width="29" style="41" customWidth="1"/>
    <col min="6" max="6" width="17" style="41" customWidth="1"/>
    <col min="7" max="7" width="41.88671875" style="41" customWidth="1"/>
    <col min="8" max="8" width="5.109375" style="41" customWidth="1"/>
    <col min="9" max="16384" width="8.88671875" style="41"/>
  </cols>
  <sheetData>
    <row r="1" spans="1:8" ht="20.399999999999999" x14ac:dyDescent="0.2">
      <c r="A1" s="1" t="s">
        <v>1022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</row>
    <row r="2" spans="1:8" x14ac:dyDescent="0.2">
      <c r="A2" s="42">
        <v>1</v>
      </c>
      <c r="B2" s="42" t="s">
        <v>0</v>
      </c>
      <c r="C2" s="42" t="s">
        <v>1030</v>
      </c>
      <c r="D2" s="42" t="s">
        <v>881</v>
      </c>
      <c r="E2" s="42" t="s">
        <v>882</v>
      </c>
      <c r="F2" s="42" t="s">
        <v>883</v>
      </c>
      <c r="G2" s="42" t="s">
        <v>884</v>
      </c>
      <c r="H2" s="42" t="s">
        <v>885</v>
      </c>
    </row>
    <row r="3" spans="1:8" x14ac:dyDescent="0.2">
      <c r="A3" s="42">
        <v>2</v>
      </c>
      <c r="B3" s="42" t="s">
        <v>1</v>
      </c>
      <c r="C3" s="42" t="s">
        <v>1031</v>
      </c>
      <c r="D3" s="42" t="s">
        <v>881</v>
      </c>
      <c r="E3" s="42" t="s">
        <v>882</v>
      </c>
      <c r="F3" s="42" t="s">
        <v>883</v>
      </c>
      <c r="G3" s="42" t="s">
        <v>886</v>
      </c>
      <c r="H3" s="42" t="s">
        <v>885</v>
      </c>
    </row>
    <row r="4" spans="1:8" x14ac:dyDescent="0.2">
      <c r="A4" s="42">
        <v>3</v>
      </c>
      <c r="B4" s="42" t="s">
        <v>2</v>
      </c>
      <c r="C4" s="42" t="s">
        <v>1032</v>
      </c>
      <c r="D4" s="42" t="s">
        <v>881</v>
      </c>
      <c r="E4" s="42" t="s">
        <v>882</v>
      </c>
      <c r="F4" s="42" t="s">
        <v>883</v>
      </c>
      <c r="G4" s="42" t="s">
        <v>887</v>
      </c>
      <c r="H4" s="42" t="s">
        <v>885</v>
      </c>
    </row>
    <row r="5" spans="1:8" x14ac:dyDescent="0.2">
      <c r="A5" s="42">
        <v>4</v>
      </c>
      <c r="B5" s="42" t="s">
        <v>3</v>
      </c>
      <c r="C5" s="42" t="s">
        <v>1033</v>
      </c>
      <c r="D5" s="42" t="s">
        <v>881</v>
      </c>
      <c r="E5" s="42" t="s">
        <v>882</v>
      </c>
      <c r="F5" s="42" t="s">
        <v>883</v>
      </c>
      <c r="G5" s="42" t="s">
        <v>888</v>
      </c>
      <c r="H5" s="42" t="s">
        <v>885</v>
      </c>
    </row>
    <row r="6" spans="1:8" x14ac:dyDescent="0.2">
      <c r="A6" s="42">
        <v>5</v>
      </c>
      <c r="B6" s="42" t="s">
        <v>4</v>
      </c>
      <c r="C6" s="42" t="s">
        <v>1034</v>
      </c>
      <c r="D6" s="42" t="s">
        <v>881</v>
      </c>
      <c r="E6" s="42" t="s">
        <v>882</v>
      </c>
      <c r="F6" s="42" t="s">
        <v>883</v>
      </c>
      <c r="G6" s="42" t="s">
        <v>889</v>
      </c>
      <c r="H6" s="42" t="s">
        <v>885</v>
      </c>
    </row>
    <row r="7" spans="1:8" x14ac:dyDescent="0.2">
      <c r="A7" s="42">
        <v>6</v>
      </c>
      <c r="B7" s="42" t="s">
        <v>5</v>
      </c>
      <c r="C7" s="42" t="s">
        <v>1035</v>
      </c>
      <c r="D7" s="42" t="s">
        <v>890</v>
      </c>
      <c r="E7" s="42" t="s">
        <v>891</v>
      </c>
      <c r="F7" s="42" t="s">
        <v>1036</v>
      </c>
      <c r="G7" s="42" t="s">
        <v>892</v>
      </c>
      <c r="H7" s="42" t="s">
        <v>885</v>
      </c>
    </row>
    <row r="8" spans="1:8" x14ac:dyDescent="0.2">
      <c r="A8" s="42">
        <v>7</v>
      </c>
      <c r="B8" s="42" t="s">
        <v>6</v>
      </c>
      <c r="C8" s="42" t="s">
        <v>1037</v>
      </c>
      <c r="D8" s="42" t="s">
        <v>890</v>
      </c>
      <c r="E8" s="42" t="s">
        <v>891</v>
      </c>
      <c r="F8" s="42" t="s">
        <v>1036</v>
      </c>
      <c r="G8" s="42" t="s">
        <v>892</v>
      </c>
      <c r="H8" s="42" t="s">
        <v>885</v>
      </c>
    </row>
    <row r="9" spans="1:8" x14ac:dyDescent="0.2">
      <c r="A9" s="42">
        <v>8</v>
      </c>
      <c r="B9" s="42" t="s">
        <v>7</v>
      </c>
      <c r="C9" s="42" t="s">
        <v>1038</v>
      </c>
      <c r="D9" s="42" t="s">
        <v>890</v>
      </c>
      <c r="E9" s="42" t="s">
        <v>893</v>
      </c>
      <c r="F9" s="42" t="s">
        <v>894</v>
      </c>
      <c r="G9" s="42" t="s">
        <v>892</v>
      </c>
      <c r="H9" s="42" t="s">
        <v>885</v>
      </c>
    </row>
    <row r="10" spans="1:8" x14ac:dyDescent="0.2">
      <c r="A10" s="42">
        <v>9</v>
      </c>
      <c r="B10" s="42" t="s">
        <v>8</v>
      </c>
      <c r="C10" s="42" t="s">
        <v>1039</v>
      </c>
      <c r="D10" s="42" t="s">
        <v>890</v>
      </c>
      <c r="E10" s="42" t="s">
        <v>893</v>
      </c>
      <c r="F10" s="42" t="s">
        <v>895</v>
      </c>
      <c r="G10" s="42" t="s">
        <v>892</v>
      </c>
      <c r="H10" s="42" t="s">
        <v>885</v>
      </c>
    </row>
    <row r="11" spans="1:8" x14ac:dyDescent="0.2">
      <c r="A11" s="42">
        <v>10</v>
      </c>
      <c r="B11" s="42" t="s">
        <v>9</v>
      </c>
      <c r="C11" s="42" t="s">
        <v>1040</v>
      </c>
      <c r="D11" s="42" t="s">
        <v>890</v>
      </c>
      <c r="E11" s="42" t="s">
        <v>893</v>
      </c>
      <c r="F11" s="42" t="s">
        <v>896</v>
      </c>
      <c r="G11" s="42" t="s">
        <v>892</v>
      </c>
      <c r="H11" s="42" t="s">
        <v>885</v>
      </c>
    </row>
    <row r="12" spans="1:8" x14ac:dyDescent="0.2">
      <c r="A12" s="42">
        <v>11</v>
      </c>
      <c r="B12" s="42" t="s">
        <v>10</v>
      </c>
      <c r="C12" s="42" t="s">
        <v>1041</v>
      </c>
      <c r="D12" s="42" t="s">
        <v>890</v>
      </c>
      <c r="E12" s="42" t="s">
        <v>893</v>
      </c>
      <c r="F12" s="42" t="s">
        <v>896</v>
      </c>
      <c r="G12" s="42" t="s">
        <v>892</v>
      </c>
      <c r="H12" s="42" t="s">
        <v>885</v>
      </c>
    </row>
    <row r="13" spans="1:8" x14ac:dyDescent="0.2">
      <c r="A13" s="42">
        <v>12</v>
      </c>
      <c r="B13" s="42" t="s">
        <v>11</v>
      </c>
      <c r="C13" s="42" t="s">
        <v>1042</v>
      </c>
      <c r="D13" s="42" t="s">
        <v>890</v>
      </c>
      <c r="E13" s="42" t="s">
        <v>893</v>
      </c>
      <c r="F13" s="42" t="s">
        <v>896</v>
      </c>
      <c r="G13" s="42" t="s">
        <v>892</v>
      </c>
      <c r="H13" s="42" t="s">
        <v>885</v>
      </c>
    </row>
    <row r="14" spans="1:8" x14ac:dyDescent="0.2">
      <c r="A14" s="42">
        <v>13</v>
      </c>
      <c r="B14" s="42" t="s">
        <v>12</v>
      </c>
      <c r="C14" s="42" t="s">
        <v>1043</v>
      </c>
      <c r="D14" s="42" t="s">
        <v>890</v>
      </c>
      <c r="E14" s="42" t="s">
        <v>893</v>
      </c>
      <c r="F14" s="42" t="s">
        <v>896</v>
      </c>
      <c r="G14" s="42" t="s">
        <v>892</v>
      </c>
      <c r="H14" s="42" t="s">
        <v>885</v>
      </c>
    </row>
    <row r="15" spans="1:8" x14ac:dyDescent="0.2">
      <c r="A15" s="42">
        <v>14</v>
      </c>
      <c r="B15" s="42" t="s">
        <v>13</v>
      </c>
      <c r="C15" s="42" t="s">
        <v>1044</v>
      </c>
      <c r="D15" s="42" t="s">
        <v>890</v>
      </c>
      <c r="E15" s="42" t="s">
        <v>893</v>
      </c>
      <c r="F15" s="42" t="s">
        <v>896</v>
      </c>
      <c r="G15" s="42" t="s">
        <v>892</v>
      </c>
      <c r="H15" s="42" t="s">
        <v>885</v>
      </c>
    </row>
    <row r="16" spans="1:8" x14ac:dyDescent="0.2">
      <c r="A16" s="42">
        <v>15</v>
      </c>
      <c r="B16" s="42" t="s">
        <v>14</v>
      </c>
      <c r="C16" s="42" t="s">
        <v>1045</v>
      </c>
      <c r="D16" s="42" t="s">
        <v>890</v>
      </c>
      <c r="E16" s="42" t="s">
        <v>893</v>
      </c>
      <c r="F16" s="42" t="s">
        <v>896</v>
      </c>
      <c r="G16" s="42" t="s">
        <v>892</v>
      </c>
      <c r="H16" s="42" t="s">
        <v>885</v>
      </c>
    </row>
    <row r="17" spans="1:8" x14ac:dyDescent="0.2">
      <c r="A17" s="42">
        <v>16</v>
      </c>
      <c r="B17" s="42" t="s">
        <v>15</v>
      </c>
      <c r="C17" s="42" t="s">
        <v>1046</v>
      </c>
      <c r="D17" s="42" t="s">
        <v>890</v>
      </c>
      <c r="E17" s="42" t="s">
        <v>893</v>
      </c>
      <c r="F17" s="42" t="s">
        <v>896</v>
      </c>
      <c r="G17" s="42" t="s">
        <v>892</v>
      </c>
      <c r="H17" s="42" t="s">
        <v>885</v>
      </c>
    </row>
    <row r="18" spans="1:8" x14ac:dyDescent="0.2">
      <c r="A18" s="42">
        <v>17</v>
      </c>
      <c r="B18" s="42" t="s">
        <v>16</v>
      </c>
      <c r="C18" s="42" t="s">
        <v>1047</v>
      </c>
      <c r="D18" s="42" t="s">
        <v>890</v>
      </c>
      <c r="E18" s="42" t="s">
        <v>893</v>
      </c>
      <c r="F18" s="42" t="s">
        <v>896</v>
      </c>
      <c r="G18" s="42" t="s">
        <v>892</v>
      </c>
      <c r="H18" s="42" t="s">
        <v>885</v>
      </c>
    </row>
    <row r="19" spans="1:8" x14ac:dyDescent="0.2">
      <c r="A19" s="42">
        <v>18</v>
      </c>
      <c r="B19" s="42" t="s">
        <v>17</v>
      </c>
      <c r="C19" s="42" t="s">
        <v>1048</v>
      </c>
      <c r="D19" s="42" t="s">
        <v>890</v>
      </c>
      <c r="E19" s="42" t="s">
        <v>893</v>
      </c>
      <c r="F19" s="42" t="s">
        <v>896</v>
      </c>
      <c r="G19" s="42" t="s">
        <v>892</v>
      </c>
      <c r="H19" s="42" t="s">
        <v>885</v>
      </c>
    </row>
    <row r="20" spans="1:8" x14ac:dyDescent="0.2">
      <c r="A20" s="42">
        <v>19</v>
      </c>
      <c r="B20" s="42" t="s">
        <v>18</v>
      </c>
      <c r="C20" s="42" t="s">
        <v>1049</v>
      </c>
      <c r="D20" s="42" t="s">
        <v>890</v>
      </c>
      <c r="E20" s="42" t="s">
        <v>893</v>
      </c>
      <c r="F20" s="42" t="s">
        <v>896</v>
      </c>
      <c r="G20" s="42" t="s">
        <v>892</v>
      </c>
      <c r="H20" s="42" t="s">
        <v>885</v>
      </c>
    </row>
    <row r="21" spans="1:8" x14ac:dyDescent="0.2">
      <c r="A21" s="42">
        <v>20</v>
      </c>
      <c r="B21" s="42" t="s">
        <v>19</v>
      </c>
      <c r="C21" s="42" t="s">
        <v>1050</v>
      </c>
      <c r="D21" s="42" t="s">
        <v>890</v>
      </c>
      <c r="E21" s="42" t="s">
        <v>893</v>
      </c>
      <c r="F21" s="42" t="s">
        <v>896</v>
      </c>
      <c r="G21" s="42" t="s">
        <v>892</v>
      </c>
      <c r="H21" s="42" t="s">
        <v>885</v>
      </c>
    </row>
    <row r="22" spans="1:8" x14ac:dyDescent="0.2">
      <c r="A22" s="42">
        <v>21</v>
      </c>
      <c r="B22" s="42" t="s">
        <v>20</v>
      </c>
      <c r="C22" s="42" t="s">
        <v>1051</v>
      </c>
      <c r="D22" s="42" t="s">
        <v>890</v>
      </c>
      <c r="E22" s="42" t="s">
        <v>893</v>
      </c>
      <c r="F22" s="42" t="s">
        <v>896</v>
      </c>
      <c r="G22" s="42" t="s">
        <v>892</v>
      </c>
      <c r="H22" s="42" t="s">
        <v>885</v>
      </c>
    </row>
    <row r="23" spans="1:8" x14ac:dyDescent="0.2">
      <c r="A23" s="42">
        <v>22</v>
      </c>
      <c r="B23" s="42" t="s">
        <v>21</v>
      </c>
      <c r="C23" s="42" t="s">
        <v>1052</v>
      </c>
      <c r="D23" s="42" t="s">
        <v>890</v>
      </c>
      <c r="E23" s="42" t="s">
        <v>893</v>
      </c>
      <c r="F23" s="42" t="s">
        <v>897</v>
      </c>
      <c r="G23" s="42" t="s">
        <v>892</v>
      </c>
      <c r="H23" s="42" t="s">
        <v>885</v>
      </c>
    </row>
    <row r="24" spans="1:8" x14ac:dyDescent="0.2">
      <c r="A24" s="42">
        <v>23</v>
      </c>
      <c r="B24" s="42" t="s">
        <v>22</v>
      </c>
      <c r="C24" s="42" t="s">
        <v>1053</v>
      </c>
      <c r="D24" s="42" t="s">
        <v>890</v>
      </c>
      <c r="E24" s="42" t="s">
        <v>898</v>
      </c>
      <c r="F24" s="42" t="s">
        <v>899</v>
      </c>
      <c r="G24" s="42" t="s">
        <v>892</v>
      </c>
      <c r="H24" s="42" t="s">
        <v>885</v>
      </c>
    </row>
    <row r="25" spans="1:8" x14ac:dyDescent="0.2">
      <c r="A25" s="42">
        <v>24</v>
      </c>
      <c r="B25" s="42" t="s">
        <v>23</v>
      </c>
      <c r="C25" s="42" t="s">
        <v>1054</v>
      </c>
      <c r="D25" s="42" t="s">
        <v>890</v>
      </c>
      <c r="E25" s="42" t="s">
        <v>898</v>
      </c>
      <c r="F25" s="42" t="s">
        <v>899</v>
      </c>
      <c r="G25" s="42" t="s">
        <v>892</v>
      </c>
      <c r="H25" s="42" t="s">
        <v>885</v>
      </c>
    </row>
    <row r="26" spans="1:8" x14ac:dyDescent="0.2">
      <c r="A26" s="42">
        <v>25</v>
      </c>
      <c r="B26" s="42" t="s">
        <v>24</v>
      </c>
      <c r="C26" s="42" t="s">
        <v>1055</v>
      </c>
      <c r="D26" s="42" t="s">
        <v>890</v>
      </c>
      <c r="E26" s="42" t="s">
        <v>898</v>
      </c>
      <c r="F26" s="42" t="s">
        <v>899</v>
      </c>
      <c r="G26" s="42" t="s">
        <v>892</v>
      </c>
      <c r="H26" s="42" t="s">
        <v>885</v>
      </c>
    </row>
    <row r="27" spans="1:8" x14ac:dyDescent="0.2">
      <c r="A27" s="42">
        <v>26</v>
      </c>
      <c r="B27" s="42" t="s">
        <v>25</v>
      </c>
      <c r="C27" s="42" t="s">
        <v>1056</v>
      </c>
      <c r="D27" s="42" t="s">
        <v>890</v>
      </c>
      <c r="E27" s="42" t="s">
        <v>898</v>
      </c>
      <c r="F27" s="42" t="s">
        <v>899</v>
      </c>
      <c r="G27" s="42" t="s">
        <v>892</v>
      </c>
      <c r="H27" s="42" t="s">
        <v>885</v>
      </c>
    </row>
    <row r="28" spans="1:8" x14ac:dyDescent="0.2">
      <c r="A28" s="42">
        <v>27</v>
      </c>
      <c r="B28" s="42" t="s">
        <v>26</v>
      </c>
      <c r="C28" s="42" t="s">
        <v>1057</v>
      </c>
      <c r="D28" s="42" t="s">
        <v>890</v>
      </c>
      <c r="E28" s="42" t="s">
        <v>898</v>
      </c>
      <c r="F28" s="42" t="s">
        <v>897</v>
      </c>
      <c r="G28" s="42" t="s">
        <v>892</v>
      </c>
      <c r="H28" s="42" t="s">
        <v>885</v>
      </c>
    </row>
    <row r="29" spans="1:8" x14ac:dyDescent="0.2">
      <c r="A29" s="42">
        <v>28</v>
      </c>
      <c r="B29" s="42" t="s">
        <v>27</v>
      </c>
      <c r="C29" s="42" t="s">
        <v>1058</v>
      </c>
      <c r="D29" s="42" t="s">
        <v>890</v>
      </c>
      <c r="E29" s="42" t="s">
        <v>898</v>
      </c>
      <c r="F29" s="42" t="s">
        <v>899</v>
      </c>
      <c r="G29" s="42" t="s">
        <v>892</v>
      </c>
      <c r="H29" s="42" t="s">
        <v>885</v>
      </c>
    </row>
    <row r="30" spans="1:8" x14ac:dyDescent="0.2">
      <c r="A30" s="42">
        <v>29</v>
      </c>
      <c r="B30" s="42" t="s">
        <v>28</v>
      </c>
      <c r="C30" s="42" t="s">
        <v>1059</v>
      </c>
      <c r="D30" s="42" t="s">
        <v>890</v>
      </c>
      <c r="E30" s="42" t="s">
        <v>898</v>
      </c>
      <c r="F30" s="42" t="s">
        <v>897</v>
      </c>
      <c r="G30" s="42" t="s">
        <v>892</v>
      </c>
      <c r="H30" s="42" t="s">
        <v>885</v>
      </c>
    </row>
    <row r="31" spans="1:8" x14ac:dyDescent="0.2">
      <c r="A31" s="42">
        <v>30</v>
      </c>
      <c r="B31" s="42" t="s">
        <v>29</v>
      </c>
      <c r="C31" s="42" t="s">
        <v>1060</v>
      </c>
      <c r="D31" s="42" t="s">
        <v>890</v>
      </c>
      <c r="E31" s="42" t="s">
        <v>898</v>
      </c>
      <c r="F31" s="42" t="s">
        <v>897</v>
      </c>
      <c r="G31" s="42" t="s">
        <v>892</v>
      </c>
      <c r="H31" s="42" t="s">
        <v>885</v>
      </c>
    </row>
    <row r="32" spans="1:8" x14ac:dyDescent="0.2">
      <c r="A32" s="42">
        <v>31</v>
      </c>
      <c r="B32" s="42" t="s">
        <v>30</v>
      </c>
      <c r="C32" s="42" t="s">
        <v>1061</v>
      </c>
      <c r="D32" s="42" t="s">
        <v>890</v>
      </c>
      <c r="E32" s="42" t="s">
        <v>898</v>
      </c>
      <c r="F32" s="42" t="s">
        <v>897</v>
      </c>
      <c r="G32" s="42" t="s">
        <v>892</v>
      </c>
      <c r="H32" s="42" t="s">
        <v>885</v>
      </c>
    </row>
    <row r="33" spans="1:8" x14ac:dyDescent="0.2">
      <c r="A33" s="42">
        <v>32</v>
      </c>
      <c r="B33" s="42" t="s">
        <v>31</v>
      </c>
      <c r="C33" s="42" t="s">
        <v>1062</v>
      </c>
      <c r="D33" s="42" t="s">
        <v>890</v>
      </c>
      <c r="E33" s="42" t="s">
        <v>898</v>
      </c>
      <c r="F33" s="42" t="s">
        <v>897</v>
      </c>
      <c r="G33" s="42" t="s">
        <v>892</v>
      </c>
      <c r="H33" s="42" t="s">
        <v>885</v>
      </c>
    </row>
    <row r="34" spans="1:8" x14ac:dyDescent="0.2">
      <c r="A34" s="42">
        <v>33</v>
      </c>
      <c r="B34" s="42" t="s">
        <v>32</v>
      </c>
      <c r="C34" s="42" t="s">
        <v>1063</v>
      </c>
      <c r="D34" s="42" t="s">
        <v>890</v>
      </c>
      <c r="E34" s="42" t="s">
        <v>898</v>
      </c>
      <c r="F34" s="42" t="s">
        <v>899</v>
      </c>
      <c r="G34" s="42" t="s">
        <v>892</v>
      </c>
      <c r="H34" s="42" t="s">
        <v>885</v>
      </c>
    </row>
    <row r="35" spans="1:8" x14ac:dyDescent="0.2">
      <c r="A35" s="42">
        <v>34</v>
      </c>
      <c r="B35" s="42" t="s">
        <v>33</v>
      </c>
      <c r="C35" s="42" t="s">
        <v>1064</v>
      </c>
      <c r="D35" s="42" t="s">
        <v>890</v>
      </c>
      <c r="E35" s="42" t="s">
        <v>898</v>
      </c>
      <c r="F35" s="42" t="s">
        <v>899</v>
      </c>
      <c r="G35" s="42" t="s">
        <v>892</v>
      </c>
      <c r="H35" s="42" t="s">
        <v>885</v>
      </c>
    </row>
    <row r="36" spans="1:8" x14ac:dyDescent="0.2">
      <c r="A36" s="42">
        <v>35</v>
      </c>
      <c r="B36" s="42" t="s">
        <v>34</v>
      </c>
      <c r="C36" s="42" t="s">
        <v>1065</v>
      </c>
      <c r="D36" s="42" t="s">
        <v>890</v>
      </c>
      <c r="E36" s="42" t="s">
        <v>898</v>
      </c>
      <c r="F36" s="42" t="s">
        <v>897</v>
      </c>
      <c r="G36" s="42" t="s">
        <v>892</v>
      </c>
      <c r="H36" s="42" t="s">
        <v>885</v>
      </c>
    </row>
    <row r="37" spans="1:8" x14ac:dyDescent="0.2">
      <c r="A37" s="42">
        <v>36</v>
      </c>
      <c r="B37" s="42" t="s">
        <v>35</v>
      </c>
      <c r="C37" s="42" t="s">
        <v>1066</v>
      </c>
      <c r="D37" s="42" t="s">
        <v>890</v>
      </c>
      <c r="E37" s="42" t="s">
        <v>898</v>
      </c>
      <c r="F37" s="42" t="s">
        <v>899</v>
      </c>
      <c r="G37" s="42" t="s">
        <v>892</v>
      </c>
      <c r="H37" s="42" t="s">
        <v>885</v>
      </c>
    </row>
    <row r="38" spans="1:8" x14ac:dyDescent="0.2">
      <c r="A38" s="42">
        <v>37</v>
      </c>
      <c r="B38" s="42" t="s">
        <v>36</v>
      </c>
      <c r="C38" s="42" t="s">
        <v>1067</v>
      </c>
      <c r="D38" s="42" t="s">
        <v>890</v>
      </c>
      <c r="E38" s="42" t="s">
        <v>898</v>
      </c>
      <c r="F38" s="42" t="s">
        <v>897</v>
      </c>
      <c r="G38" s="42" t="s">
        <v>892</v>
      </c>
      <c r="H38" s="42" t="s">
        <v>885</v>
      </c>
    </row>
    <row r="39" spans="1:8" x14ac:dyDescent="0.2">
      <c r="A39" s="42">
        <v>38</v>
      </c>
      <c r="B39" s="42" t="s">
        <v>37</v>
      </c>
      <c r="C39" s="42" t="s">
        <v>1068</v>
      </c>
      <c r="D39" s="42" t="s">
        <v>890</v>
      </c>
      <c r="E39" s="42" t="s">
        <v>900</v>
      </c>
      <c r="F39" s="42" t="s">
        <v>897</v>
      </c>
      <c r="G39" s="42" t="s">
        <v>892</v>
      </c>
      <c r="H39" s="42" t="s">
        <v>885</v>
      </c>
    </row>
    <row r="40" spans="1:8" x14ac:dyDescent="0.2">
      <c r="A40" s="42">
        <v>39</v>
      </c>
      <c r="B40" s="42" t="s">
        <v>38</v>
      </c>
      <c r="C40" s="42" t="s">
        <v>1069</v>
      </c>
      <c r="D40" s="42" t="s">
        <v>890</v>
      </c>
      <c r="E40" s="42" t="s">
        <v>900</v>
      </c>
      <c r="F40" s="42" t="s">
        <v>897</v>
      </c>
      <c r="G40" s="42" t="s">
        <v>892</v>
      </c>
      <c r="H40" s="42" t="s">
        <v>885</v>
      </c>
    </row>
    <row r="41" spans="1:8" x14ac:dyDescent="0.2">
      <c r="A41" s="42">
        <v>40</v>
      </c>
      <c r="B41" s="42" t="s">
        <v>39</v>
      </c>
      <c r="C41" s="42" t="s">
        <v>1070</v>
      </c>
      <c r="D41" s="42" t="s">
        <v>890</v>
      </c>
      <c r="E41" s="42" t="s">
        <v>900</v>
      </c>
      <c r="F41" s="42" t="s">
        <v>897</v>
      </c>
      <c r="G41" s="42" t="s">
        <v>892</v>
      </c>
      <c r="H41" s="42" t="s">
        <v>885</v>
      </c>
    </row>
    <row r="42" spans="1:8" x14ac:dyDescent="0.2">
      <c r="A42" s="42">
        <v>41</v>
      </c>
      <c r="B42" s="42" t="s">
        <v>40</v>
      </c>
      <c r="C42" s="42" t="s">
        <v>1071</v>
      </c>
      <c r="D42" s="42" t="s">
        <v>890</v>
      </c>
      <c r="E42" s="42" t="s">
        <v>900</v>
      </c>
      <c r="F42" s="42" t="s">
        <v>899</v>
      </c>
      <c r="G42" s="42" t="s">
        <v>892</v>
      </c>
      <c r="H42" s="42" t="s">
        <v>885</v>
      </c>
    </row>
    <row r="43" spans="1:8" x14ac:dyDescent="0.2">
      <c r="A43" s="42">
        <v>42</v>
      </c>
      <c r="B43" s="42" t="s">
        <v>41</v>
      </c>
      <c r="C43" s="42" t="s">
        <v>1072</v>
      </c>
      <c r="D43" s="42" t="s">
        <v>890</v>
      </c>
      <c r="E43" s="42" t="s">
        <v>900</v>
      </c>
      <c r="F43" s="42" t="s">
        <v>897</v>
      </c>
      <c r="G43" s="42" t="s">
        <v>892</v>
      </c>
      <c r="H43" s="42" t="s">
        <v>885</v>
      </c>
    </row>
    <row r="44" spans="1:8" x14ac:dyDescent="0.2">
      <c r="A44" s="42">
        <v>43</v>
      </c>
      <c r="B44" s="42" t="s">
        <v>42</v>
      </c>
      <c r="C44" s="42" t="s">
        <v>1073</v>
      </c>
      <c r="D44" s="42" t="s">
        <v>890</v>
      </c>
      <c r="E44" s="42" t="s">
        <v>900</v>
      </c>
      <c r="F44" s="42" t="s">
        <v>897</v>
      </c>
      <c r="G44" s="42" t="s">
        <v>892</v>
      </c>
      <c r="H44" s="42" t="s">
        <v>885</v>
      </c>
    </row>
    <row r="45" spans="1:8" x14ac:dyDescent="0.2">
      <c r="A45" s="42">
        <v>44</v>
      </c>
      <c r="B45" s="42" t="s">
        <v>43</v>
      </c>
      <c r="C45" s="42" t="s">
        <v>1074</v>
      </c>
      <c r="D45" s="42" t="s">
        <v>890</v>
      </c>
      <c r="E45" s="42" t="s">
        <v>900</v>
      </c>
      <c r="F45" s="42" t="s">
        <v>897</v>
      </c>
      <c r="G45" s="42" t="s">
        <v>892</v>
      </c>
      <c r="H45" s="42" t="s">
        <v>885</v>
      </c>
    </row>
    <row r="46" spans="1:8" x14ac:dyDescent="0.2">
      <c r="A46" s="42">
        <v>45</v>
      </c>
      <c r="B46" s="42" t="s">
        <v>44</v>
      </c>
      <c r="C46" s="42" t="s">
        <v>1075</v>
      </c>
      <c r="D46" s="42" t="s">
        <v>890</v>
      </c>
      <c r="E46" s="42" t="s">
        <v>900</v>
      </c>
      <c r="F46" s="42" t="s">
        <v>897</v>
      </c>
      <c r="G46" s="42" t="s">
        <v>892</v>
      </c>
      <c r="H46" s="42" t="s">
        <v>885</v>
      </c>
    </row>
    <row r="47" spans="1:8" x14ac:dyDescent="0.2">
      <c r="A47" s="42">
        <v>46</v>
      </c>
      <c r="B47" s="42" t="s">
        <v>45</v>
      </c>
      <c r="C47" s="42" t="s">
        <v>1076</v>
      </c>
      <c r="D47" s="42" t="s">
        <v>890</v>
      </c>
      <c r="E47" s="42" t="s">
        <v>900</v>
      </c>
      <c r="F47" s="42" t="s">
        <v>897</v>
      </c>
      <c r="G47" s="42" t="s">
        <v>892</v>
      </c>
      <c r="H47" s="42" t="s">
        <v>885</v>
      </c>
    </row>
    <row r="48" spans="1:8" x14ac:dyDescent="0.2">
      <c r="A48" s="42">
        <v>47</v>
      </c>
      <c r="B48" s="42" t="s">
        <v>46</v>
      </c>
      <c r="C48" s="42" t="s">
        <v>1077</v>
      </c>
      <c r="D48" s="42" t="s">
        <v>890</v>
      </c>
      <c r="E48" s="42" t="s">
        <v>900</v>
      </c>
      <c r="F48" s="42" t="s">
        <v>897</v>
      </c>
      <c r="G48" s="42" t="s">
        <v>892</v>
      </c>
      <c r="H48" s="42" t="s">
        <v>885</v>
      </c>
    </row>
    <row r="49" spans="1:8" x14ac:dyDescent="0.2">
      <c r="A49" s="42">
        <v>48</v>
      </c>
      <c r="B49" s="42" t="s">
        <v>47</v>
      </c>
      <c r="C49" s="42" t="s">
        <v>1078</v>
      </c>
      <c r="D49" s="42" t="s">
        <v>890</v>
      </c>
      <c r="E49" s="42" t="s">
        <v>900</v>
      </c>
      <c r="F49" s="42" t="s">
        <v>899</v>
      </c>
      <c r="G49" s="42" t="s">
        <v>892</v>
      </c>
      <c r="H49" s="42" t="s">
        <v>885</v>
      </c>
    </row>
    <row r="50" spans="1:8" x14ac:dyDescent="0.2">
      <c r="A50" s="42">
        <v>49</v>
      </c>
      <c r="B50" s="42" t="s">
        <v>48</v>
      </c>
      <c r="C50" s="42" t="s">
        <v>1079</v>
      </c>
      <c r="D50" s="42" t="s">
        <v>890</v>
      </c>
      <c r="E50" s="42" t="s">
        <v>901</v>
      </c>
      <c r="F50" s="42" t="s">
        <v>896</v>
      </c>
      <c r="G50" s="42" t="s">
        <v>902</v>
      </c>
      <c r="H50" s="42" t="s">
        <v>885</v>
      </c>
    </row>
    <row r="51" spans="1:8" ht="20.399999999999999" x14ac:dyDescent="0.2">
      <c r="A51" s="42">
        <v>50</v>
      </c>
      <c r="B51" s="42" t="s">
        <v>49</v>
      </c>
      <c r="C51" s="42" t="s">
        <v>1080</v>
      </c>
      <c r="D51" s="42" t="s">
        <v>881</v>
      </c>
      <c r="E51" s="42" t="s">
        <v>901</v>
      </c>
      <c r="F51" s="42" t="s">
        <v>883</v>
      </c>
      <c r="G51" s="42" t="s">
        <v>903</v>
      </c>
      <c r="H51" s="42" t="s">
        <v>885</v>
      </c>
    </row>
    <row r="52" spans="1:8" x14ac:dyDescent="0.2">
      <c r="A52" s="42">
        <v>51</v>
      </c>
      <c r="B52" s="42" t="s">
        <v>50</v>
      </c>
      <c r="C52" s="42" t="s">
        <v>1081</v>
      </c>
      <c r="D52" s="42" t="s">
        <v>890</v>
      </c>
      <c r="E52" s="42" t="s">
        <v>901</v>
      </c>
      <c r="F52" s="42" t="s">
        <v>896</v>
      </c>
      <c r="G52" s="42" t="s">
        <v>904</v>
      </c>
      <c r="H52" s="42" t="s">
        <v>885</v>
      </c>
    </row>
    <row r="53" spans="1:8" x14ac:dyDescent="0.2">
      <c r="A53" s="42">
        <v>52</v>
      </c>
      <c r="B53" s="42" t="s">
        <v>51</v>
      </c>
      <c r="C53" s="42" t="s">
        <v>1082</v>
      </c>
      <c r="D53" s="42" t="s">
        <v>890</v>
      </c>
      <c r="E53" s="42" t="s">
        <v>901</v>
      </c>
      <c r="F53" s="42" t="s">
        <v>897</v>
      </c>
      <c r="G53" s="42" t="s">
        <v>905</v>
      </c>
      <c r="H53" s="42" t="s">
        <v>885</v>
      </c>
    </row>
    <row r="54" spans="1:8" ht="20.399999999999999" x14ac:dyDescent="0.2">
      <c r="A54" s="42">
        <v>53</v>
      </c>
      <c r="B54" s="42" t="s">
        <v>52</v>
      </c>
      <c r="C54" s="42" t="s">
        <v>1083</v>
      </c>
      <c r="D54" s="42" t="s">
        <v>890</v>
      </c>
      <c r="E54" s="42" t="s">
        <v>901</v>
      </c>
      <c r="F54" s="42" t="s">
        <v>906</v>
      </c>
      <c r="G54" s="42" t="s">
        <v>907</v>
      </c>
      <c r="H54" s="42" t="s">
        <v>885</v>
      </c>
    </row>
    <row r="55" spans="1:8" ht="20.399999999999999" x14ac:dyDescent="0.2">
      <c r="A55" s="42">
        <v>54</v>
      </c>
      <c r="B55" s="42" t="s">
        <v>924</v>
      </c>
      <c r="C55" s="42" t="s">
        <v>1084</v>
      </c>
      <c r="D55" s="42" t="s">
        <v>890</v>
      </c>
      <c r="E55" s="42" t="s">
        <v>908</v>
      </c>
      <c r="F55" s="42" t="s">
        <v>909</v>
      </c>
      <c r="G55" s="42" t="s">
        <v>910</v>
      </c>
      <c r="H55" s="42" t="s">
        <v>911</v>
      </c>
    </row>
    <row r="56" spans="1:8" ht="20.399999999999999" x14ac:dyDescent="0.2">
      <c r="A56" s="42">
        <v>55</v>
      </c>
      <c r="B56" s="42" t="s">
        <v>54</v>
      </c>
      <c r="C56" s="42" t="s">
        <v>1085</v>
      </c>
      <c r="D56" s="42" t="s">
        <v>890</v>
      </c>
      <c r="E56" s="42" t="s">
        <v>908</v>
      </c>
      <c r="F56" s="42" t="s">
        <v>909</v>
      </c>
      <c r="G56" s="42" t="s">
        <v>910</v>
      </c>
      <c r="H56" s="42" t="s">
        <v>911</v>
      </c>
    </row>
    <row r="57" spans="1:8" ht="20.399999999999999" x14ac:dyDescent="0.2">
      <c r="A57" s="42">
        <v>56</v>
      </c>
      <c r="B57" s="42" t="s">
        <v>55</v>
      </c>
      <c r="C57" s="42" t="s">
        <v>1086</v>
      </c>
      <c r="D57" s="42" t="s">
        <v>890</v>
      </c>
      <c r="E57" s="42" t="s">
        <v>908</v>
      </c>
      <c r="F57" s="42" t="s">
        <v>909</v>
      </c>
      <c r="G57" s="42" t="s">
        <v>910</v>
      </c>
      <c r="H57" s="42" t="s">
        <v>911</v>
      </c>
    </row>
    <row r="58" spans="1:8" ht="20.399999999999999" x14ac:dyDescent="0.2">
      <c r="A58" s="42">
        <v>57</v>
      </c>
      <c r="B58" s="42" t="s">
        <v>56</v>
      </c>
      <c r="C58" s="42" t="s">
        <v>1087</v>
      </c>
      <c r="D58" s="42" t="s">
        <v>890</v>
      </c>
      <c r="E58" s="42" t="s">
        <v>908</v>
      </c>
      <c r="F58" s="42" t="s">
        <v>909</v>
      </c>
      <c r="G58" s="42" t="s">
        <v>910</v>
      </c>
      <c r="H58" s="42" t="s">
        <v>911</v>
      </c>
    </row>
    <row r="59" spans="1:8" ht="20.399999999999999" x14ac:dyDescent="0.2">
      <c r="A59" s="42">
        <v>58</v>
      </c>
      <c r="B59" s="42" t="s">
        <v>57</v>
      </c>
      <c r="C59" s="42" t="s">
        <v>1088</v>
      </c>
      <c r="D59" s="42" t="s">
        <v>890</v>
      </c>
      <c r="E59" s="42" t="s">
        <v>908</v>
      </c>
      <c r="F59" s="42" t="s">
        <v>909</v>
      </c>
      <c r="G59" s="42" t="s">
        <v>910</v>
      </c>
      <c r="H59" s="42" t="s">
        <v>911</v>
      </c>
    </row>
    <row r="60" spans="1:8" ht="20.399999999999999" x14ac:dyDescent="0.2">
      <c r="A60" s="42">
        <v>59</v>
      </c>
      <c r="B60" s="42" t="s">
        <v>58</v>
      </c>
      <c r="C60" s="42" t="s">
        <v>1089</v>
      </c>
      <c r="D60" s="42" t="s">
        <v>890</v>
      </c>
      <c r="E60" s="42" t="s">
        <v>908</v>
      </c>
      <c r="F60" s="42" t="s">
        <v>912</v>
      </c>
      <c r="G60" s="42" t="s">
        <v>910</v>
      </c>
      <c r="H60" s="42" t="s">
        <v>911</v>
      </c>
    </row>
    <row r="61" spans="1:8" ht="20.399999999999999" x14ac:dyDescent="0.2">
      <c r="A61" s="42">
        <v>60</v>
      </c>
      <c r="B61" s="42" t="s">
        <v>59</v>
      </c>
      <c r="C61" s="42" t="s">
        <v>1090</v>
      </c>
      <c r="D61" s="42" t="s">
        <v>890</v>
      </c>
      <c r="E61" s="42" t="s">
        <v>908</v>
      </c>
      <c r="F61" s="42" t="s">
        <v>912</v>
      </c>
      <c r="G61" s="42" t="s">
        <v>910</v>
      </c>
      <c r="H61" s="42" t="s">
        <v>911</v>
      </c>
    </row>
    <row r="62" spans="1:8" ht="20.399999999999999" x14ac:dyDescent="0.2">
      <c r="A62" s="42">
        <v>61</v>
      </c>
      <c r="B62" s="42" t="s">
        <v>60</v>
      </c>
      <c r="C62" s="42" t="s">
        <v>1091</v>
      </c>
      <c r="D62" s="42" t="s">
        <v>890</v>
      </c>
      <c r="E62" s="42" t="s">
        <v>908</v>
      </c>
      <c r="F62" s="42" t="s">
        <v>1036</v>
      </c>
      <c r="G62" s="42" t="s">
        <v>910</v>
      </c>
      <c r="H62" s="42" t="s">
        <v>911</v>
      </c>
    </row>
    <row r="63" spans="1:8" ht="20.399999999999999" x14ac:dyDescent="0.2">
      <c r="A63" s="42">
        <v>62</v>
      </c>
      <c r="B63" s="42" t="s">
        <v>61</v>
      </c>
      <c r="C63" s="42" t="s">
        <v>1092</v>
      </c>
      <c r="D63" s="42" t="s">
        <v>890</v>
      </c>
      <c r="E63" s="42" t="s">
        <v>908</v>
      </c>
      <c r="F63" s="42" t="s">
        <v>912</v>
      </c>
      <c r="G63" s="42" t="s">
        <v>910</v>
      </c>
      <c r="H63" s="42" t="s">
        <v>911</v>
      </c>
    </row>
    <row r="64" spans="1:8" ht="20.399999999999999" x14ac:dyDescent="0.2">
      <c r="A64" s="42">
        <v>63</v>
      </c>
      <c r="B64" s="42" t="s">
        <v>62</v>
      </c>
      <c r="C64" s="42" t="s">
        <v>1093</v>
      </c>
      <c r="D64" s="42" t="s">
        <v>890</v>
      </c>
      <c r="E64" s="42" t="s">
        <v>908</v>
      </c>
      <c r="F64" s="42" t="s">
        <v>912</v>
      </c>
      <c r="G64" s="42" t="s">
        <v>910</v>
      </c>
      <c r="H64" s="42" t="s">
        <v>911</v>
      </c>
    </row>
    <row r="65" spans="1:8" ht="20.399999999999999" x14ac:dyDescent="0.2">
      <c r="A65" s="42">
        <v>64</v>
      </c>
      <c r="B65" s="42" t="s">
        <v>63</v>
      </c>
      <c r="C65" s="42" t="s">
        <v>1094</v>
      </c>
      <c r="D65" s="42" t="s">
        <v>890</v>
      </c>
      <c r="E65" s="42" t="s">
        <v>908</v>
      </c>
      <c r="F65" s="42" t="s">
        <v>912</v>
      </c>
      <c r="G65" s="42" t="s">
        <v>910</v>
      </c>
      <c r="H65" s="42" t="s">
        <v>911</v>
      </c>
    </row>
    <row r="66" spans="1:8" ht="20.399999999999999" x14ac:dyDescent="0.2">
      <c r="A66" s="42">
        <v>65</v>
      </c>
      <c r="B66" s="42" t="s">
        <v>64</v>
      </c>
      <c r="C66" s="42" t="s">
        <v>1095</v>
      </c>
      <c r="D66" s="42" t="s">
        <v>890</v>
      </c>
      <c r="E66" s="42" t="s">
        <v>908</v>
      </c>
      <c r="F66" s="42" t="s">
        <v>913</v>
      </c>
      <c r="G66" s="42" t="s">
        <v>910</v>
      </c>
      <c r="H66" s="42" t="s">
        <v>911</v>
      </c>
    </row>
    <row r="67" spans="1:8" ht="20.399999999999999" x14ac:dyDescent="0.2">
      <c r="A67" s="42">
        <v>66</v>
      </c>
      <c r="B67" s="42" t="s">
        <v>65</v>
      </c>
      <c r="C67" s="42" t="s">
        <v>1096</v>
      </c>
      <c r="D67" s="42" t="s">
        <v>890</v>
      </c>
      <c r="E67" s="42" t="s">
        <v>908</v>
      </c>
      <c r="F67" s="42" t="s">
        <v>909</v>
      </c>
      <c r="G67" s="42" t="s">
        <v>910</v>
      </c>
      <c r="H67" s="42" t="s">
        <v>911</v>
      </c>
    </row>
    <row r="68" spans="1:8" x14ac:dyDescent="0.2">
      <c r="A68" s="42">
        <v>67</v>
      </c>
      <c r="B68" s="42" t="s">
        <v>66</v>
      </c>
      <c r="C68" s="42" t="s">
        <v>1097</v>
      </c>
      <c r="D68" s="42" t="s">
        <v>881</v>
      </c>
      <c r="E68" s="42" t="s">
        <v>914</v>
      </c>
      <c r="F68" s="42" t="s">
        <v>909</v>
      </c>
      <c r="G68" s="42" t="s">
        <v>915</v>
      </c>
      <c r="H68" s="42" t="s">
        <v>911</v>
      </c>
    </row>
    <row r="69" spans="1:8" x14ac:dyDescent="0.2">
      <c r="A69" s="42">
        <v>68</v>
      </c>
      <c r="B69" s="42" t="s">
        <v>67</v>
      </c>
      <c r="C69" s="42" t="s">
        <v>1098</v>
      </c>
      <c r="D69" s="42" t="s">
        <v>881</v>
      </c>
      <c r="E69" s="42" t="s">
        <v>914</v>
      </c>
      <c r="F69" s="42" t="s">
        <v>909</v>
      </c>
      <c r="G69" s="42" t="s">
        <v>915</v>
      </c>
      <c r="H69" s="42" t="s">
        <v>911</v>
      </c>
    </row>
    <row r="70" spans="1:8" x14ac:dyDescent="0.2">
      <c r="A70" s="42">
        <v>69</v>
      </c>
      <c r="B70" s="42" t="s">
        <v>917</v>
      </c>
      <c r="C70" s="42" t="s">
        <v>1099</v>
      </c>
      <c r="D70" s="42" t="s">
        <v>881</v>
      </c>
      <c r="E70" s="42" t="s">
        <v>914</v>
      </c>
      <c r="F70" s="42" t="s">
        <v>909</v>
      </c>
      <c r="G70" s="42" t="s">
        <v>915</v>
      </c>
      <c r="H70" s="42" t="s">
        <v>911</v>
      </c>
    </row>
    <row r="71" spans="1:8" x14ac:dyDescent="0.2">
      <c r="A71" s="42">
        <v>70</v>
      </c>
      <c r="B71" s="42" t="s">
        <v>69</v>
      </c>
      <c r="C71" s="42" t="s">
        <v>1100</v>
      </c>
      <c r="D71" s="42" t="s">
        <v>881</v>
      </c>
      <c r="E71" s="42" t="s">
        <v>914</v>
      </c>
      <c r="F71" s="42" t="s">
        <v>909</v>
      </c>
      <c r="G71" s="42" t="s">
        <v>915</v>
      </c>
      <c r="H71" s="42" t="s">
        <v>911</v>
      </c>
    </row>
    <row r="72" spans="1:8" x14ac:dyDescent="0.2">
      <c r="A72" s="42">
        <v>71</v>
      </c>
      <c r="B72" s="42" t="s">
        <v>70</v>
      </c>
      <c r="C72" s="42" t="s">
        <v>1101</v>
      </c>
      <c r="D72" s="42" t="s">
        <v>881</v>
      </c>
      <c r="E72" s="42" t="s">
        <v>914</v>
      </c>
      <c r="F72" s="42" t="s">
        <v>909</v>
      </c>
      <c r="G72" s="42" t="s">
        <v>915</v>
      </c>
      <c r="H72" s="42" t="s">
        <v>911</v>
      </c>
    </row>
    <row r="73" spans="1:8" x14ac:dyDescent="0.2">
      <c r="A73" s="42">
        <v>72</v>
      </c>
      <c r="B73" s="42" t="s">
        <v>71</v>
      </c>
      <c r="C73" s="42" t="s">
        <v>1102</v>
      </c>
      <c r="D73" s="42" t="s">
        <v>881</v>
      </c>
      <c r="E73" s="42" t="s">
        <v>914</v>
      </c>
      <c r="F73" s="42" t="s">
        <v>883</v>
      </c>
      <c r="G73" s="42" t="s">
        <v>915</v>
      </c>
      <c r="H73" s="42" t="s">
        <v>911</v>
      </c>
    </row>
    <row r="74" spans="1:8" ht="20.399999999999999" x14ac:dyDescent="0.2">
      <c r="A74" s="42">
        <v>73</v>
      </c>
      <c r="B74" s="42" t="s">
        <v>72</v>
      </c>
      <c r="C74" s="42" t="s">
        <v>1103</v>
      </c>
      <c r="D74" s="42" t="s">
        <v>881</v>
      </c>
      <c r="E74" s="42" t="s">
        <v>914</v>
      </c>
      <c r="F74" s="42" t="s">
        <v>913</v>
      </c>
      <c r="G74" s="42" t="s">
        <v>915</v>
      </c>
      <c r="H74" s="42" t="s">
        <v>911</v>
      </c>
    </row>
    <row r="75" spans="1:8" x14ac:dyDescent="0.2">
      <c r="A75" s="42">
        <v>74</v>
      </c>
      <c r="B75" s="42" t="s">
        <v>73</v>
      </c>
      <c r="C75" s="42" t="s">
        <v>1104</v>
      </c>
      <c r="D75" s="42" t="s">
        <v>881</v>
      </c>
      <c r="E75" s="42" t="s">
        <v>914</v>
      </c>
      <c r="F75" s="42" t="s">
        <v>916</v>
      </c>
      <c r="G75" s="42" t="s">
        <v>915</v>
      </c>
      <c r="H75" s="42" t="s">
        <v>911</v>
      </c>
    </row>
    <row r="76" spans="1:8" x14ac:dyDescent="0.2">
      <c r="A76" s="42">
        <v>75</v>
      </c>
      <c r="B76" s="42" t="s">
        <v>74</v>
      </c>
      <c r="C76" s="42" t="s">
        <v>1105</v>
      </c>
      <c r="D76" s="42" t="s">
        <v>881</v>
      </c>
      <c r="E76" s="42" t="s">
        <v>914</v>
      </c>
      <c r="F76" s="42" t="s">
        <v>909</v>
      </c>
      <c r="G76" s="42" t="s">
        <v>915</v>
      </c>
      <c r="H76" s="42" t="s">
        <v>911</v>
      </c>
    </row>
    <row r="77" spans="1:8" x14ac:dyDescent="0.2">
      <c r="A77" s="42">
        <v>76</v>
      </c>
      <c r="B77" s="42" t="s">
        <v>75</v>
      </c>
      <c r="C77" s="42" t="s">
        <v>1106</v>
      </c>
      <c r="D77" s="42" t="s">
        <v>881</v>
      </c>
      <c r="E77" s="42" t="s">
        <v>914</v>
      </c>
      <c r="F77" s="42" t="s">
        <v>883</v>
      </c>
      <c r="G77" s="42" t="s">
        <v>915</v>
      </c>
      <c r="H77" s="42" t="s">
        <v>911</v>
      </c>
    </row>
    <row r="78" spans="1:8" x14ac:dyDescent="0.2">
      <c r="A78" s="42">
        <v>77</v>
      </c>
      <c r="B78" s="42" t="s">
        <v>76</v>
      </c>
      <c r="C78" s="42" t="s">
        <v>1107</v>
      </c>
      <c r="D78" s="42" t="s">
        <v>881</v>
      </c>
      <c r="E78" s="42" t="s">
        <v>914</v>
      </c>
      <c r="F78" s="42" t="s">
        <v>883</v>
      </c>
      <c r="G78" s="42" t="s">
        <v>915</v>
      </c>
      <c r="H78" s="42" t="s">
        <v>911</v>
      </c>
    </row>
    <row r="79" spans="1:8" x14ac:dyDescent="0.2">
      <c r="A79" s="42">
        <v>78</v>
      </c>
      <c r="B79" s="42" t="s">
        <v>77</v>
      </c>
      <c r="C79" s="42" t="s">
        <v>1108</v>
      </c>
      <c r="D79" s="42" t="s">
        <v>881</v>
      </c>
      <c r="E79" s="42" t="s">
        <v>914</v>
      </c>
      <c r="F79" s="42" t="s">
        <v>883</v>
      </c>
      <c r="G79" s="42" t="s">
        <v>915</v>
      </c>
      <c r="H79" s="42" t="s">
        <v>911</v>
      </c>
    </row>
    <row r="80" spans="1:8" x14ac:dyDescent="0.2">
      <c r="A80" s="42">
        <v>79</v>
      </c>
      <c r="B80" s="42" t="s">
        <v>78</v>
      </c>
      <c r="C80" s="42" t="s">
        <v>1109</v>
      </c>
      <c r="D80" s="42" t="s">
        <v>881</v>
      </c>
      <c r="E80" s="42" t="s">
        <v>914</v>
      </c>
      <c r="F80" s="42" t="s">
        <v>883</v>
      </c>
      <c r="G80" s="42" t="s">
        <v>915</v>
      </c>
      <c r="H80" s="42" t="s">
        <v>911</v>
      </c>
    </row>
    <row r="81" spans="1:8" x14ac:dyDescent="0.2">
      <c r="A81" s="42">
        <v>80</v>
      </c>
      <c r="B81" s="42" t="s">
        <v>1020</v>
      </c>
      <c r="C81" s="42" t="s">
        <v>1110</v>
      </c>
      <c r="D81" s="42" t="s">
        <v>1111</v>
      </c>
      <c r="E81" s="42" t="s">
        <v>1111</v>
      </c>
      <c r="F81" s="42" t="s">
        <v>883</v>
      </c>
      <c r="G81" s="42" t="s">
        <v>1112</v>
      </c>
      <c r="H81" s="42" t="s">
        <v>911</v>
      </c>
    </row>
    <row r="82" spans="1:8" x14ac:dyDescent="0.2">
      <c r="A82" s="42">
        <v>81</v>
      </c>
      <c r="B82" s="42" t="s">
        <v>1021</v>
      </c>
      <c r="C82" s="42" t="s">
        <v>1113</v>
      </c>
      <c r="D82" s="42" t="s">
        <v>1111</v>
      </c>
      <c r="E82" s="42" t="s">
        <v>1111</v>
      </c>
      <c r="F82" s="42" t="s">
        <v>883</v>
      </c>
      <c r="G82" s="42" t="s">
        <v>1114</v>
      </c>
      <c r="H82" s="42" t="s">
        <v>911</v>
      </c>
    </row>
    <row r="83" spans="1:8" x14ac:dyDescent="0.2">
      <c r="A83" s="42">
        <v>82</v>
      </c>
      <c r="B83" s="42" t="s">
        <v>79</v>
      </c>
      <c r="C83" s="42" t="s">
        <v>1115</v>
      </c>
      <c r="D83" s="42" t="s">
        <v>881</v>
      </c>
      <c r="E83" s="42" t="s">
        <v>914</v>
      </c>
      <c r="F83" s="42" t="s">
        <v>883</v>
      </c>
      <c r="G83" s="42" t="s">
        <v>915</v>
      </c>
      <c r="H83" s="42" t="s">
        <v>911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32" customWidth="1"/>
    <col min="2" max="2" width="28" customWidth="1"/>
    <col min="3" max="3" width="46" customWidth="1"/>
    <col min="4" max="4" width="30" customWidth="1"/>
    <col min="5" max="5" width="18" customWidth="1"/>
    <col min="6" max="6" width="48" customWidth="1"/>
  </cols>
  <sheetData>
    <row r="1" spans="1:6" x14ac:dyDescent="0.3">
      <c r="A1" s="8" t="s">
        <v>918</v>
      </c>
      <c r="B1" s="8" t="s">
        <v>919</v>
      </c>
      <c r="C1" s="8" t="s">
        <v>920</v>
      </c>
      <c r="D1" s="8" t="s">
        <v>921</v>
      </c>
      <c r="E1" s="8" t="s">
        <v>922</v>
      </c>
      <c r="F1" s="8" t="s">
        <v>923</v>
      </c>
    </row>
    <row r="2" spans="1:6" x14ac:dyDescent="0.3">
      <c r="A2" s="9" t="s">
        <v>924</v>
      </c>
      <c r="B2" s="9" t="s">
        <v>925</v>
      </c>
      <c r="C2" s="9" t="s">
        <v>1017</v>
      </c>
      <c r="D2" s="9" t="s">
        <v>926</v>
      </c>
      <c r="E2" s="9" t="s">
        <v>927</v>
      </c>
      <c r="F2" s="9" t="s">
        <v>928</v>
      </c>
    </row>
    <row r="3" spans="1:6" x14ac:dyDescent="0.3">
      <c r="A3" s="9" t="s">
        <v>54</v>
      </c>
      <c r="B3" s="9" t="s">
        <v>929</v>
      </c>
      <c r="C3" s="9" t="s">
        <v>1018</v>
      </c>
      <c r="D3" s="9" t="s">
        <v>930</v>
      </c>
      <c r="E3" s="9" t="s">
        <v>927</v>
      </c>
      <c r="F3" s="9" t="s">
        <v>931</v>
      </c>
    </row>
    <row r="4" spans="1:6" x14ac:dyDescent="0.3">
      <c r="A4" s="9" t="s">
        <v>55</v>
      </c>
      <c r="B4" s="9" t="s">
        <v>932</v>
      </c>
      <c r="C4" s="9" t="s">
        <v>1016</v>
      </c>
      <c r="D4" s="9" t="s">
        <v>933</v>
      </c>
      <c r="E4" s="9" t="s">
        <v>934</v>
      </c>
      <c r="F4" s="9" t="s">
        <v>935</v>
      </c>
    </row>
    <row r="5" spans="1:6" x14ac:dyDescent="0.3">
      <c r="A5" s="9" t="s">
        <v>56</v>
      </c>
      <c r="B5" s="9" t="s">
        <v>936</v>
      </c>
      <c r="C5" s="9" t="s">
        <v>1015</v>
      </c>
      <c r="D5" s="9" t="s">
        <v>937</v>
      </c>
      <c r="E5" s="9" t="s">
        <v>934</v>
      </c>
      <c r="F5" s="9" t="s">
        <v>938</v>
      </c>
    </row>
    <row r="6" spans="1:6" x14ac:dyDescent="0.3">
      <c r="A6" s="9" t="s">
        <v>57</v>
      </c>
      <c r="B6" s="9" t="s">
        <v>939</v>
      </c>
      <c r="C6" s="9" t="s">
        <v>1019</v>
      </c>
      <c r="D6" s="9" t="s">
        <v>940</v>
      </c>
      <c r="E6" s="9" t="s">
        <v>934</v>
      </c>
      <c r="F6" s="9" t="s">
        <v>941</v>
      </c>
    </row>
    <row r="7" spans="1:6" ht="28.8" x14ac:dyDescent="0.3">
      <c r="A7" s="9" t="s">
        <v>58</v>
      </c>
      <c r="B7" s="9" t="s">
        <v>942</v>
      </c>
      <c r="C7" s="9" t="s">
        <v>1014</v>
      </c>
      <c r="D7" s="9" t="s">
        <v>943</v>
      </c>
      <c r="E7" s="9" t="s">
        <v>912</v>
      </c>
      <c r="F7" s="9" t="s">
        <v>944</v>
      </c>
    </row>
    <row r="8" spans="1:6" x14ac:dyDescent="0.3">
      <c r="A8" s="9" t="s">
        <v>59</v>
      </c>
      <c r="B8" s="9" t="s">
        <v>945</v>
      </c>
      <c r="C8" s="9" t="s">
        <v>1013</v>
      </c>
      <c r="D8" s="9" t="s">
        <v>946</v>
      </c>
      <c r="E8" s="9" t="s">
        <v>912</v>
      </c>
      <c r="F8" s="9" t="s">
        <v>947</v>
      </c>
    </row>
    <row r="9" spans="1:6" ht="28.8" x14ac:dyDescent="0.3">
      <c r="A9" s="9" t="s">
        <v>60</v>
      </c>
      <c r="B9" s="9" t="s">
        <v>948</v>
      </c>
      <c r="C9" s="9" t="s">
        <v>1011</v>
      </c>
      <c r="D9" s="9" t="s">
        <v>949</v>
      </c>
      <c r="E9" s="9" t="s">
        <v>927</v>
      </c>
      <c r="F9" s="9" t="s">
        <v>950</v>
      </c>
    </row>
    <row r="10" spans="1:6" x14ac:dyDescent="0.3">
      <c r="A10" s="9" t="s">
        <v>61</v>
      </c>
      <c r="B10" s="9" t="s">
        <v>951</v>
      </c>
      <c r="C10" s="9" t="s">
        <v>1012</v>
      </c>
      <c r="D10" s="9" t="s">
        <v>952</v>
      </c>
      <c r="E10" s="9" t="s">
        <v>912</v>
      </c>
      <c r="F10" s="9" t="s">
        <v>953</v>
      </c>
    </row>
    <row r="11" spans="1:6" ht="28.8" x14ac:dyDescent="0.3">
      <c r="A11" s="9" t="s">
        <v>62</v>
      </c>
      <c r="B11" s="9" t="s">
        <v>954</v>
      </c>
      <c r="C11" s="9" t="s">
        <v>1010</v>
      </c>
      <c r="D11" s="9" t="s">
        <v>955</v>
      </c>
      <c r="E11" s="9" t="s">
        <v>912</v>
      </c>
      <c r="F11" s="9" t="s">
        <v>956</v>
      </c>
    </row>
    <row r="12" spans="1:6" ht="28.8" x14ac:dyDescent="0.3">
      <c r="A12" s="9" t="s">
        <v>63</v>
      </c>
      <c r="B12" s="9" t="s">
        <v>957</v>
      </c>
      <c r="C12" s="9" t="s">
        <v>1009</v>
      </c>
      <c r="D12" s="9" t="s">
        <v>958</v>
      </c>
      <c r="E12" s="9" t="s">
        <v>912</v>
      </c>
      <c r="F12" s="9" t="s">
        <v>959</v>
      </c>
    </row>
    <row r="13" spans="1:6" ht="28.8" x14ac:dyDescent="0.3">
      <c r="A13" s="9" t="s">
        <v>64</v>
      </c>
      <c r="B13" s="9" t="s">
        <v>960</v>
      </c>
      <c r="C13" s="9" t="s">
        <v>1008</v>
      </c>
      <c r="D13" s="9" t="s">
        <v>961</v>
      </c>
      <c r="E13" s="9" t="s">
        <v>913</v>
      </c>
      <c r="F13" s="9" t="s">
        <v>962</v>
      </c>
    </row>
    <row r="14" spans="1:6" x14ac:dyDescent="0.3">
      <c r="A14" s="9" t="s">
        <v>65</v>
      </c>
      <c r="B14" s="9" t="s">
        <v>963</v>
      </c>
      <c r="C14" s="9" t="s">
        <v>1007</v>
      </c>
      <c r="D14" s="9" t="s">
        <v>964</v>
      </c>
      <c r="E14" s="9" t="s">
        <v>934</v>
      </c>
      <c r="F14" s="9" t="s">
        <v>965</v>
      </c>
    </row>
    <row r="15" spans="1:6" ht="28.8" x14ac:dyDescent="0.3">
      <c r="A15" s="9" t="s">
        <v>66</v>
      </c>
      <c r="B15" s="9" t="s">
        <v>966</v>
      </c>
      <c r="C15" s="9" t="s">
        <v>967</v>
      </c>
      <c r="D15" s="9" t="s">
        <v>924</v>
      </c>
      <c r="E15" s="9" t="s">
        <v>883</v>
      </c>
      <c r="F15" s="9" t="s">
        <v>968</v>
      </c>
    </row>
    <row r="16" spans="1:6" ht="28.8" x14ac:dyDescent="0.3">
      <c r="A16" s="9" t="s">
        <v>67</v>
      </c>
      <c r="B16" s="9" t="s">
        <v>969</v>
      </c>
      <c r="C16" s="9" t="s">
        <v>970</v>
      </c>
      <c r="D16" s="9" t="s">
        <v>54</v>
      </c>
      <c r="E16" s="9" t="s">
        <v>883</v>
      </c>
      <c r="F16" s="9" t="s">
        <v>971</v>
      </c>
    </row>
    <row r="17" spans="1:6" ht="28.8" x14ac:dyDescent="0.3">
      <c r="A17" s="9" t="s">
        <v>68</v>
      </c>
      <c r="B17" s="9" t="s">
        <v>972</v>
      </c>
      <c r="C17" s="9" t="s">
        <v>973</v>
      </c>
      <c r="D17" s="9" t="s">
        <v>55</v>
      </c>
      <c r="E17" s="9" t="s">
        <v>883</v>
      </c>
      <c r="F17" s="9" t="s">
        <v>974</v>
      </c>
    </row>
    <row r="18" spans="1:6" ht="28.8" x14ac:dyDescent="0.3">
      <c r="A18" s="9" t="s">
        <v>69</v>
      </c>
      <c r="B18" s="9" t="s">
        <v>975</v>
      </c>
      <c r="C18" s="9" t="s">
        <v>976</v>
      </c>
      <c r="D18" s="9" t="s">
        <v>56</v>
      </c>
      <c r="E18" s="9" t="s">
        <v>883</v>
      </c>
      <c r="F18" s="9" t="s">
        <v>971</v>
      </c>
    </row>
    <row r="19" spans="1:6" ht="28.8" x14ac:dyDescent="0.3">
      <c r="A19" s="9" t="s">
        <v>70</v>
      </c>
      <c r="B19" s="9" t="s">
        <v>977</v>
      </c>
      <c r="C19" s="9" t="s">
        <v>978</v>
      </c>
      <c r="D19" s="9" t="s">
        <v>57</v>
      </c>
      <c r="E19" s="9" t="s">
        <v>883</v>
      </c>
      <c r="F19" s="9" t="s">
        <v>979</v>
      </c>
    </row>
    <row r="20" spans="1:6" ht="28.8" x14ac:dyDescent="0.3">
      <c r="A20" s="9" t="s">
        <v>71</v>
      </c>
      <c r="B20" s="9" t="s">
        <v>980</v>
      </c>
      <c r="C20" s="9" t="s">
        <v>981</v>
      </c>
      <c r="D20" s="9" t="s">
        <v>58</v>
      </c>
      <c r="E20" s="9" t="s">
        <v>883</v>
      </c>
      <c r="F20" s="9" t="s">
        <v>982</v>
      </c>
    </row>
    <row r="21" spans="1:6" ht="28.8" x14ac:dyDescent="0.3">
      <c r="A21" s="9" t="s">
        <v>72</v>
      </c>
      <c r="B21" s="9" t="s">
        <v>983</v>
      </c>
      <c r="C21" s="9" t="s">
        <v>984</v>
      </c>
      <c r="D21" s="9" t="s">
        <v>64</v>
      </c>
      <c r="E21" s="9" t="s">
        <v>883</v>
      </c>
      <c r="F21" s="9" t="s">
        <v>985</v>
      </c>
    </row>
    <row r="22" spans="1:6" ht="28.8" x14ac:dyDescent="0.3">
      <c r="A22" s="9" t="s">
        <v>73</v>
      </c>
      <c r="B22" s="9" t="s">
        <v>986</v>
      </c>
      <c r="C22" s="9" t="s">
        <v>987</v>
      </c>
      <c r="D22" s="9" t="s">
        <v>61</v>
      </c>
      <c r="E22" s="9" t="s">
        <v>883</v>
      </c>
      <c r="F22" s="9" t="s">
        <v>988</v>
      </c>
    </row>
    <row r="23" spans="1:6" ht="28.8" x14ac:dyDescent="0.3">
      <c r="A23" s="9" t="s">
        <v>74</v>
      </c>
      <c r="B23" s="9" t="s">
        <v>989</v>
      </c>
      <c r="C23" s="9" t="s">
        <v>990</v>
      </c>
      <c r="D23" s="9" t="s">
        <v>65</v>
      </c>
      <c r="E23" s="9" t="s">
        <v>883</v>
      </c>
      <c r="F23" s="9" t="s">
        <v>971</v>
      </c>
    </row>
    <row r="24" spans="1:6" ht="28.8" x14ac:dyDescent="0.3">
      <c r="A24" s="9" t="s">
        <v>75</v>
      </c>
      <c r="B24" s="9" t="s">
        <v>991</v>
      </c>
      <c r="C24" s="9" t="s">
        <v>992</v>
      </c>
      <c r="D24" s="9" t="s">
        <v>48</v>
      </c>
      <c r="E24" s="9" t="s">
        <v>883</v>
      </c>
      <c r="F24" s="9" t="s">
        <v>993</v>
      </c>
    </row>
    <row r="25" spans="1:6" ht="28.8" x14ac:dyDescent="0.3">
      <c r="A25" s="9" t="s">
        <v>76</v>
      </c>
      <c r="B25" s="9" t="s">
        <v>994</v>
      </c>
      <c r="C25" s="9" t="s">
        <v>995</v>
      </c>
      <c r="D25" s="9" t="s">
        <v>50</v>
      </c>
      <c r="E25" s="9" t="s">
        <v>883</v>
      </c>
      <c r="F25" s="9" t="s">
        <v>996</v>
      </c>
    </row>
    <row r="26" spans="1:6" ht="28.8" x14ac:dyDescent="0.3">
      <c r="A26" s="9" t="s">
        <v>77</v>
      </c>
      <c r="B26" s="9" t="s">
        <v>997</v>
      </c>
      <c r="C26" s="9" t="s">
        <v>998</v>
      </c>
      <c r="D26" s="9" t="s">
        <v>51</v>
      </c>
      <c r="E26" s="9" t="s">
        <v>883</v>
      </c>
      <c r="F26" s="9" t="s">
        <v>999</v>
      </c>
    </row>
    <row r="27" spans="1:6" x14ac:dyDescent="0.3">
      <c r="A27" s="9" t="s">
        <v>78</v>
      </c>
      <c r="B27" s="9" t="s">
        <v>1000</v>
      </c>
      <c r="C27" s="9" t="s">
        <v>1001</v>
      </c>
      <c r="D27" s="9" t="s">
        <v>52</v>
      </c>
      <c r="E27" s="9" t="s">
        <v>883</v>
      </c>
      <c r="F27" s="9" t="s">
        <v>1002</v>
      </c>
    </row>
    <row r="28" spans="1:6" ht="43.2" x14ac:dyDescent="0.3">
      <c r="A28" s="9" t="s">
        <v>79</v>
      </c>
      <c r="B28" s="9" t="s">
        <v>1003</v>
      </c>
      <c r="C28" s="9" t="s">
        <v>1004</v>
      </c>
      <c r="D28" s="9" t="s">
        <v>1005</v>
      </c>
      <c r="E28" s="9" t="s">
        <v>883</v>
      </c>
      <c r="F28" s="9" t="s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Composición</vt:lpstr>
      <vt:lpstr>Hoja1</vt:lpstr>
      <vt:lpstr>Omega3_Referencia</vt:lpstr>
      <vt:lpstr>Mapa_Similitud</vt:lpstr>
      <vt:lpstr>Diccionario_variables</vt:lpstr>
      <vt:lpstr>Campos_Existentes</vt:lpstr>
      <vt:lpstr>Umbrales_y_formulas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Miryam Guerrero</dc:creator>
  <cp:lastModifiedBy>MIRYAM ALEXANDRA GUERRERO GAIBOR</cp:lastModifiedBy>
  <cp:revision>0</cp:revision>
  <dcterms:created xsi:type="dcterms:W3CDTF">2026-04-04T20:03:07Z</dcterms:created>
  <dcterms:modified xsi:type="dcterms:W3CDTF">2026-04-07T01:27:35Z</dcterms:modified>
  <dc:language>en-US</dc:language>
</cp:coreProperties>
</file>